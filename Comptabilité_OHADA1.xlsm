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u\OneDrive\Desktop\"/>
    </mc:Choice>
  </mc:AlternateContent>
  <xr:revisionPtr revIDLastSave="0" documentId="8_{8A47D3F8-4040-4A4E-AE35-48861673FDF6}" xr6:coauthVersionLast="47" xr6:coauthVersionMax="47" xr10:uidLastSave="{00000000-0000-0000-0000-000000000000}"/>
  <bookViews>
    <workbookView xWindow="-110" yWindow="-110" windowWidth="19420" windowHeight="10300" xr2:uid="{1AD4440B-1EF4-4D46-ABE1-05DD6469A146}"/>
  </bookViews>
  <sheets>
    <sheet name="PAGE DE GARDE" sheetId="6" r:id="rId1"/>
    <sheet name="📖 GUIDE" sheetId="60" r:id="rId2"/>
    <sheet name="Plan Comptable" sheetId="2" r:id="rId3"/>
    <sheet name="Saisie Rapide" sheetId="61" r:id="rId4"/>
    <sheet name="Journal" sheetId="3" r:id="rId5"/>
    <sheet name="Grand Livre" sheetId="57" r:id="rId6"/>
    <sheet name="Balance Générale" sheetId="5" r:id="rId7"/>
    <sheet name="Balance N-1" sheetId="4" r:id="rId8"/>
    <sheet name="Rapprochement Bancaire" sheetId="59" r:id="rId9"/>
    <sheet name="Contrôles" sheetId="53" r:id="rId10"/>
    <sheet name="Audit Journal" sheetId="55" r:id="rId11"/>
    <sheet name="Dashboard" sheetId="54" r:id="rId12"/>
    <sheet name="Rapport Mensuel" sheetId="56" r:id="rId13"/>
    <sheet name="ACTIF" sheetId="11" r:id="rId14"/>
    <sheet name="PASSIF" sheetId="12" r:id="rId15"/>
    <sheet name="Compte de Résultat" sheetId="13" r:id="rId16"/>
    <sheet name="TFT" sheetId="14" r:id="rId17"/>
    <sheet name="TAFIRE" sheetId="58" r:id="rId18"/>
    <sheet name="FICHE R1" sheetId="7" r:id="rId19"/>
    <sheet name="FICHE R2" sheetId="8" r:id="rId20"/>
    <sheet name="FICHE R3" sheetId="9" r:id="rId21"/>
    <sheet name="FICHE R4" sheetId="10" r:id="rId22"/>
    <sheet name="Note 1" sheetId="15" r:id="rId23"/>
    <sheet name="Note 2" sheetId="16" r:id="rId24"/>
    <sheet name="Note 3" sheetId="17" r:id="rId25"/>
    <sheet name="Note 4" sheetId="18" r:id="rId26"/>
    <sheet name="Note 5" sheetId="19" r:id="rId27"/>
    <sheet name="Note 6" sheetId="20" r:id="rId28"/>
    <sheet name="Note 7" sheetId="21" r:id="rId29"/>
    <sheet name="Note 8" sheetId="22" r:id="rId30"/>
    <sheet name="Note 9" sheetId="23" r:id="rId31"/>
    <sheet name="Note 10" sheetId="24" r:id="rId32"/>
    <sheet name="Note 11" sheetId="25" r:id="rId33"/>
    <sheet name="Note 12" sheetId="26" r:id="rId34"/>
    <sheet name="Note 13" sheetId="27" r:id="rId35"/>
    <sheet name="Note 14" sheetId="28" r:id="rId36"/>
    <sheet name="Note 15" sheetId="29" r:id="rId37"/>
    <sheet name="Note 16" sheetId="30" r:id="rId38"/>
    <sheet name="Note 17" sheetId="31" r:id="rId39"/>
    <sheet name="Note 18" sheetId="32" r:id="rId40"/>
    <sheet name="Note 19" sheetId="33" r:id="rId41"/>
    <sheet name="Note 20" sheetId="34" r:id="rId42"/>
    <sheet name="Note 21" sheetId="35" r:id="rId43"/>
    <sheet name="Note 22" sheetId="36" r:id="rId44"/>
    <sheet name="Note 23" sheetId="37" r:id="rId45"/>
    <sheet name="Note 24" sheetId="38" r:id="rId46"/>
    <sheet name="Note 25" sheetId="39" r:id="rId47"/>
    <sheet name="Note 26" sheetId="40" r:id="rId48"/>
    <sheet name="Note 27" sheetId="41" r:id="rId49"/>
    <sheet name="Note 28" sheetId="42" r:id="rId50"/>
    <sheet name="Note 29" sheetId="43" r:id="rId51"/>
    <sheet name="Note 30" sheetId="44" r:id="rId52"/>
    <sheet name="Note 31" sheetId="45" r:id="rId53"/>
    <sheet name="Note 32" sheetId="46" r:id="rId54"/>
    <sheet name="Note 33" sheetId="47" r:id="rId55"/>
    <sheet name="Note 34" sheetId="48" r:id="rId56"/>
    <sheet name="Note 35" sheetId="49" r:id="rId57"/>
    <sheet name="Note 36" sheetId="50" r:id="rId58"/>
    <sheet name="CODES" sheetId="51" r:id="rId59"/>
    <sheet name="Mapping" sheetId="52" r:id="rId60"/>
  </sheets>
  <definedNames>
    <definedName name="_xlnm._FilterDatabase" localSheetId="4" hidden="1">Journal!$A$5:$S$508</definedName>
    <definedName name="CodesJournaux" comment="Liste des codes journaux">"CODES!$B$19:$B$28"</definedName>
    <definedName name="DebutExercice" comment="Date début exercice">"'PAGE DE GARDE'!$C$15"</definedName>
    <definedName name="FinExercice" comment="Date fin exercice">"'PAGE DE GARDE'!$C$16"</definedName>
    <definedName name="ListeComptes" comment="Liste des numéros de compte SYSCOHADA">"'Plan Comptable'!$B$5:$B$281"</definedName>
    <definedName name="ListePeriodes" comment="Liste des filtres de période">"CODES!$B$40:$B$58"</definedName>
    <definedName name="ListeStatuts" comment="Liste des statuts d'écriture">"CODES!$B$33:$B$35"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2" i="13" l="1"/>
  <c r="F32" i="12"/>
  <c r="F26" i="12"/>
  <c r="D35" i="61"/>
  <c r="C21" i="61" a="1"/>
  <c r="C21" i="61" s="1"/>
  <c r="B23" i="61" s="1"/>
  <c r="E1" i="57"/>
  <c r="C1" i="57"/>
  <c r="E1" i="3"/>
  <c r="C1" i="3"/>
  <c r="E1" i="61"/>
  <c r="D36" i="6"/>
  <c r="C36" i="6"/>
  <c r="B36" i="6"/>
  <c r="C33" i="6"/>
  <c r="B33" i="6"/>
  <c r="D32" i="6"/>
  <c r="C32" i="6"/>
  <c r="B32" i="6"/>
  <c r="B29" i="6"/>
  <c r="D28" i="6"/>
  <c r="C28" i="6"/>
  <c r="B28" i="6"/>
  <c r="D25" i="6"/>
  <c r="C25" i="6"/>
  <c r="B25" i="6"/>
  <c r="D24" i="6"/>
  <c r="C24" i="6"/>
  <c r="B24" i="6"/>
  <c r="D21" i="6"/>
  <c r="C21" i="6"/>
  <c r="B21" i="6"/>
  <c r="K12" i="61"/>
  <c r="L12" i="61" s="1"/>
  <c r="H12" i="61"/>
  <c r="F26" i="61" s="1"/>
  <c r="G12" i="61"/>
  <c r="F12" i="61"/>
  <c r="E26" i="61" s="1"/>
  <c r="E12" i="61"/>
  <c r="D26" i="61" s="1"/>
  <c r="D12" i="61"/>
  <c r="C26" i="61" s="1"/>
  <c r="C12" i="61"/>
  <c r="B26" i="61" s="1"/>
  <c r="E15" i="61"/>
  <c r="K11" i="61"/>
  <c r="I11" i="61" s="1"/>
  <c r="G25" i="61" s="1"/>
  <c r="H11" i="61"/>
  <c r="F25" i="61" s="1"/>
  <c r="G11" i="61"/>
  <c r="F11" i="61"/>
  <c r="E25" i="61" s="1"/>
  <c r="E11" i="61"/>
  <c r="D25" i="61" s="1"/>
  <c r="D11" i="61"/>
  <c r="C25" i="61" s="1"/>
  <c r="C11" i="61"/>
  <c r="B25" i="61" s="1"/>
  <c r="A1" i="61"/>
  <c r="B32" i="61" l="1"/>
  <c r="B35" i="61"/>
  <c r="J11" i="61"/>
  <c r="H25" i="61" s="1"/>
  <c r="L11" i="61"/>
  <c r="J12" i="61"/>
  <c r="H26" i="61" s="1"/>
  <c r="E18" i="61" l="1"/>
  <c r="I12" i="61"/>
  <c r="A1" i="60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6" i="3"/>
  <c r="A1" i="4"/>
  <c r="A1" i="5"/>
  <c r="A1" i="58"/>
  <c r="A1" i="14"/>
  <c r="A1" i="13"/>
  <c r="A1" i="12"/>
  <c r="A1" i="11"/>
  <c r="A1" i="10"/>
  <c r="A1" i="9"/>
  <c r="A1" i="8"/>
  <c r="A1" i="7"/>
  <c r="A1" i="50"/>
  <c r="A1" i="49"/>
  <c r="A1" i="48"/>
  <c r="A1" i="47"/>
  <c r="A1" i="46"/>
  <c r="A1" i="45"/>
  <c r="A1" i="44"/>
  <c r="A1" i="43"/>
  <c r="A1" i="42"/>
  <c r="A1" i="41"/>
  <c r="A1" i="40"/>
  <c r="A1" i="39"/>
  <c r="A1" i="38"/>
  <c r="A1" i="37"/>
  <c r="A1" i="36"/>
  <c r="A1" i="35"/>
  <c r="A1" i="34"/>
  <c r="A1" i="33"/>
  <c r="A1" i="32"/>
  <c r="A1" i="31"/>
  <c r="A1" i="30"/>
  <c r="A1" i="29"/>
  <c r="A1" i="28"/>
  <c r="A1" i="27"/>
  <c r="A1" i="26"/>
  <c r="A1" i="25"/>
  <c r="A1" i="24"/>
  <c r="A1" i="23"/>
  <c r="A1" i="22"/>
  <c r="A1" i="21"/>
  <c r="A1" i="20"/>
  <c r="A1" i="19"/>
  <c r="A1" i="18"/>
  <c r="A1" i="17"/>
  <c r="A1" i="16"/>
  <c r="A1" i="15"/>
  <c r="A1" i="52"/>
  <c r="A1" i="56"/>
  <c r="A1" i="54"/>
  <c r="A1" i="55"/>
  <c r="A1" i="53"/>
  <c r="A1" i="51"/>
  <c r="A1" i="2"/>
  <c r="A1" i="59"/>
  <c r="A1" i="57"/>
  <c r="A1" i="3"/>
  <c r="S11" i="59"/>
  <c r="C72" i="59"/>
  <c r="D72" i="59"/>
  <c r="C71" i="59"/>
  <c r="D71" i="59"/>
  <c r="D70" i="59"/>
  <c r="C70" i="59"/>
  <c r="D69" i="59"/>
  <c r="C69" i="59"/>
  <c r="D68" i="59"/>
  <c r="C68" i="59"/>
  <c r="D67" i="59"/>
  <c r="C67" i="59"/>
  <c r="I12" i="59" a="1"/>
  <c r="I12" i="59" s="1"/>
  <c r="I13" i="59" a="1"/>
  <c r="I13" i="59" s="1"/>
  <c r="I14" i="59" a="1"/>
  <c r="I14" i="59" s="1"/>
  <c r="I15" i="59" a="1"/>
  <c r="I15" i="59" s="1"/>
  <c r="J15" i="59" s="1" a="1"/>
  <c r="J15" i="59" s="1"/>
  <c r="I16" i="59" a="1"/>
  <c r="I16" i="59" s="1"/>
  <c r="K16" i="59" s="1" a="1"/>
  <c r="K16" i="59" s="1"/>
  <c r="I17" i="59" a="1"/>
  <c r="I17" i="59" s="1"/>
  <c r="L17" i="59" s="1" a="1"/>
  <c r="L17" i="59" s="1"/>
  <c r="I18" i="59" a="1"/>
  <c r="I18" i="59" s="1"/>
  <c r="I19" i="59" a="1"/>
  <c r="I19" i="59" s="1"/>
  <c r="I20" i="59" a="1"/>
  <c r="I20" i="59" s="1"/>
  <c r="I21" i="59" a="1"/>
  <c r="I21" i="59" s="1"/>
  <c r="I22" i="59" a="1"/>
  <c r="I22" i="59" s="1"/>
  <c r="M22" i="59" s="1" a="1"/>
  <c r="M22" i="59" s="1"/>
  <c r="I23" i="59" a="1"/>
  <c r="I23" i="59" s="1"/>
  <c r="I24" i="59" a="1"/>
  <c r="I24" i="59" s="1"/>
  <c r="K24" i="59" s="1" a="1"/>
  <c r="K24" i="59" s="1"/>
  <c r="I25" i="59" a="1"/>
  <c r="I25" i="59" s="1"/>
  <c r="I26" i="59" a="1"/>
  <c r="I26" i="59" s="1"/>
  <c r="I27" i="59" a="1"/>
  <c r="I27" i="59" s="1"/>
  <c r="I28" i="59" a="1"/>
  <c r="I28" i="59" s="1"/>
  <c r="K28" i="59" s="1" a="1"/>
  <c r="K28" i="59" s="1"/>
  <c r="I29" i="59" a="1"/>
  <c r="I29" i="59" s="1"/>
  <c r="I30" i="59" a="1"/>
  <c r="I30" i="59" s="1"/>
  <c r="M30" i="59" s="1" a="1"/>
  <c r="M30" i="59" s="1"/>
  <c r="I31" i="59" a="1"/>
  <c r="I31" i="59" s="1"/>
  <c r="I32" i="59" a="1"/>
  <c r="I32" i="59" s="1"/>
  <c r="K32" i="59" s="1" a="1"/>
  <c r="K32" i="59" s="1"/>
  <c r="I33" i="59" a="1"/>
  <c r="I33" i="59" s="1"/>
  <c r="I34" i="59" a="1"/>
  <c r="I34" i="59" s="1"/>
  <c r="M34" i="59" s="1" a="1"/>
  <c r="M34" i="59" s="1"/>
  <c r="I35" i="59" a="1"/>
  <c r="I35" i="59" s="1"/>
  <c r="J35" i="59" s="1" a="1"/>
  <c r="J35" i="59" s="1"/>
  <c r="I36" i="59" a="1"/>
  <c r="I36" i="59" s="1"/>
  <c r="I37" i="59" a="1"/>
  <c r="I37" i="59" s="1"/>
  <c r="I38" i="59" a="1"/>
  <c r="I38" i="59" s="1"/>
  <c r="I39" i="59" a="1"/>
  <c r="I39" i="59" s="1"/>
  <c r="I40" i="59" a="1"/>
  <c r="I40" i="59" s="1"/>
  <c r="I41" i="59" a="1"/>
  <c r="I41" i="59" s="1"/>
  <c r="L41" i="59" s="1" a="1"/>
  <c r="L41" i="59" s="1"/>
  <c r="I42" i="59" a="1"/>
  <c r="I42" i="59" s="1"/>
  <c r="I43" i="59" a="1"/>
  <c r="I43" i="59" s="1"/>
  <c r="J43" i="59" s="1" a="1"/>
  <c r="J43" i="59" s="1"/>
  <c r="I44" i="59" a="1"/>
  <c r="I44" i="59" s="1"/>
  <c r="I45" i="59" a="1"/>
  <c r="I45" i="59" s="1"/>
  <c r="I46" i="59" a="1"/>
  <c r="I46" i="59" s="1"/>
  <c r="I47" i="59" a="1"/>
  <c r="I47" i="59" s="1"/>
  <c r="J47" i="59" s="1" a="1"/>
  <c r="J47" i="59" s="1"/>
  <c r="I48" i="59" a="1"/>
  <c r="I48" i="59" s="1"/>
  <c r="K48" i="59" s="1" a="1"/>
  <c r="K48" i="59" s="1"/>
  <c r="I49" i="59" a="1"/>
  <c r="I49" i="59" s="1"/>
  <c r="L49" i="59" s="1" a="1"/>
  <c r="L49" i="59" s="1"/>
  <c r="I50" i="59" a="1"/>
  <c r="I50" i="59" s="1"/>
  <c r="I51" i="59" a="1"/>
  <c r="I51" i="59" s="1"/>
  <c r="I52" i="59" a="1"/>
  <c r="I52" i="59" s="1"/>
  <c r="I53" i="59" a="1"/>
  <c r="I53" i="59" s="1"/>
  <c r="I54" i="59" a="1"/>
  <c r="I54" i="59" s="1"/>
  <c r="M54" i="59" s="1" a="1"/>
  <c r="M54" i="59" s="1"/>
  <c r="I55" i="59" a="1"/>
  <c r="I55" i="59" s="1"/>
  <c r="I56" i="59" a="1"/>
  <c r="I56" i="59" s="1"/>
  <c r="K56" i="59" s="1" a="1"/>
  <c r="K56" i="59" s="1"/>
  <c r="I57" i="59" a="1"/>
  <c r="I57" i="59" s="1"/>
  <c r="I58" i="59" a="1"/>
  <c r="I58" i="59" s="1"/>
  <c r="I59" i="59" a="1"/>
  <c r="I59" i="59" s="1"/>
  <c r="J59" i="59" s="1" a="1"/>
  <c r="J59" i="59" s="1"/>
  <c r="I60" i="59" a="1"/>
  <c r="I60" i="59" s="1"/>
  <c r="K60" i="59" s="1" a="1"/>
  <c r="K60" i="59" s="1"/>
  <c r="I11" i="59" a="1"/>
  <c r="I11" i="59" s="1"/>
  <c r="F61" i="59"/>
  <c r="E6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11" i="59"/>
  <c r="D6" i="59"/>
  <c r="B12" i="57" a="1"/>
  <c r="B12" i="57" s="1"/>
  <c r="F12" i="57" s="1" a="1"/>
  <c r="F12" i="57" s="1"/>
  <c r="B13" i="57" a="1"/>
  <c r="B13" i="57" s="1"/>
  <c r="C13" i="57" s="1" a="1"/>
  <c r="C13" i="57" s="1"/>
  <c r="B14" i="57" a="1"/>
  <c r="B14" i="57" s="1"/>
  <c r="B15" i="57" a="1"/>
  <c r="B15" i="57" s="1"/>
  <c r="B16" i="57" a="1"/>
  <c r="B16" i="57" s="1"/>
  <c r="C16" i="57" s="1" a="1"/>
  <c r="C16" i="57" s="1"/>
  <c r="B17" i="57" a="1"/>
  <c r="B17" i="57" s="1"/>
  <c r="F17" i="57" s="1" a="1"/>
  <c r="F17" i="57" s="1"/>
  <c r="B18" i="57" a="1"/>
  <c r="B18" i="57" s="1"/>
  <c r="B19" i="57" a="1"/>
  <c r="B19" i="57" s="1"/>
  <c r="H19" i="57" s="1" a="1"/>
  <c r="H19" i="57" s="1"/>
  <c r="B20" i="57" a="1"/>
  <c r="B20" i="57" s="1"/>
  <c r="B21" i="57" a="1"/>
  <c r="B21" i="57" s="1"/>
  <c r="F21" i="57" s="1" a="1"/>
  <c r="F21" i="57" s="1"/>
  <c r="B22" i="57" a="1"/>
  <c r="B22" i="57" s="1"/>
  <c r="G22" i="57" s="1" a="1"/>
  <c r="G22" i="57" s="1"/>
  <c r="B23" i="57" a="1"/>
  <c r="B23" i="57" s="1"/>
  <c r="B24" i="57" a="1"/>
  <c r="B24" i="57" s="1"/>
  <c r="B25" i="57" a="1"/>
  <c r="B25" i="57" s="1"/>
  <c r="E25" i="57" s="1" a="1"/>
  <c r="E25" i="57" s="1"/>
  <c r="B26" i="57" a="1"/>
  <c r="B26" i="57" s="1"/>
  <c r="F26" i="57" s="1" a="1"/>
  <c r="F26" i="57" s="1"/>
  <c r="B27" i="57" a="1"/>
  <c r="B27" i="57" s="1"/>
  <c r="B28" i="57" a="1"/>
  <c r="B28" i="57" s="1"/>
  <c r="F28" i="57" s="1" a="1"/>
  <c r="F28" i="57" s="1"/>
  <c r="B29" i="57" a="1"/>
  <c r="B29" i="57" s="1"/>
  <c r="G29" i="57" s="1" a="1"/>
  <c r="G29" i="57" s="1"/>
  <c r="B30" i="57" a="1"/>
  <c r="B30" i="57" s="1"/>
  <c r="G30" i="57" s="1" a="1"/>
  <c r="G30" i="57" s="1"/>
  <c r="B31" i="57" a="1"/>
  <c r="B31" i="57" s="1"/>
  <c r="H31" i="57" s="1" a="1"/>
  <c r="H31" i="57" s="1"/>
  <c r="B32" i="57" a="1"/>
  <c r="B32" i="57" s="1"/>
  <c r="B33" i="57" a="1"/>
  <c r="B33" i="57" s="1"/>
  <c r="H33" i="57" s="1" a="1"/>
  <c r="H33" i="57" s="1"/>
  <c r="B34" i="57" a="1"/>
  <c r="B34" i="57" s="1"/>
  <c r="F34" i="57" s="1" a="1"/>
  <c r="F34" i="57" s="1"/>
  <c r="B35" i="57" a="1"/>
  <c r="B35" i="57" s="1"/>
  <c r="I35" i="57" s="1"/>
  <c r="B36" i="57" a="1"/>
  <c r="B36" i="57" s="1"/>
  <c r="B37" i="57" a="1"/>
  <c r="B37" i="57" s="1"/>
  <c r="G37" i="57" s="1" a="1"/>
  <c r="G37" i="57" s="1"/>
  <c r="B38" i="57" a="1"/>
  <c r="B38" i="57" s="1"/>
  <c r="G38" i="57" s="1" a="1"/>
  <c r="G38" i="57" s="1"/>
  <c r="B39" i="57" a="1"/>
  <c r="B39" i="57" s="1"/>
  <c r="H39" i="57" s="1" a="1"/>
  <c r="H39" i="57" s="1"/>
  <c r="B40" i="57" a="1"/>
  <c r="B40" i="57" s="1"/>
  <c r="B41" i="57" a="1"/>
  <c r="B41" i="57" s="1"/>
  <c r="H41" i="57" s="1" a="1"/>
  <c r="H41" i="57" s="1"/>
  <c r="B42" i="57" a="1"/>
  <c r="B42" i="57" s="1"/>
  <c r="F42" i="57" s="1" a="1"/>
  <c r="F42" i="57" s="1"/>
  <c r="B43" i="57" a="1"/>
  <c r="B43" i="57" s="1"/>
  <c r="C43" i="57" s="1" a="1"/>
  <c r="C43" i="57" s="1"/>
  <c r="B44" i="57" a="1"/>
  <c r="B44" i="57" s="1"/>
  <c r="B45" i="57" a="1"/>
  <c r="B45" i="57" s="1"/>
  <c r="G45" i="57" s="1" a="1"/>
  <c r="G45" i="57" s="1"/>
  <c r="B46" i="57" a="1"/>
  <c r="B46" i="57" s="1"/>
  <c r="G46" i="57" s="1" a="1"/>
  <c r="G46" i="57" s="1"/>
  <c r="B47" i="57" a="1"/>
  <c r="B47" i="57" s="1"/>
  <c r="H47" i="57" s="1" a="1"/>
  <c r="H47" i="57" s="1"/>
  <c r="B48" i="57" a="1"/>
  <c r="B48" i="57" s="1"/>
  <c r="B49" i="57" a="1"/>
  <c r="B49" i="57" s="1"/>
  <c r="H49" i="57" s="1" a="1"/>
  <c r="H49" i="57" s="1"/>
  <c r="B50" i="57" a="1"/>
  <c r="B50" i="57" s="1"/>
  <c r="F50" i="57" s="1" a="1"/>
  <c r="F50" i="57" s="1"/>
  <c r="B51" i="57" a="1"/>
  <c r="B51" i="57" s="1"/>
  <c r="G51" i="57" s="1" a="1"/>
  <c r="G51" i="57" s="1"/>
  <c r="B52" i="57" a="1"/>
  <c r="B52" i="57" s="1"/>
  <c r="B53" i="57" a="1"/>
  <c r="B53" i="57" s="1"/>
  <c r="B54" i="57" a="1"/>
  <c r="B54" i="57" s="1"/>
  <c r="G54" i="57" s="1" a="1"/>
  <c r="G54" i="57" s="1"/>
  <c r="B55" i="57" a="1"/>
  <c r="B55" i="57" s="1"/>
  <c r="H55" i="57" s="1" a="1"/>
  <c r="H55" i="57" s="1"/>
  <c r="B56" i="57" a="1"/>
  <c r="B56" i="57" s="1"/>
  <c r="B57" i="57" a="1"/>
  <c r="B57" i="57" s="1"/>
  <c r="H57" i="57" s="1" a="1"/>
  <c r="H57" i="57" s="1"/>
  <c r="B58" i="57" a="1"/>
  <c r="B58" i="57" s="1"/>
  <c r="F58" i="57" s="1" a="1"/>
  <c r="F58" i="57" s="1"/>
  <c r="B59" i="57" a="1"/>
  <c r="B59" i="57" s="1"/>
  <c r="G59" i="57" s="1" a="1"/>
  <c r="G59" i="57" s="1"/>
  <c r="B60" i="57" a="1"/>
  <c r="B60" i="57" s="1"/>
  <c r="B11" i="57" a="1"/>
  <c r="B11" i="57" s="1"/>
  <c r="I4" i="3"/>
  <c r="G4" i="3"/>
  <c r="D4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D6" i="3"/>
  <c r="C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6" i="3"/>
  <c r="F27" i="58"/>
  <c r="E27" i="58"/>
  <c r="F19" i="58"/>
  <c r="E19" i="58"/>
  <c r="C7" i="57"/>
  <c r="D6" i="57"/>
  <c r="F30" i="56" a="1"/>
  <c r="F30" i="56" s="1"/>
  <c r="F29" i="56" a="1"/>
  <c r="F29" i="56" s="1"/>
  <c r="F28" i="56" a="1"/>
  <c r="F28" i="56" s="1"/>
  <c r="F27" i="56" a="1"/>
  <c r="F27" i="56" s="1"/>
  <c r="F26" i="56" a="1"/>
  <c r="F26" i="56" s="1"/>
  <c r="F25" i="56" a="1"/>
  <c r="F25" i="56" s="1"/>
  <c r="F24" i="56" a="1"/>
  <c r="F24" i="56" s="1"/>
  <c r="F23" i="56" a="1"/>
  <c r="F23" i="56" s="1"/>
  <c r="F22" i="56" a="1"/>
  <c r="F22" i="56" s="1"/>
  <c r="F17" i="56" a="1"/>
  <c r="F17" i="56" s="1"/>
  <c r="F16" i="56" a="1"/>
  <c r="F16" i="56" s="1"/>
  <c r="F15" i="56" a="1"/>
  <c r="F15" i="56" s="1"/>
  <c r="F14" i="56" a="1"/>
  <c r="F14" i="56" s="1"/>
  <c r="F13" i="56" a="1"/>
  <c r="F13" i="56" s="1"/>
  <c r="F12" i="56" a="1"/>
  <c r="F12" i="56" s="1"/>
  <c r="D91" i="56" s="1"/>
  <c r="F11" i="56" a="1"/>
  <c r="F11" i="56" s="1"/>
  <c r="D90" i="56" s="1"/>
  <c r="F10" i="56" a="1"/>
  <c r="F10" i="56" s="1"/>
  <c r="D89" i="56" s="1"/>
  <c r="F9" i="56" a="1"/>
  <c r="F9" i="56" s="1"/>
  <c r="D88" i="56" s="1"/>
  <c r="F8" i="56" a="1"/>
  <c r="F8" i="56" s="1"/>
  <c r="D87" i="56" s="1"/>
  <c r="G4" i="56"/>
  <c r="C40" i="55" a="1"/>
  <c r="C40" i="55" s="1"/>
  <c r="C38" i="55"/>
  <c r="C36" i="55"/>
  <c r="F9" i="55"/>
  <c r="F8" i="55"/>
  <c r="F7" i="55"/>
  <c r="C55" i="54" a="1"/>
  <c r="C55" i="54" s="1"/>
  <c r="C53" i="54"/>
  <c r="C51" i="54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6" i="3"/>
  <c r="C18" i="61" l="1"/>
  <c r="F18" i="61" s="1"/>
  <c r="C20" i="61" s="1"/>
  <c r="G26" i="61"/>
  <c r="P4" i="3"/>
  <c r="P3" i="3" a="1"/>
  <c r="P3" i="3" s="1"/>
  <c r="D3" i="3"/>
  <c r="F3" i="3"/>
  <c r="H3" i="3"/>
  <c r="J3" i="3"/>
  <c r="L3" i="3"/>
  <c r="N3" i="3"/>
  <c r="S6" i="59"/>
  <c r="E72" i="59"/>
  <c r="F67" i="59"/>
  <c r="F70" i="59"/>
  <c r="F72" i="59"/>
  <c r="E70" i="59"/>
  <c r="F69" i="59"/>
  <c r="F68" i="59"/>
  <c r="E69" i="59"/>
  <c r="E67" i="59"/>
  <c r="E71" i="59"/>
  <c r="E68" i="59"/>
  <c r="F71" i="59"/>
  <c r="L46" i="59" a="1"/>
  <c r="L46" i="59" s="1"/>
  <c r="K46" i="59" a="1"/>
  <c r="K46" i="59" s="1"/>
  <c r="J46" i="59" a="1"/>
  <c r="J46" i="59" s="1"/>
  <c r="J40" i="59" a="1"/>
  <c r="J40" i="59" s="1"/>
  <c r="M40" i="59" a="1"/>
  <c r="M40" i="59" s="1"/>
  <c r="L40" i="59" a="1"/>
  <c r="L40" i="59" s="1"/>
  <c r="K33" i="59" a="1"/>
  <c r="K33" i="59" s="1"/>
  <c r="J33" i="59" a="1"/>
  <c r="J33" i="59" s="1"/>
  <c r="M33" i="59" a="1"/>
  <c r="M33" i="59" s="1"/>
  <c r="M27" i="59" a="1"/>
  <c r="M27" i="59" s="1"/>
  <c r="L27" i="59" a="1"/>
  <c r="L27" i="59" s="1"/>
  <c r="K27" i="59" a="1"/>
  <c r="K27" i="59" s="1"/>
  <c r="L14" i="59" a="1"/>
  <c r="L14" i="59" s="1"/>
  <c r="K14" i="59" a="1"/>
  <c r="K14" i="59" s="1"/>
  <c r="J14" i="59" a="1"/>
  <c r="J14" i="59" s="1"/>
  <c r="L58" i="59" a="1"/>
  <c r="L58" i="59" s="1"/>
  <c r="K58" i="59" a="1"/>
  <c r="K58" i="59" s="1"/>
  <c r="J58" i="59" a="1"/>
  <c r="J58" i="59" s="1"/>
  <c r="J52" i="59" a="1"/>
  <c r="J52" i="59" s="1"/>
  <c r="M52" i="59" a="1"/>
  <c r="M52" i="59" s="1"/>
  <c r="L52" i="59" a="1"/>
  <c r="L52" i="59" s="1"/>
  <c r="K45" i="59" a="1"/>
  <c r="K45" i="59" s="1"/>
  <c r="J45" i="59" a="1"/>
  <c r="J45" i="59" s="1"/>
  <c r="M45" i="59" a="1"/>
  <c r="M45" i="59" s="1"/>
  <c r="M39" i="59" a="1"/>
  <c r="M39" i="59" s="1"/>
  <c r="L39" i="59" a="1"/>
  <c r="L39" i="59" s="1"/>
  <c r="K39" i="59" a="1"/>
  <c r="K39" i="59" s="1"/>
  <c r="L26" i="59" a="1"/>
  <c r="L26" i="59" s="1"/>
  <c r="K26" i="59" a="1"/>
  <c r="K26" i="59" s="1"/>
  <c r="J26" i="59" a="1"/>
  <c r="J26" i="59" s="1"/>
  <c r="J20" i="59" a="1"/>
  <c r="J20" i="59" s="1"/>
  <c r="M20" i="59" a="1"/>
  <c r="M20" i="59" s="1"/>
  <c r="L20" i="59" a="1"/>
  <c r="L20" i="59" s="1"/>
  <c r="K13" i="59" a="1"/>
  <c r="K13" i="59" s="1"/>
  <c r="J13" i="59" a="1"/>
  <c r="J13" i="59" s="1"/>
  <c r="M13" i="59" a="1"/>
  <c r="M13" i="59" s="1"/>
  <c r="L45" i="59" a="1"/>
  <c r="L45" i="59" s="1"/>
  <c r="L13" i="59" a="1"/>
  <c r="L13" i="59" s="1"/>
  <c r="K57" i="59" a="1"/>
  <c r="K57" i="59" s="1"/>
  <c r="J57" i="59" a="1"/>
  <c r="J57" i="59" s="1"/>
  <c r="M57" i="59" a="1"/>
  <c r="M57" i="59" s="1"/>
  <c r="M51" i="59" a="1"/>
  <c r="M51" i="59" s="1"/>
  <c r="L51" i="59" a="1"/>
  <c r="L51" i="59" s="1"/>
  <c r="K51" i="59" a="1"/>
  <c r="K51" i="59" s="1"/>
  <c r="L38" i="59" a="1"/>
  <c r="L38" i="59" s="1"/>
  <c r="K38" i="59" a="1"/>
  <c r="K38" i="59" s="1"/>
  <c r="J38" i="59" a="1"/>
  <c r="J38" i="59" s="1"/>
  <c r="J32" i="59" a="1"/>
  <c r="J32" i="59" s="1"/>
  <c r="M32" i="59" a="1"/>
  <c r="M32" i="59" s="1"/>
  <c r="L32" i="59" a="1"/>
  <c r="L32" i="59" s="1"/>
  <c r="K25" i="59" a="1"/>
  <c r="K25" i="59" s="1"/>
  <c r="J25" i="59" a="1"/>
  <c r="J25" i="59" s="1"/>
  <c r="M25" i="59" a="1"/>
  <c r="M25" i="59" s="1"/>
  <c r="M19" i="59" a="1"/>
  <c r="M19" i="59" s="1"/>
  <c r="L19" i="59" a="1"/>
  <c r="L19" i="59" s="1"/>
  <c r="K19" i="59" a="1"/>
  <c r="K19" i="59" s="1"/>
  <c r="J39" i="59" a="1"/>
  <c r="J39" i="59" s="1"/>
  <c r="M58" i="59" a="1"/>
  <c r="M58" i="59" s="1"/>
  <c r="L50" i="59" a="1"/>
  <c r="L50" i="59" s="1"/>
  <c r="K50" i="59" a="1"/>
  <c r="K50" i="59" s="1"/>
  <c r="J50" i="59" a="1"/>
  <c r="J50" i="59" s="1"/>
  <c r="J44" i="59" a="1"/>
  <c r="J44" i="59" s="1"/>
  <c r="M44" i="59" a="1"/>
  <c r="M44" i="59" s="1"/>
  <c r="L44" i="59" a="1"/>
  <c r="L44" i="59" s="1"/>
  <c r="K37" i="59" a="1"/>
  <c r="K37" i="59" s="1"/>
  <c r="J37" i="59" a="1"/>
  <c r="J37" i="59" s="1"/>
  <c r="M37" i="59" a="1"/>
  <c r="M37" i="59" s="1"/>
  <c r="M31" i="59" a="1"/>
  <c r="M31" i="59" s="1"/>
  <c r="L31" i="59" a="1"/>
  <c r="L31" i="59" s="1"/>
  <c r="K31" i="59" a="1"/>
  <c r="K31" i="59" s="1"/>
  <c r="L18" i="59" a="1"/>
  <c r="L18" i="59" s="1"/>
  <c r="K18" i="59" a="1"/>
  <c r="K18" i="59" s="1"/>
  <c r="J18" i="59" a="1"/>
  <c r="J18" i="59" s="1"/>
  <c r="J12" i="59" a="1"/>
  <c r="J12" i="59" s="1"/>
  <c r="M12" i="59" a="1"/>
  <c r="M12" i="59" s="1"/>
  <c r="L12" i="59" a="1"/>
  <c r="L12" i="59" s="1"/>
  <c r="K52" i="59" a="1"/>
  <c r="K52" i="59" s="1"/>
  <c r="K20" i="59" a="1"/>
  <c r="K20" i="59" s="1"/>
  <c r="L37" i="59" a="1"/>
  <c r="L37" i="59" s="1"/>
  <c r="M26" i="59" a="1"/>
  <c r="M26" i="59" s="1"/>
  <c r="J56" i="59" a="1"/>
  <c r="J56" i="59" s="1"/>
  <c r="M56" i="59" a="1"/>
  <c r="M56" i="59" s="1"/>
  <c r="L56" i="59" a="1"/>
  <c r="L56" i="59" s="1"/>
  <c r="K49" i="59" a="1"/>
  <c r="K49" i="59" s="1"/>
  <c r="J49" i="59" a="1"/>
  <c r="J49" i="59" s="1"/>
  <c r="M49" i="59" a="1"/>
  <c r="M49" i="59" s="1"/>
  <c r="M43" i="59" a="1"/>
  <c r="M43" i="59" s="1"/>
  <c r="L43" i="59" a="1"/>
  <c r="L43" i="59" s="1"/>
  <c r="K43" i="59" a="1"/>
  <c r="K43" i="59" s="1"/>
  <c r="L30" i="59" a="1"/>
  <c r="L30" i="59" s="1"/>
  <c r="K30" i="59" a="1"/>
  <c r="K30" i="59" s="1"/>
  <c r="J30" i="59" a="1"/>
  <c r="J30" i="59" s="1"/>
  <c r="J24" i="59" a="1"/>
  <c r="J24" i="59" s="1"/>
  <c r="M24" i="59" a="1"/>
  <c r="M24" i="59" s="1"/>
  <c r="L24" i="59" a="1"/>
  <c r="L24" i="59" s="1"/>
  <c r="K17" i="59" a="1"/>
  <c r="K17" i="59" s="1"/>
  <c r="J17" i="59" a="1"/>
  <c r="J17" i="59" s="1"/>
  <c r="M17" i="59" a="1"/>
  <c r="M17" i="59" s="1"/>
  <c r="J31" i="59" a="1"/>
  <c r="J31" i="59" s="1"/>
  <c r="L33" i="59" a="1"/>
  <c r="L33" i="59" s="1"/>
  <c r="M50" i="59" a="1"/>
  <c r="M50" i="59" s="1"/>
  <c r="K11" i="59" a="1"/>
  <c r="K11" i="59" s="1"/>
  <c r="J11" i="59" a="1"/>
  <c r="J11" i="59" s="1"/>
  <c r="M11" i="59" a="1"/>
  <c r="M11" i="59" s="1"/>
  <c r="L11" i="59" a="1"/>
  <c r="L11" i="59" s="1"/>
  <c r="M55" i="59" a="1"/>
  <c r="M55" i="59" s="1"/>
  <c r="L55" i="59" a="1"/>
  <c r="L55" i="59" s="1"/>
  <c r="K55" i="59" a="1"/>
  <c r="K55" i="59" s="1"/>
  <c r="L42" i="59" a="1"/>
  <c r="L42" i="59" s="1"/>
  <c r="K42" i="59" a="1"/>
  <c r="K42" i="59" s="1"/>
  <c r="J42" i="59" a="1"/>
  <c r="J42" i="59" s="1"/>
  <c r="J36" i="59" a="1"/>
  <c r="J36" i="59" s="1"/>
  <c r="M36" i="59" a="1"/>
  <c r="M36" i="59" s="1"/>
  <c r="L36" i="59" a="1"/>
  <c r="L36" i="59" s="1"/>
  <c r="K29" i="59" a="1"/>
  <c r="K29" i="59" s="1"/>
  <c r="J29" i="59" a="1"/>
  <c r="J29" i="59" s="1"/>
  <c r="M29" i="59" a="1"/>
  <c r="M29" i="59" s="1"/>
  <c r="M23" i="59" a="1"/>
  <c r="M23" i="59" s="1"/>
  <c r="L23" i="59" a="1"/>
  <c r="L23" i="59" s="1"/>
  <c r="K23" i="59" a="1"/>
  <c r="K23" i="59" s="1"/>
  <c r="J55" i="59" a="1"/>
  <c r="J55" i="59" s="1"/>
  <c r="J27" i="59" a="1"/>
  <c r="J27" i="59" s="1"/>
  <c r="K44" i="59" a="1"/>
  <c r="K44" i="59" s="1"/>
  <c r="K12" i="59" a="1"/>
  <c r="K12" i="59" s="1"/>
  <c r="L29" i="59" a="1"/>
  <c r="L29" i="59" s="1"/>
  <c r="M46" i="59" a="1"/>
  <c r="M46" i="59" s="1"/>
  <c r="L54" i="59" a="1"/>
  <c r="L54" i="59" s="1"/>
  <c r="K54" i="59" a="1"/>
  <c r="K54" i="59" s="1"/>
  <c r="J54" i="59" a="1"/>
  <c r="J54" i="59" s="1"/>
  <c r="J48" i="59" a="1"/>
  <c r="J48" i="59" s="1"/>
  <c r="M48" i="59" a="1"/>
  <c r="M48" i="59" s="1"/>
  <c r="L48" i="59" a="1"/>
  <c r="L48" i="59" s="1"/>
  <c r="K41" i="59" a="1"/>
  <c r="K41" i="59" s="1"/>
  <c r="J41" i="59" a="1"/>
  <c r="J41" i="59" s="1"/>
  <c r="M41" i="59" a="1"/>
  <c r="M41" i="59" s="1"/>
  <c r="M35" i="59" a="1"/>
  <c r="M35" i="59" s="1"/>
  <c r="L35" i="59" a="1"/>
  <c r="L35" i="59" s="1"/>
  <c r="K35" i="59" a="1"/>
  <c r="K35" i="59" s="1"/>
  <c r="L22" i="59" a="1"/>
  <c r="L22" i="59" s="1"/>
  <c r="K22" i="59" a="1"/>
  <c r="K22" i="59" s="1"/>
  <c r="J22" i="59" a="1"/>
  <c r="J22" i="59" s="1"/>
  <c r="J16" i="59" a="1"/>
  <c r="J16" i="59" s="1"/>
  <c r="M16" i="59" a="1"/>
  <c r="M16" i="59" s="1"/>
  <c r="L16" i="59" a="1"/>
  <c r="L16" i="59" s="1"/>
  <c r="J23" i="59" a="1"/>
  <c r="J23" i="59" s="1"/>
  <c r="K40" i="59" a="1"/>
  <c r="K40" i="59" s="1"/>
  <c r="L57" i="59" a="1"/>
  <c r="L57" i="59" s="1"/>
  <c r="L25" i="59" a="1"/>
  <c r="L25" i="59" s="1"/>
  <c r="M42" i="59" a="1"/>
  <c r="M42" i="59" s="1"/>
  <c r="M18" i="59" a="1"/>
  <c r="M18" i="59" s="1"/>
  <c r="M59" i="59" a="1"/>
  <c r="M59" i="59" s="1"/>
  <c r="L59" i="59" a="1"/>
  <c r="L59" i="59" s="1"/>
  <c r="K59" i="59" a="1"/>
  <c r="K59" i="59" s="1"/>
  <c r="J60" i="59" a="1"/>
  <c r="J60" i="59" s="1"/>
  <c r="M60" i="59" a="1"/>
  <c r="M60" i="59" s="1"/>
  <c r="L60" i="59" a="1"/>
  <c r="L60" i="59" s="1"/>
  <c r="K53" i="59" a="1"/>
  <c r="K53" i="59" s="1"/>
  <c r="J53" i="59" a="1"/>
  <c r="J53" i="59" s="1"/>
  <c r="M53" i="59" a="1"/>
  <c r="M53" i="59" s="1"/>
  <c r="M47" i="59" a="1"/>
  <c r="M47" i="59" s="1"/>
  <c r="L47" i="59" a="1"/>
  <c r="L47" i="59" s="1"/>
  <c r="K47" i="59" a="1"/>
  <c r="K47" i="59" s="1"/>
  <c r="L34" i="59" a="1"/>
  <c r="L34" i="59" s="1"/>
  <c r="K34" i="59" a="1"/>
  <c r="K34" i="59" s="1"/>
  <c r="J34" i="59" a="1"/>
  <c r="J34" i="59" s="1"/>
  <c r="J28" i="59" a="1"/>
  <c r="J28" i="59" s="1"/>
  <c r="M28" i="59" a="1"/>
  <c r="M28" i="59" s="1"/>
  <c r="L28" i="59" a="1"/>
  <c r="L28" i="59" s="1"/>
  <c r="K21" i="59" a="1"/>
  <c r="K21" i="59" s="1"/>
  <c r="J21" i="59" a="1"/>
  <c r="J21" i="59" s="1"/>
  <c r="M21" i="59" a="1"/>
  <c r="M21" i="59" s="1"/>
  <c r="M15" i="59" a="1"/>
  <c r="M15" i="59" s="1"/>
  <c r="L15" i="59" a="1"/>
  <c r="L15" i="59" s="1"/>
  <c r="K15" i="59" a="1"/>
  <c r="K15" i="59" s="1"/>
  <c r="J51" i="59" a="1"/>
  <c r="J51" i="59" s="1"/>
  <c r="J19" i="59" a="1"/>
  <c r="J19" i="59" s="1"/>
  <c r="K36" i="59" a="1"/>
  <c r="K36" i="59" s="1"/>
  <c r="L53" i="59" a="1"/>
  <c r="L53" i="59" s="1"/>
  <c r="L21" i="59" a="1"/>
  <c r="L21" i="59" s="1"/>
  <c r="M38" i="59" a="1"/>
  <c r="M38" i="59" s="1"/>
  <c r="M14" i="59" a="1"/>
  <c r="M14" i="59" s="1"/>
  <c r="E24" i="57" a="1"/>
  <c r="E24" i="57" s="1"/>
  <c r="D24" i="57" a="1"/>
  <c r="D24" i="57" s="1"/>
  <c r="C15" i="57" a="1"/>
  <c r="C15" i="57" s="1"/>
  <c r="E15" i="57" a="1"/>
  <c r="E15" i="57" s="1"/>
  <c r="F20" i="57" a="1"/>
  <c r="F20" i="57" s="1"/>
  <c r="E20" i="57" a="1"/>
  <c r="E20" i="57" s="1"/>
  <c r="C20" i="57" a="1"/>
  <c r="C20" i="57" s="1"/>
  <c r="G53" i="57" a="1"/>
  <c r="G53" i="57" s="1"/>
  <c r="C53" i="57" a="1"/>
  <c r="C53" i="57" s="1"/>
  <c r="C57" i="57" a="1"/>
  <c r="C57" i="57" s="1"/>
  <c r="D19" i="57" a="1"/>
  <c r="D19" i="57" s="1"/>
  <c r="C19" i="57" a="1"/>
  <c r="C19" i="57" s="1"/>
  <c r="E50" i="57" a="1"/>
  <c r="E50" i="57" s="1"/>
  <c r="C34" i="57" a="1"/>
  <c r="C34" i="57" s="1"/>
  <c r="E41" i="57" a="1"/>
  <c r="E41" i="57" s="1"/>
  <c r="D42" i="57" a="1"/>
  <c r="D42" i="57" s="1"/>
  <c r="C29" i="57" a="1"/>
  <c r="C29" i="57" s="1"/>
  <c r="D33" i="57" a="1"/>
  <c r="D33" i="57" s="1"/>
  <c r="C28" i="57" a="1"/>
  <c r="C28" i="57" s="1"/>
  <c r="I50" i="57"/>
  <c r="C25" i="57" a="1"/>
  <c r="C25" i="57" s="1"/>
  <c r="D28" i="57" a="1"/>
  <c r="D28" i="57" s="1"/>
  <c r="I34" i="57"/>
  <c r="H40" i="57" a="1"/>
  <c r="H40" i="57" s="1"/>
  <c r="G40" i="57" a="1"/>
  <c r="G40" i="57" s="1"/>
  <c r="I40" i="57"/>
  <c r="C40" i="57" a="1"/>
  <c r="C40" i="57" s="1"/>
  <c r="F40" i="57" a="1"/>
  <c r="F40" i="57" s="1"/>
  <c r="D40" i="57" a="1"/>
  <c r="D40" i="57" s="1"/>
  <c r="E40" i="57" a="1"/>
  <c r="E40" i="57" s="1"/>
  <c r="I44" i="57"/>
  <c r="H44" i="57" a="1"/>
  <c r="H44" i="57" s="1"/>
  <c r="G44" i="57" a="1"/>
  <c r="G44" i="57" s="1"/>
  <c r="D44" i="57" a="1"/>
  <c r="D44" i="57" s="1"/>
  <c r="E44" i="57" a="1"/>
  <c r="E44" i="57" s="1"/>
  <c r="C44" i="57" a="1"/>
  <c r="C44" i="57" s="1"/>
  <c r="F44" i="57" a="1"/>
  <c r="F44" i="57" s="1"/>
  <c r="I36" i="57"/>
  <c r="H36" i="57" a="1"/>
  <c r="H36" i="57" s="1"/>
  <c r="G36" i="57" a="1"/>
  <c r="G36" i="57" s="1"/>
  <c r="C36" i="57" a="1"/>
  <c r="C36" i="57" s="1"/>
  <c r="D36" i="57" a="1"/>
  <c r="D36" i="57" s="1"/>
  <c r="F36" i="57" a="1"/>
  <c r="F36" i="57" s="1"/>
  <c r="E36" i="57" a="1"/>
  <c r="E36" i="57" s="1"/>
  <c r="H48" i="57" a="1"/>
  <c r="H48" i="57" s="1"/>
  <c r="G48" i="57" a="1"/>
  <c r="G48" i="57" s="1"/>
  <c r="D48" i="57" a="1"/>
  <c r="D48" i="57" s="1"/>
  <c r="F48" i="57" a="1"/>
  <c r="F48" i="57" s="1"/>
  <c r="E48" i="57" a="1"/>
  <c r="E48" i="57" s="1"/>
  <c r="I48" i="57"/>
  <c r="C48" i="57" a="1"/>
  <c r="C48" i="57" s="1"/>
  <c r="F14" i="57" a="1"/>
  <c r="F14" i="57" s="1"/>
  <c r="I14" i="57"/>
  <c r="C14" i="57" a="1"/>
  <c r="C14" i="57" s="1"/>
  <c r="E14" i="57" a="1"/>
  <c r="E14" i="57" s="1"/>
  <c r="H14" i="57" a="1"/>
  <c r="H14" i="57" s="1"/>
  <c r="D14" i="57" a="1"/>
  <c r="D14" i="57" s="1"/>
  <c r="G14" i="57" a="1"/>
  <c r="G14" i="57" s="1"/>
  <c r="H32" i="57" a="1"/>
  <c r="H32" i="57" s="1"/>
  <c r="G32" i="57" a="1"/>
  <c r="G32" i="57" s="1"/>
  <c r="E32" i="57" a="1"/>
  <c r="E32" i="57" s="1"/>
  <c r="F32" i="57" a="1"/>
  <c r="F32" i="57" s="1"/>
  <c r="C32" i="57" a="1"/>
  <c r="C32" i="57" s="1"/>
  <c r="I32" i="57"/>
  <c r="D32" i="57" a="1"/>
  <c r="D32" i="57" s="1"/>
  <c r="E11" i="57" a="1"/>
  <c r="E11" i="57" s="1"/>
  <c r="I11" i="57"/>
  <c r="H11" i="57" a="1"/>
  <c r="H11" i="57" s="1"/>
  <c r="D11" i="57" a="1"/>
  <c r="D11" i="57" s="1"/>
  <c r="F11" i="57" a="1"/>
  <c r="F11" i="57" s="1"/>
  <c r="G11" i="57" a="1"/>
  <c r="G11" i="57" s="1"/>
  <c r="C11" i="57" a="1"/>
  <c r="C11" i="57" s="1"/>
  <c r="H56" i="57" a="1"/>
  <c r="H56" i="57" s="1"/>
  <c r="G56" i="57" a="1"/>
  <c r="G56" i="57" s="1"/>
  <c r="I56" i="57"/>
  <c r="E56" i="57" a="1"/>
  <c r="E56" i="57" s="1"/>
  <c r="F56" i="57" a="1"/>
  <c r="F56" i="57" s="1"/>
  <c r="C56" i="57" a="1"/>
  <c r="C56" i="57" s="1"/>
  <c r="D56" i="57" a="1"/>
  <c r="D56" i="57" s="1"/>
  <c r="G23" i="57" a="1"/>
  <c r="G23" i="57" s="1"/>
  <c r="I23" i="57"/>
  <c r="F23" i="57" a="1"/>
  <c r="F23" i="57" s="1"/>
  <c r="E23" i="57" a="1"/>
  <c r="E23" i="57" s="1"/>
  <c r="C23" i="57" a="1"/>
  <c r="C23" i="57" s="1"/>
  <c r="D23" i="57" a="1"/>
  <c r="D23" i="57" s="1"/>
  <c r="H23" i="57" a="1"/>
  <c r="H23" i="57" s="1"/>
  <c r="F18" i="57" a="1"/>
  <c r="F18" i="57" s="1"/>
  <c r="I18" i="57"/>
  <c r="H18" i="57" a="1"/>
  <c r="H18" i="57" s="1"/>
  <c r="E18" i="57" a="1"/>
  <c r="E18" i="57" s="1"/>
  <c r="C18" i="57" a="1"/>
  <c r="C18" i="57" s="1"/>
  <c r="G18" i="57" a="1"/>
  <c r="G18" i="57" s="1"/>
  <c r="D18" i="57" a="1"/>
  <c r="D18" i="57" s="1"/>
  <c r="G27" i="57" a="1"/>
  <c r="G27" i="57" s="1"/>
  <c r="F27" i="57" a="1"/>
  <c r="F27" i="57" s="1"/>
  <c r="E27" i="57" a="1"/>
  <c r="E27" i="57" s="1"/>
  <c r="C27" i="57" a="1"/>
  <c r="C27" i="57" s="1"/>
  <c r="I27" i="57"/>
  <c r="H27" i="57" a="1"/>
  <c r="H27" i="57" s="1"/>
  <c r="D27" i="57" a="1"/>
  <c r="D27" i="57" s="1"/>
  <c r="I52" i="57"/>
  <c r="H52" i="57" a="1"/>
  <c r="H52" i="57" s="1"/>
  <c r="G52" i="57" a="1"/>
  <c r="G52" i="57" s="1"/>
  <c r="E52" i="57" a="1"/>
  <c r="E52" i="57" s="1"/>
  <c r="F52" i="57" a="1"/>
  <c r="F52" i="57" s="1"/>
  <c r="C52" i="57" a="1"/>
  <c r="C52" i="57" s="1"/>
  <c r="D52" i="57" a="1"/>
  <c r="D52" i="57" s="1"/>
  <c r="I60" i="57"/>
  <c r="H60" i="57" a="1"/>
  <c r="H60" i="57" s="1"/>
  <c r="G60" i="57" a="1"/>
  <c r="G60" i="57" s="1"/>
  <c r="F60" i="57" a="1"/>
  <c r="F60" i="57" s="1"/>
  <c r="E60" i="57" a="1"/>
  <c r="E60" i="57" s="1"/>
  <c r="C60" i="57" a="1"/>
  <c r="C60" i="57" s="1"/>
  <c r="D60" i="57" a="1"/>
  <c r="D60" i="57" s="1"/>
  <c r="C35" i="57" a="1"/>
  <c r="C35" i="57" s="1"/>
  <c r="C30" i="57" a="1"/>
  <c r="C30" i="57" s="1"/>
  <c r="C21" i="57" a="1"/>
  <c r="C21" i="57" s="1"/>
  <c r="C12" i="57" a="1"/>
  <c r="C12" i="57" s="1"/>
  <c r="D47" i="57" a="1"/>
  <c r="D47" i="57" s="1"/>
  <c r="D38" i="57" a="1"/>
  <c r="D38" i="57" s="1"/>
  <c r="D29" i="57" a="1"/>
  <c r="D29" i="57" s="1"/>
  <c r="D20" i="57" a="1"/>
  <c r="D20" i="57" s="1"/>
  <c r="D15" i="57" a="1"/>
  <c r="D15" i="57" s="1"/>
  <c r="E55" i="57" a="1"/>
  <c r="E55" i="57" s="1"/>
  <c r="E46" i="57" a="1"/>
  <c r="E46" i="57" s="1"/>
  <c r="E37" i="57" a="1"/>
  <c r="E37" i="57" s="1"/>
  <c r="E21" i="57" a="1"/>
  <c r="E21" i="57" s="1"/>
  <c r="F45" i="57" a="1"/>
  <c r="F45" i="57" s="1"/>
  <c r="F37" i="57" a="1"/>
  <c r="F37" i="57" s="1"/>
  <c r="F29" i="57" a="1"/>
  <c r="F29" i="57" s="1"/>
  <c r="F13" i="57" a="1"/>
  <c r="F13" i="57" s="1"/>
  <c r="H15" i="57" a="1"/>
  <c r="H15" i="57" s="1"/>
  <c r="I51" i="57"/>
  <c r="F22" i="57" a="1"/>
  <c r="F22" i="57" s="1"/>
  <c r="I22" i="57"/>
  <c r="G55" i="57" a="1"/>
  <c r="G55" i="57" s="1"/>
  <c r="I55" i="57"/>
  <c r="E26" i="57" a="1"/>
  <c r="E26" i="57" s="1"/>
  <c r="F59" i="57" a="1"/>
  <c r="F59" i="57" s="1"/>
  <c r="F54" i="57" a="1"/>
  <c r="F54" i="57" s="1"/>
  <c r="I54" i="57"/>
  <c r="F46" i="57" a="1"/>
  <c r="F46" i="57" s="1"/>
  <c r="I46" i="57"/>
  <c r="F38" i="57" a="1"/>
  <c r="F38" i="57" s="1"/>
  <c r="I38" i="57"/>
  <c r="F30" i="57" a="1"/>
  <c r="F30" i="57" s="1"/>
  <c r="I30" i="57"/>
  <c r="I21" i="57"/>
  <c r="H21" i="57" a="1"/>
  <c r="H21" i="57" s="1"/>
  <c r="H16" i="57" a="1"/>
  <c r="H16" i="57" s="1"/>
  <c r="G16" i="57" a="1"/>
  <c r="G16" i="57" s="1"/>
  <c r="I16" i="57"/>
  <c r="C38" i="57" a="1"/>
  <c r="C38" i="57" s="1"/>
  <c r="D55" i="57" a="1"/>
  <c r="D55" i="57" s="1"/>
  <c r="D46" i="57" a="1"/>
  <c r="D46" i="57" s="1"/>
  <c r="D37" i="57" a="1"/>
  <c r="D37" i="57" s="1"/>
  <c r="E54" i="57" a="1"/>
  <c r="E54" i="57" s="1"/>
  <c r="E45" i="57" a="1"/>
  <c r="E45" i="57" s="1"/>
  <c r="F57" i="57" a="1"/>
  <c r="F57" i="57" s="1"/>
  <c r="G21" i="57" a="1"/>
  <c r="G21" i="57" s="1"/>
  <c r="G13" i="57" a="1"/>
  <c r="G13" i="57" s="1"/>
  <c r="H54" i="57" a="1"/>
  <c r="H54" i="57" s="1"/>
  <c r="H46" i="57" a="1"/>
  <c r="H46" i="57" s="1"/>
  <c r="H38" i="57" a="1"/>
  <c r="H38" i="57" s="1"/>
  <c r="H30" i="57" a="1"/>
  <c r="H30" i="57" s="1"/>
  <c r="H22" i="57" a="1"/>
  <c r="H22" i="57" s="1"/>
  <c r="I49" i="57"/>
  <c r="I33" i="57"/>
  <c r="G47" i="57" a="1"/>
  <c r="G47" i="57" s="1"/>
  <c r="I47" i="57"/>
  <c r="F47" i="57" a="1"/>
  <c r="F47" i="57" s="1"/>
  <c r="G43" i="57" a="1"/>
  <c r="G43" i="57" s="1"/>
  <c r="F43" i="57" a="1"/>
  <c r="F43" i="57" s="1"/>
  <c r="G39" i="57" a="1"/>
  <c r="G39" i="57" s="1"/>
  <c r="I39" i="57"/>
  <c r="F39" i="57" a="1"/>
  <c r="F39" i="57" s="1"/>
  <c r="G35" i="57" a="1"/>
  <c r="G35" i="57" s="1"/>
  <c r="F35" i="57" a="1"/>
  <c r="F35" i="57" s="1"/>
  <c r="G31" i="57" a="1"/>
  <c r="G31" i="57" s="1"/>
  <c r="I31" i="57"/>
  <c r="F31" i="57" a="1"/>
  <c r="F31" i="57" s="1"/>
  <c r="I12" i="57"/>
  <c r="H12" i="57" a="1"/>
  <c r="H12" i="57" s="1"/>
  <c r="G12" i="57" a="1"/>
  <c r="G12" i="57" s="1"/>
  <c r="E59" i="57" a="1"/>
  <c r="E59" i="57" s="1"/>
  <c r="E31" i="57" a="1"/>
  <c r="E31" i="57" s="1"/>
  <c r="H25" i="57" a="1"/>
  <c r="H25" i="57" s="1"/>
  <c r="I25" i="57"/>
  <c r="I20" i="57"/>
  <c r="H20" i="57" a="1"/>
  <c r="H20" i="57" s="1"/>
  <c r="G20" i="57" a="1"/>
  <c r="G20" i="57" s="1"/>
  <c r="C47" i="57" a="1"/>
  <c r="C47" i="57" s="1"/>
  <c r="C42" i="57" a="1"/>
  <c r="C42" i="57" s="1"/>
  <c r="C33" i="57" a="1"/>
  <c r="C33" i="57" s="1"/>
  <c r="C24" i="57" a="1"/>
  <c r="C24" i="57" s="1"/>
  <c r="D59" i="57" a="1"/>
  <c r="D59" i="57" s="1"/>
  <c r="D50" i="57" a="1"/>
  <c r="D50" i="57" s="1"/>
  <c r="D41" i="57" a="1"/>
  <c r="D41" i="57" s="1"/>
  <c r="E58" i="57" a="1"/>
  <c r="E58" i="57" s="1"/>
  <c r="E49" i="57" a="1"/>
  <c r="E49" i="57" s="1"/>
  <c r="E35" i="57" a="1"/>
  <c r="E35" i="57" s="1"/>
  <c r="E30" i="57" a="1"/>
  <c r="E30" i="57" s="1"/>
  <c r="E19" i="57" a="1"/>
  <c r="E19" i="57" s="1"/>
  <c r="F51" i="57" a="1"/>
  <c r="F51" i="57" s="1"/>
  <c r="C39" i="57" a="1"/>
  <c r="C39" i="57" s="1"/>
  <c r="D51" i="57" a="1"/>
  <c r="D51" i="57" s="1"/>
  <c r="I53" i="57"/>
  <c r="H53" i="57" a="1"/>
  <c r="H53" i="57" s="1"/>
  <c r="I45" i="57"/>
  <c r="H45" i="57" a="1"/>
  <c r="H45" i="57" s="1"/>
  <c r="I37" i="57"/>
  <c r="H37" i="57" a="1"/>
  <c r="H37" i="57" s="1"/>
  <c r="I29" i="57"/>
  <c r="H29" i="57" a="1"/>
  <c r="H29" i="57" s="1"/>
  <c r="H24" i="57" a="1"/>
  <c r="H24" i="57" s="1"/>
  <c r="G24" i="57" a="1"/>
  <c r="G24" i="57" s="1"/>
  <c r="G15" i="57" a="1"/>
  <c r="G15" i="57" s="1"/>
  <c r="I15" i="57"/>
  <c r="F15" i="57" a="1"/>
  <c r="F15" i="57" s="1"/>
  <c r="C51" i="57" a="1"/>
  <c r="C51" i="57" s="1"/>
  <c r="C46" i="57" a="1"/>
  <c r="C46" i="57" s="1"/>
  <c r="C37" i="57" a="1"/>
  <c r="C37" i="57" s="1"/>
  <c r="D54" i="57" a="1"/>
  <c r="D54" i="57" s="1"/>
  <c r="D45" i="57" a="1"/>
  <c r="D45" i="57" s="1"/>
  <c r="D31" i="57" a="1"/>
  <c r="D31" i="57" s="1"/>
  <c r="D22" i="57" a="1"/>
  <c r="D22" i="57" s="1"/>
  <c r="D13" i="57" a="1"/>
  <c r="D13" i="57" s="1"/>
  <c r="E53" i="57" a="1"/>
  <c r="E53" i="57" s="1"/>
  <c r="E39" i="57" a="1"/>
  <c r="E39" i="57" s="1"/>
  <c r="E29" i="57" a="1"/>
  <c r="E29" i="57" s="1"/>
  <c r="E13" i="57" a="1"/>
  <c r="E13" i="57" s="1"/>
  <c r="F49" i="57" a="1"/>
  <c r="F49" i="57" s="1"/>
  <c r="F41" i="57" a="1"/>
  <c r="F41" i="57" s="1"/>
  <c r="F33" i="57" a="1"/>
  <c r="F33" i="57" s="1"/>
  <c r="F25" i="57" a="1"/>
  <c r="F25" i="57" s="1"/>
  <c r="G58" i="57" a="1"/>
  <c r="G58" i="57" s="1"/>
  <c r="G50" i="57" a="1"/>
  <c r="G50" i="57" s="1"/>
  <c r="G42" i="57" a="1"/>
  <c r="G42" i="57" s="1"/>
  <c r="G34" i="57" a="1"/>
  <c r="G34" i="57" s="1"/>
  <c r="G26" i="57" a="1"/>
  <c r="G26" i="57" s="1"/>
  <c r="H59" i="57" a="1"/>
  <c r="H59" i="57" s="1"/>
  <c r="H51" i="57" a="1"/>
  <c r="H51" i="57" s="1"/>
  <c r="H43" i="57" a="1"/>
  <c r="H43" i="57" s="1"/>
  <c r="H35" i="57" a="1"/>
  <c r="H35" i="57" s="1"/>
  <c r="I59" i="57"/>
  <c r="I43" i="57"/>
  <c r="H17" i="57" a="1"/>
  <c r="H17" i="57" s="1"/>
  <c r="I17" i="57"/>
  <c r="I28" i="57"/>
  <c r="H28" i="57" a="1"/>
  <c r="H28" i="57" s="1"/>
  <c r="G28" i="57" a="1"/>
  <c r="G28" i="57" s="1"/>
  <c r="G19" i="57" a="1"/>
  <c r="G19" i="57" s="1"/>
  <c r="F19" i="57" a="1"/>
  <c r="F19" i="57" s="1"/>
  <c r="C55" i="57" a="1"/>
  <c r="C55" i="57" s="1"/>
  <c r="C50" i="57" a="1"/>
  <c r="C50" i="57" s="1"/>
  <c r="C41" i="57" a="1"/>
  <c r="C41" i="57" s="1"/>
  <c r="D58" i="57" a="1"/>
  <c r="D58" i="57" s="1"/>
  <c r="D49" i="57" a="1"/>
  <c r="D49" i="57" s="1"/>
  <c r="D35" i="57" a="1"/>
  <c r="D35" i="57" s="1"/>
  <c r="D26" i="57" a="1"/>
  <c r="D26" i="57" s="1"/>
  <c r="D17" i="57" a="1"/>
  <c r="D17" i="57" s="1"/>
  <c r="E57" i="57" a="1"/>
  <c r="E57" i="57" s="1"/>
  <c r="E43" i="57" a="1"/>
  <c r="E43" i="57" s="1"/>
  <c r="E34" i="57" a="1"/>
  <c r="E34" i="57" s="1"/>
  <c r="E28" i="57" a="1"/>
  <c r="E28" i="57" s="1"/>
  <c r="E12" i="57" a="1"/>
  <c r="E12" i="57" s="1"/>
  <c r="I58" i="57"/>
  <c r="I42" i="57"/>
  <c r="I26" i="57"/>
  <c r="C59" i="57" a="1"/>
  <c r="C59" i="57" s="1"/>
  <c r="C54" i="57" a="1"/>
  <c r="C54" i="57" s="1"/>
  <c r="C45" i="57" a="1"/>
  <c r="C45" i="57" s="1"/>
  <c r="C22" i="57" a="1"/>
  <c r="C22" i="57" s="1"/>
  <c r="D53" i="57" a="1"/>
  <c r="D53" i="57" s="1"/>
  <c r="D39" i="57" a="1"/>
  <c r="D39" i="57" s="1"/>
  <c r="D30" i="57" a="1"/>
  <c r="D30" i="57" s="1"/>
  <c r="D21" i="57" a="1"/>
  <c r="D21" i="57" s="1"/>
  <c r="D12" i="57" a="1"/>
  <c r="D12" i="57" s="1"/>
  <c r="E47" i="57" a="1"/>
  <c r="E47" i="57" s="1"/>
  <c r="E38" i="57" a="1"/>
  <c r="E38" i="57" s="1"/>
  <c r="E33" i="57" a="1"/>
  <c r="E33" i="57" s="1"/>
  <c r="E17" i="57" a="1"/>
  <c r="E17" i="57" s="1"/>
  <c r="F55" i="57" a="1"/>
  <c r="F55" i="57" s="1"/>
  <c r="F24" i="57" a="1"/>
  <c r="F24" i="57" s="1"/>
  <c r="F16" i="57" a="1"/>
  <c r="F16" i="57" s="1"/>
  <c r="G57" i="57" a="1"/>
  <c r="G57" i="57" s="1"/>
  <c r="G49" i="57" a="1"/>
  <c r="G49" i="57" s="1"/>
  <c r="G41" i="57" a="1"/>
  <c r="G41" i="57" s="1"/>
  <c r="G33" i="57" a="1"/>
  <c r="G33" i="57" s="1"/>
  <c r="G25" i="57" a="1"/>
  <c r="G25" i="57" s="1"/>
  <c r="G17" i="57" a="1"/>
  <c r="G17" i="57" s="1"/>
  <c r="H58" i="57" a="1"/>
  <c r="H58" i="57" s="1"/>
  <c r="H50" i="57" a="1"/>
  <c r="H50" i="57" s="1"/>
  <c r="H42" i="57" a="1"/>
  <c r="H42" i="57" s="1"/>
  <c r="H34" i="57" a="1"/>
  <c r="H34" i="57" s="1"/>
  <c r="H26" i="57" a="1"/>
  <c r="H26" i="57" s="1"/>
  <c r="I57" i="57"/>
  <c r="I41" i="57"/>
  <c r="I24" i="57"/>
  <c r="I13" i="57"/>
  <c r="H13" i="57" a="1"/>
  <c r="H13" i="57" s="1"/>
  <c r="C58" i="57" a="1"/>
  <c r="C58" i="57" s="1"/>
  <c r="C49" i="57" a="1"/>
  <c r="C49" i="57" s="1"/>
  <c r="C31" i="57" a="1"/>
  <c r="C31" i="57" s="1"/>
  <c r="C26" i="57" a="1"/>
  <c r="C26" i="57" s="1"/>
  <c r="C17" i="57" a="1"/>
  <c r="C17" i="57" s="1"/>
  <c r="D57" i="57" a="1"/>
  <c r="D57" i="57" s="1"/>
  <c r="D43" i="57" a="1"/>
  <c r="D43" i="57" s="1"/>
  <c r="D34" i="57" a="1"/>
  <c r="D34" i="57" s="1"/>
  <c r="D25" i="57" a="1"/>
  <c r="D25" i="57" s="1"/>
  <c r="D16" i="57" a="1"/>
  <c r="D16" i="57" s="1"/>
  <c r="E51" i="57" a="1"/>
  <c r="E51" i="57" s="1"/>
  <c r="E42" i="57" a="1"/>
  <c r="E42" i="57" s="1"/>
  <c r="E22" i="57" a="1"/>
  <c r="E22" i="57" s="1"/>
  <c r="E16" i="57" a="1"/>
  <c r="E16" i="57" s="1"/>
  <c r="F53" i="57" a="1"/>
  <c r="F53" i="57" s="1"/>
  <c r="I19" i="57"/>
  <c r="K4" i="3"/>
  <c r="M4" i="3" s="1"/>
  <c r="F31" i="56"/>
  <c r="F18" i="56"/>
  <c r="C37" i="56" s="1"/>
  <c r="F28" i="55"/>
  <c r="F27" i="55"/>
  <c r="C43" i="54"/>
  <c r="D43" i="54" s="1"/>
  <c r="C42" i="54"/>
  <c r="D42" i="54" s="1"/>
  <c r="S12" i="59" l="1"/>
  <c r="M61" i="59"/>
  <c r="L61" i="59"/>
  <c r="G62" i="57"/>
  <c r="H62" i="57"/>
  <c r="S7" i="59" l="1"/>
  <c r="S8" i="59" s="1"/>
  <c r="S15" i="59" s="1"/>
  <c r="S16" i="59" s="1"/>
  <c r="I62" i="57"/>
  <c r="E42" i="13" l="1"/>
  <c r="E32" i="12"/>
  <c r="E26" i="12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B6" i="5"/>
  <c r="B7" i="5"/>
  <c r="E7" i="5" s="1"/>
  <c r="B8" i="5"/>
  <c r="B9" i="5"/>
  <c r="D9" i="5" s="1"/>
  <c r="B10" i="5"/>
  <c r="B11" i="5"/>
  <c r="E11" i="5" s="1"/>
  <c r="B12" i="5"/>
  <c r="B13" i="5"/>
  <c r="E13" i="5" s="1"/>
  <c r="B14" i="5"/>
  <c r="B15" i="5"/>
  <c r="E15" i="5" s="1"/>
  <c r="B16" i="5"/>
  <c r="D16" i="5" s="1"/>
  <c r="B17" i="5"/>
  <c r="D17" i="5" s="1"/>
  <c r="B18" i="5"/>
  <c r="B19" i="5"/>
  <c r="E19" i="5" s="1"/>
  <c r="B20" i="5"/>
  <c r="B21" i="5"/>
  <c r="B22" i="5"/>
  <c r="E22" i="5" s="1"/>
  <c r="B23" i="5"/>
  <c r="E23" i="5" s="1"/>
  <c r="B24" i="5"/>
  <c r="B25" i="5"/>
  <c r="D25" i="5" s="1"/>
  <c r="B26" i="5"/>
  <c r="B27" i="5"/>
  <c r="E27" i="5" s="1"/>
  <c r="B28" i="5"/>
  <c r="E28" i="5" s="1"/>
  <c r="B29" i="5"/>
  <c r="E29" i="5" s="1"/>
  <c r="B30" i="5"/>
  <c r="E30" i="5" s="1"/>
  <c r="B31" i="5"/>
  <c r="E31" i="5" s="1"/>
  <c r="B32" i="5"/>
  <c r="B33" i="5"/>
  <c r="B34" i="5"/>
  <c r="D34" i="5" s="1"/>
  <c r="B35" i="5"/>
  <c r="E35" i="5" s="1"/>
  <c r="B36" i="5"/>
  <c r="B37" i="5"/>
  <c r="B38" i="5"/>
  <c r="B39" i="5"/>
  <c r="E39" i="5" s="1"/>
  <c r="B40" i="5"/>
  <c r="B41" i="5"/>
  <c r="D41" i="5" s="1"/>
  <c r="B42" i="5"/>
  <c r="B43" i="5"/>
  <c r="E43" i="5" s="1"/>
  <c r="B44" i="5"/>
  <c r="B45" i="5"/>
  <c r="E45" i="5" s="1"/>
  <c r="B46" i="5"/>
  <c r="B47" i="5"/>
  <c r="E47" i="5" s="1"/>
  <c r="B48" i="5"/>
  <c r="B49" i="5"/>
  <c r="D49" i="5" s="1"/>
  <c r="B50" i="5"/>
  <c r="D50" i="5" s="1"/>
  <c r="B51" i="5"/>
  <c r="E51" i="5" s="1"/>
  <c r="B52" i="5"/>
  <c r="E52" i="5" s="1"/>
  <c r="B53" i="5"/>
  <c r="E53" i="5" s="1"/>
  <c r="B54" i="5"/>
  <c r="E54" i="5" s="1"/>
  <c r="B55" i="5"/>
  <c r="E55" i="5" s="1"/>
  <c r="B56" i="5"/>
  <c r="B57" i="5"/>
  <c r="D57" i="5" s="1"/>
  <c r="B58" i="5"/>
  <c r="D58" i="5" s="1"/>
  <c r="B59" i="5"/>
  <c r="E59" i="5" s="1"/>
  <c r="B60" i="5"/>
  <c r="E60" i="5" s="1"/>
  <c r="B61" i="5"/>
  <c r="B62" i="5"/>
  <c r="B63" i="5"/>
  <c r="E63" i="5" s="1"/>
  <c r="B64" i="5"/>
  <c r="B65" i="5"/>
  <c r="D65" i="5" s="1"/>
  <c r="B66" i="5"/>
  <c r="B67" i="5"/>
  <c r="E67" i="5" s="1"/>
  <c r="B68" i="5"/>
  <c r="B69" i="5"/>
  <c r="B70" i="5"/>
  <c r="E70" i="5" s="1"/>
  <c r="B71" i="5"/>
  <c r="E71" i="5" s="1"/>
  <c r="B72" i="5"/>
  <c r="B73" i="5"/>
  <c r="B74" i="5"/>
  <c r="B75" i="5"/>
  <c r="E75" i="5" s="1"/>
  <c r="B76" i="5"/>
  <c r="B77" i="5"/>
  <c r="E77" i="5" s="1"/>
  <c r="B78" i="5"/>
  <c r="E78" i="5" s="1"/>
  <c r="B79" i="5"/>
  <c r="E79" i="5" s="1"/>
  <c r="B80" i="5"/>
  <c r="D80" i="5" s="1"/>
  <c r="B81" i="5"/>
  <c r="D81" i="5" s="1"/>
  <c r="B82" i="5"/>
  <c r="B83" i="5"/>
  <c r="E83" i="5" s="1"/>
  <c r="B84" i="5"/>
  <c r="B85" i="5"/>
  <c r="B86" i="5"/>
  <c r="E86" i="5" s="1"/>
  <c r="B87" i="5"/>
  <c r="E87" i="5" s="1"/>
  <c r="B88" i="5"/>
  <c r="B89" i="5"/>
  <c r="D89" i="5" s="1"/>
  <c r="B90" i="5"/>
  <c r="D90" i="5" s="1"/>
  <c r="B91" i="5"/>
  <c r="E91" i="5" s="1"/>
  <c r="B92" i="5"/>
  <c r="E92" i="5" s="1"/>
  <c r="B93" i="5"/>
  <c r="B94" i="5"/>
  <c r="B95" i="5"/>
  <c r="E95" i="5" s="1"/>
  <c r="B96" i="5"/>
  <c r="B97" i="5"/>
  <c r="B98" i="5"/>
  <c r="D98" i="5" s="1"/>
  <c r="B99" i="5"/>
  <c r="E99" i="5" s="1"/>
  <c r="B100" i="5"/>
  <c r="E100" i="5" s="1"/>
  <c r="B101" i="5"/>
  <c r="B102" i="5"/>
  <c r="B103" i="5"/>
  <c r="E103" i="5" s="1"/>
  <c r="B104" i="5"/>
  <c r="B105" i="5"/>
  <c r="D105" i="5" s="1"/>
  <c r="B106" i="5"/>
  <c r="D106" i="5" s="1"/>
  <c r="B107" i="5"/>
  <c r="E107" i="5" s="1"/>
  <c r="B108" i="5"/>
  <c r="B109" i="5"/>
  <c r="E109" i="5" s="1"/>
  <c r="B110" i="5"/>
  <c r="E110" i="5" s="1"/>
  <c r="B111" i="5"/>
  <c r="E111" i="5" s="1"/>
  <c r="B112" i="5"/>
  <c r="B113" i="5"/>
  <c r="B114" i="5"/>
  <c r="B115" i="5"/>
  <c r="E115" i="5" s="1"/>
  <c r="B116" i="5"/>
  <c r="E116" i="5" s="1"/>
  <c r="B117" i="5"/>
  <c r="E117" i="5" s="1"/>
  <c r="B118" i="5"/>
  <c r="B119" i="5"/>
  <c r="E119" i="5" s="1"/>
  <c r="B120" i="5"/>
  <c r="B121" i="5"/>
  <c r="D121" i="5" s="1"/>
  <c r="B122" i="5"/>
  <c r="D122" i="5" s="1"/>
  <c r="B123" i="5"/>
  <c r="E123" i="5" s="1"/>
  <c r="B124" i="5"/>
  <c r="B125" i="5"/>
  <c r="B126" i="5"/>
  <c r="B127" i="5"/>
  <c r="E127" i="5" s="1"/>
  <c r="B128" i="5"/>
  <c r="B129" i="5"/>
  <c r="D129" i="5" s="1"/>
  <c r="B130" i="5"/>
  <c r="B131" i="5"/>
  <c r="E131" i="5" s="1"/>
  <c r="B132" i="5"/>
  <c r="E132" i="5" s="1"/>
  <c r="B133" i="5"/>
  <c r="B134" i="5"/>
  <c r="E134" i="5" s="1"/>
  <c r="B135" i="5"/>
  <c r="E135" i="5" s="1"/>
  <c r="B136" i="5"/>
  <c r="B137" i="5"/>
  <c r="B138" i="5"/>
  <c r="D138" i="5" s="1"/>
  <c r="B139" i="5"/>
  <c r="E139" i="5" s="1"/>
  <c r="B140" i="5"/>
  <c r="E140" i="5" s="1"/>
  <c r="B141" i="5"/>
  <c r="E141" i="5" s="1"/>
  <c r="B142" i="5"/>
  <c r="E142" i="5" s="1"/>
  <c r="B143" i="5"/>
  <c r="E143" i="5" s="1"/>
  <c r="B144" i="5"/>
  <c r="D144" i="5" s="1"/>
  <c r="B145" i="5"/>
  <c r="D145" i="5" s="1"/>
  <c r="B146" i="5"/>
  <c r="B147" i="5"/>
  <c r="E147" i="5" s="1"/>
  <c r="B148" i="5"/>
  <c r="B149" i="5"/>
  <c r="B150" i="5"/>
  <c r="B151" i="5"/>
  <c r="E151" i="5" s="1"/>
  <c r="B152" i="5"/>
  <c r="B153" i="5"/>
  <c r="D153" i="5" s="1"/>
  <c r="B154" i="5"/>
  <c r="B155" i="5"/>
  <c r="E155" i="5" s="1"/>
  <c r="B156" i="5"/>
  <c r="B157" i="5"/>
  <c r="E157" i="5" s="1"/>
  <c r="B158" i="5"/>
  <c r="B159" i="5"/>
  <c r="E159" i="5" s="1"/>
  <c r="B160" i="5"/>
  <c r="B161" i="5"/>
  <c r="B162" i="5"/>
  <c r="D162" i="5" s="1"/>
  <c r="B163" i="5"/>
  <c r="E163" i="5" s="1"/>
  <c r="B164" i="5"/>
  <c r="E164" i="5" s="1"/>
  <c r="B165" i="5"/>
  <c r="E165" i="5" s="1"/>
  <c r="B166" i="5"/>
  <c r="B167" i="5"/>
  <c r="B168" i="5"/>
  <c r="B169" i="5"/>
  <c r="D169" i="5" s="1"/>
  <c r="B170" i="5"/>
  <c r="D170" i="5" s="1"/>
  <c r="B171" i="5"/>
  <c r="E171" i="5" s="1"/>
  <c r="B172" i="5"/>
  <c r="B173" i="5"/>
  <c r="E173" i="5" s="1"/>
  <c r="B174" i="5"/>
  <c r="E174" i="5" s="1"/>
  <c r="B175" i="5"/>
  <c r="B176" i="5"/>
  <c r="B177" i="5"/>
  <c r="D177" i="5" s="1"/>
  <c r="B178" i="5"/>
  <c r="D178" i="5" s="1"/>
  <c r="B179" i="5"/>
  <c r="E179" i="5" s="1"/>
  <c r="B180" i="5"/>
  <c r="B181" i="5"/>
  <c r="B182" i="5"/>
  <c r="E182" i="5" s="1"/>
  <c r="B183" i="5"/>
  <c r="B184" i="5"/>
  <c r="B185" i="5"/>
  <c r="B186" i="5"/>
  <c r="B187" i="5"/>
  <c r="E187" i="5" s="1"/>
  <c r="B188" i="5"/>
  <c r="B189" i="5"/>
  <c r="B190" i="5"/>
  <c r="B191" i="5"/>
  <c r="B192" i="5"/>
  <c r="B193" i="5"/>
  <c r="D193" i="5" s="1"/>
  <c r="B194" i="5"/>
  <c r="B195" i="5"/>
  <c r="E195" i="5" s="1"/>
  <c r="B196" i="5"/>
  <c r="E196" i="5" s="1"/>
  <c r="B197" i="5"/>
  <c r="E197" i="5" s="1"/>
  <c r="B198" i="5"/>
  <c r="E198" i="5" s="1"/>
  <c r="B199" i="5"/>
  <c r="B200" i="5"/>
  <c r="B201" i="5"/>
  <c r="B202" i="5"/>
  <c r="D202" i="5" s="1"/>
  <c r="B203" i="5"/>
  <c r="E203" i="5" s="1"/>
  <c r="B204" i="5"/>
  <c r="E204" i="5" s="1"/>
  <c r="B205" i="5"/>
  <c r="B206" i="5"/>
  <c r="B207" i="5"/>
  <c r="B208" i="5"/>
  <c r="D208" i="5" s="1"/>
  <c r="B209" i="5"/>
  <c r="D209" i="5" s="1"/>
  <c r="B210" i="5"/>
  <c r="B211" i="5"/>
  <c r="E211" i="5" s="1"/>
  <c r="B212" i="5"/>
  <c r="B213" i="5"/>
  <c r="B214" i="5"/>
  <c r="E214" i="5" s="1"/>
  <c r="B215" i="5"/>
  <c r="B216" i="5"/>
  <c r="B217" i="5"/>
  <c r="D217" i="5" s="1"/>
  <c r="B218" i="5"/>
  <c r="D218" i="5" s="1"/>
  <c r="B219" i="5"/>
  <c r="E219" i="5" s="1"/>
  <c r="B220" i="5"/>
  <c r="B221" i="5"/>
  <c r="E221" i="5" s="1"/>
  <c r="B222" i="5"/>
  <c r="E222" i="5" s="1"/>
  <c r="B223" i="5"/>
  <c r="B224" i="5"/>
  <c r="B225" i="5"/>
  <c r="D225" i="5" s="1"/>
  <c r="B226" i="5"/>
  <c r="D226" i="5" s="1"/>
  <c r="B227" i="5"/>
  <c r="E227" i="5" s="1"/>
  <c r="B228" i="5"/>
  <c r="E228" i="5" s="1"/>
  <c r="B229" i="5"/>
  <c r="E229" i="5" s="1"/>
  <c r="B230" i="5"/>
  <c r="B231" i="5"/>
  <c r="B232" i="5"/>
  <c r="B233" i="5"/>
  <c r="D233" i="5" s="1"/>
  <c r="B234" i="5"/>
  <c r="D234" i="5" s="1"/>
  <c r="B235" i="5"/>
  <c r="E235" i="5" s="1"/>
  <c r="B236" i="5"/>
  <c r="B237" i="5"/>
  <c r="B238" i="5"/>
  <c r="B239" i="5"/>
  <c r="B240" i="5"/>
  <c r="B241" i="5"/>
  <c r="B242" i="5"/>
  <c r="B243" i="5"/>
  <c r="E243" i="5" s="1"/>
  <c r="B244" i="5"/>
  <c r="E244" i="5" s="1"/>
  <c r="B245" i="5"/>
  <c r="B246" i="5"/>
  <c r="E246" i="5" s="1"/>
  <c r="B247" i="5"/>
  <c r="B248" i="5"/>
  <c r="B249" i="5"/>
  <c r="B250" i="5"/>
  <c r="B251" i="5"/>
  <c r="E251" i="5" s="1"/>
  <c r="B252" i="5"/>
  <c r="E252" i="5" s="1"/>
  <c r="B253" i="5"/>
  <c r="B254" i="5"/>
  <c r="B255" i="5"/>
  <c r="B256" i="5"/>
  <c r="B257" i="5"/>
  <c r="D257" i="5" s="1"/>
  <c r="B258" i="5"/>
  <c r="D258" i="5" s="1"/>
  <c r="B259" i="5"/>
  <c r="E259" i="5" s="1"/>
  <c r="B260" i="5"/>
  <c r="E260" i="5" s="1"/>
  <c r="B261" i="5"/>
  <c r="E261" i="5" s="1"/>
  <c r="B262" i="5"/>
  <c r="B263" i="5"/>
  <c r="B264" i="5"/>
  <c r="B265" i="5"/>
  <c r="B266" i="5"/>
  <c r="D266" i="5" s="1"/>
  <c r="B267" i="5"/>
  <c r="E267" i="5" s="1"/>
  <c r="B268" i="5"/>
  <c r="B269" i="5"/>
  <c r="E269" i="5" s="1"/>
  <c r="B270" i="5"/>
  <c r="B271" i="5"/>
  <c r="B272" i="5"/>
  <c r="D272" i="5" s="1"/>
  <c r="B273" i="5"/>
  <c r="D273" i="5" s="1"/>
  <c r="B274" i="5"/>
  <c r="D274" i="5" s="1"/>
  <c r="B275" i="5"/>
  <c r="E275" i="5" s="1"/>
  <c r="B276" i="5"/>
  <c r="B277" i="5"/>
  <c r="B278" i="5"/>
  <c r="E278" i="5" s="1"/>
  <c r="B279" i="5"/>
  <c r="B280" i="5"/>
  <c r="B281" i="5"/>
  <c r="D281" i="5" s="1"/>
  <c r="B282" i="5"/>
  <c r="B283" i="5"/>
  <c r="E283" i="5" s="1"/>
  <c r="B284" i="5"/>
  <c r="E284" i="5" s="1"/>
  <c r="B285" i="5"/>
  <c r="E285" i="5" s="1"/>
  <c r="B286" i="5"/>
  <c r="E286" i="5" s="1"/>
  <c r="B287" i="5"/>
  <c r="B288" i="5"/>
  <c r="B289" i="5"/>
  <c r="B290" i="5"/>
  <c r="D290" i="5" s="1"/>
  <c r="B291" i="5"/>
  <c r="E291" i="5" s="1"/>
  <c r="B292" i="5"/>
  <c r="B293" i="5"/>
  <c r="B294" i="5"/>
  <c r="B295" i="5"/>
  <c r="B296" i="5"/>
  <c r="B297" i="5"/>
  <c r="D297" i="5" s="1"/>
  <c r="B298" i="5"/>
  <c r="D298" i="5" s="1"/>
  <c r="B299" i="5"/>
  <c r="E299" i="5" s="1"/>
  <c r="B300" i="5"/>
  <c r="B301" i="5"/>
  <c r="E301" i="5" s="1"/>
  <c r="B302" i="5"/>
  <c r="B303" i="5"/>
  <c r="B304" i="5"/>
  <c r="C5" i="5"/>
  <c r="B5" i="5"/>
  <c r="E306" i="4"/>
  <c r="D306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G5" i="4"/>
  <c r="F5" i="4"/>
  <c r="C5" i="4"/>
  <c r="B5" i="4"/>
  <c r="K508" i="3"/>
  <c r="J508" i="3"/>
  <c r="F43" i="13" l="1"/>
  <c r="F31" i="13"/>
  <c r="F40" i="13"/>
  <c r="F30" i="13"/>
  <c r="F39" i="13"/>
  <c r="F28" i="13"/>
  <c r="F38" i="13"/>
  <c r="F27" i="13"/>
  <c r="F37" i="13"/>
  <c r="F26" i="13"/>
  <c r="F32" i="13"/>
  <c r="F34" i="13"/>
  <c r="F33" i="13"/>
  <c r="F24" i="13"/>
  <c r="F14" i="13"/>
  <c r="F15" i="13"/>
  <c r="F21" i="13"/>
  <c r="F12" i="13"/>
  <c r="F9" i="13"/>
  <c r="F16" i="13"/>
  <c r="F20" i="13"/>
  <c r="F11" i="13"/>
  <c r="F19" i="13"/>
  <c r="F10" i="13"/>
  <c r="F18" i="13"/>
  <c r="F17" i="13"/>
  <c r="F7" i="13"/>
  <c r="F6" i="13"/>
  <c r="F5" i="13"/>
  <c r="F36" i="12"/>
  <c r="F35" i="12"/>
  <c r="F31" i="12"/>
  <c r="F30" i="12"/>
  <c r="F29" i="12"/>
  <c r="F27" i="12"/>
  <c r="F28" i="12"/>
  <c r="F22" i="12"/>
  <c r="F12" i="12"/>
  <c r="F21" i="12"/>
  <c r="F11" i="12"/>
  <c r="F20" i="12"/>
  <c r="F10" i="12"/>
  <c r="F19" i="12"/>
  <c r="F9" i="12"/>
  <c r="F13" i="12"/>
  <c r="F16" i="12"/>
  <c r="F6" i="12"/>
  <c r="F15" i="12"/>
  <c r="F14" i="12"/>
  <c r="H40" i="11"/>
  <c r="H29" i="11"/>
  <c r="H39" i="11"/>
  <c r="H28" i="11"/>
  <c r="H38" i="11"/>
  <c r="H35" i="11"/>
  <c r="H31" i="11"/>
  <c r="H34" i="11"/>
  <c r="H33" i="11"/>
  <c r="H30" i="11"/>
  <c r="D25" i="14"/>
  <c r="D8" i="14"/>
  <c r="E5" i="5"/>
  <c r="E17" i="13"/>
  <c r="E20" i="12"/>
  <c r="N51" i="56" a="1"/>
  <c r="N51" i="56" s="1"/>
  <c r="C51" i="56" a="1"/>
  <c r="C51" i="56" s="1"/>
  <c r="N49" i="56" a="1"/>
  <c r="N49" i="56" s="1"/>
  <c r="H49" i="56" a="1"/>
  <c r="H49" i="56" s="1"/>
  <c r="M48" i="56" a="1"/>
  <c r="M48" i="56" s="1"/>
  <c r="G48" i="56" a="1"/>
  <c r="G48" i="56" s="1"/>
  <c r="F47" i="56" a="1"/>
  <c r="F47" i="56" s="1"/>
  <c r="M51" i="56" a="1"/>
  <c r="M51" i="56" s="1"/>
  <c r="H51" i="56" a="1"/>
  <c r="H51" i="56" s="1"/>
  <c r="N50" i="56" a="1"/>
  <c r="N50" i="56" s="1"/>
  <c r="H50" i="56" a="1"/>
  <c r="H50" i="56" s="1"/>
  <c r="M49" i="56" a="1"/>
  <c r="M49" i="56" s="1"/>
  <c r="G49" i="56" a="1"/>
  <c r="G49" i="56" s="1"/>
  <c r="F48" i="56" a="1"/>
  <c r="F48" i="56" s="1"/>
  <c r="L47" i="56" a="1"/>
  <c r="L47" i="56" s="1"/>
  <c r="E47" i="56" a="1"/>
  <c r="E47" i="56" s="1"/>
  <c r="K47" i="56" a="1"/>
  <c r="K47" i="56" s="1"/>
  <c r="G51" i="56" a="1"/>
  <c r="G51" i="56" s="1"/>
  <c r="M50" i="56" a="1"/>
  <c r="M50" i="56" s="1"/>
  <c r="G50" i="56" a="1"/>
  <c r="G50" i="56" s="1"/>
  <c r="F49" i="56" a="1"/>
  <c r="F49" i="56" s="1"/>
  <c r="L48" i="56" a="1"/>
  <c r="L48" i="56" s="1"/>
  <c r="E48" i="56" a="1"/>
  <c r="E48" i="56" s="1"/>
  <c r="D47" i="56" a="1"/>
  <c r="D47" i="56" s="1"/>
  <c r="N47" i="56" a="1"/>
  <c r="N47" i="56" s="1"/>
  <c r="L51" i="56" a="1"/>
  <c r="L51" i="56" s="1"/>
  <c r="F50" i="56" a="1"/>
  <c r="F50" i="56" s="1"/>
  <c r="L49" i="56" a="1"/>
  <c r="L49" i="56" s="1"/>
  <c r="E49" i="56" a="1"/>
  <c r="E49" i="56" s="1"/>
  <c r="K48" i="56" a="1"/>
  <c r="K48" i="56" s="1"/>
  <c r="J47" i="56" a="1"/>
  <c r="J47" i="56" s="1"/>
  <c r="C47" i="56" a="1"/>
  <c r="C47" i="56" s="1"/>
  <c r="I49" i="56" a="1"/>
  <c r="I49" i="56" s="1"/>
  <c r="K51" i="56" a="1"/>
  <c r="K51" i="56" s="1"/>
  <c r="F51" i="56" a="1"/>
  <c r="F51" i="56" s="1"/>
  <c r="L50" i="56" a="1"/>
  <c r="L50" i="56" s="1"/>
  <c r="E50" i="56" a="1"/>
  <c r="E50" i="56" s="1"/>
  <c r="K49" i="56" a="1"/>
  <c r="K49" i="56" s="1"/>
  <c r="J48" i="56" a="1"/>
  <c r="J48" i="56" s="1"/>
  <c r="D48" i="56" a="1"/>
  <c r="D48" i="56" s="1"/>
  <c r="I47" i="56" a="1"/>
  <c r="I47" i="56" s="1"/>
  <c r="D50" i="56" a="1"/>
  <c r="D50" i="56" s="1"/>
  <c r="H47" i="56" a="1"/>
  <c r="H47" i="56" s="1"/>
  <c r="E51" i="56" a="1"/>
  <c r="E51" i="56" s="1"/>
  <c r="K50" i="56" a="1"/>
  <c r="K50" i="56" s="1"/>
  <c r="J49" i="56" a="1"/>
  <c r="J49" i="56" s="1"/>
  <c r="D49" i="56" a="1"/>
  <c r="D49" i="56" s="1"/>
  <c r="I48" i="56" a="1"/>
  <c r="I48" i="56" s="1"/>
  <c r="C48" i="56" a="1"/>
  <c r="C48" i="56" s="1"/>
  <c r="J51" i="56" a="1"/>
  <c r="J51" i="56" s="1"/>
  <c r="J50" i="56" a="1"/>
  <c r="J50" i="56" s="1"/>
  <c r="I51" i="56" a="1"/>
  <c r="I51" i="56" s="1"/>
  <c r="D51" i="56" a="1"/>
  <c r="D51" i="56" s="1"/>
  <c r="I50" i="56" a="1"/>
  <c r="I50" i="56" s="1"/>
  <c r="C50" i="56" a="1"/>
  <c r="C50" i="56" s="1"/>
  <c r="N48" i="56" a="1"/>
  <c r="N48" i="56" s="1"/>
  <c r="H48" i="56" a="1"/>
  <c r="H48" i="56" s="1"/>
  <c r="M47" i="56" a="1"/>
  <c r="M47" i="56" s="1"/>
  <c r="G47" i="56" a="1"/>
  <c r="G47" i="56" s="1"/>
  <c r="C49" i="56" a="1"/>
  <c r="C49" i="56" s="1"/>
  <c r="D28" i="56" a="1"/>
  <c r="D28" i="56" s="1"/>
  <c r="E25" i="56" a="1"/>
  <c r="E25" i="56" s="1"/>
  <c r="E30" i="56" a="1"/>
  <c r="E30" i="56" s="1"/>
  <c r="G30" i="56" s="1"/>
  <c r="D25" i="56" a="1"/>
  <c r="D25" i="56" s="1"/>
  <c r="E22" i="56" a="1"/>
  <c r="E22" i="56" s="1"/>
  <c r="C76" i="56" s="1"/>
  <c r="D30" i="56" a="1"/>
  <c r="D30" i="56" s="1"/>
  <c r="E27" i="56" a="1"/>
  <c r="E27" i="56" s="1"/>
  <c r="D22" i="56" a="1"/>
  <c r="D22" i="56" s="1"/>
  <c r="E23" i="56" a="1"/>
  <c r="E23" i="56" s="1"/>
  <c r="D23" i="56" a="1"/>
  <c r="D23" i="56" s="1"/>
  <c r="D27" i="56" a="1"/>
  <c r="D27" i="56" s="1"/>
  <c r="E24" i="56" a="1"/>
  <c r="E24" i="56" s="1"/>
  <c r="D26" i="56" a="1"/>
  <c r="D26" i="56" s="1"/>
  <c r="E29" i="56" a="1"/>
  <c r="E29" i="56" s="1"/>
  <c r="G29" i="56" s="1"/>
  <c r="D24" i="56" a="1"/>
  <c r="D24" i="56" s="1"/>
  <c r="D29" i="56" a="1"/>
  <c r="D29" i="56" s="1"/>
  <c r="E26" i="56" a="1"/>
  <c r="E26" i="56" s="1"/>
  <c r="E28" i="56" a="1"/>
  <c r="E28" i="56" s="1"/>
  <c r="C37" i="55"/>
  <c r="C39" i="55" s="1"/>
  <c r="E9" i="56" a="1"/>
  <c r="E9" i="56" s="1"/>
  <c r="D12" i="56" a="1"/>
  <c r="D12" i="56" s="1"/>
  <c r="E17" i="56" a="1"/>
  <c r="E17" i="56" s="1"/>
  <c r="G17" i="56" s="1"/>
  <c r="E15" i="56" a="1"/>
  <c r="E15" i="56" s="1"/>
  <c r="G15" i="56" s="1"/>
  <c r="E13" i="56" a="1"/>
  <c r="E13" i="56" s="1"/>
  <c r="G13" i="56" s="1"/>
  <c r="E11" i="56" a="1"/>
  <c r="E11" i="56" s="1"/>
  <c r="D9" i="56" a="1"/>
  <c r="D9" i="56" s="1"/>
  <c r="D17" i="56" a="1"/>
  <c r="D17" i="56" s="1"/>
  <c r="D15" i="56" a="1"/>
  <c r="D15" i="56" s="1"/>
  <c r="D13" i="56" a="1"/>
  <c r="D13" i="56" s="1"/>
  <c r="D11" i="56" a="1"/>
  <c r="D11" i="56" s="1"/>
  <c r="D10" i="56" a="1"/>
  <c r="D10" i="56" s="1"/>
  <c r="E8" i="56" a="1"/>
  <c r="E8" i="56" s="1"/>
  <c r="C87" i="56" s="1"/>
  <c r="D8" i="56" a="1"/>
  <c r="D8" i="56" s="1"/>
  <c r="D16" i="56" a="1"/>
  <c r="D16" i="56" s="1"/>
  <c r="E16" i="56" a="1"/>
  <c r="E16" i="56" s="1"/>
  <c r="G16" i="56" s="1"/>
  <c r="E14" i="56" a="1"/>
  <c r="E14" i="56" s="1"/>
  <c r="G14" i="56" s="1"/>
  <c r="E12" i="56" a="1"/>
  <c r="E12" i="56" s="1"/>
  <c r="E10" i="56" a="1"/>
  <c r="E10" i="56" s="1"/>
  <c r="D14" i="56" a="1"/>
  <c r="D14" i="56" s="1"/>
  <c r="C52" i="54"/>
  <c r="C54" i="54" s="1"/>
  <c r="F30" i="55" a="1"/>
  <c r="F30" i="55" s="1"/>
  <c r="F29" i="55" a="1"/>
  <c r="F29" i="55" s="1"/>
  <c r="C44" i="54" a="1"/>
  <c r="C44" i="54" s="1"/>
  <c r="D44" i="54" s="1"/>
  <c r="C45" i="54" a="1"/>
  <c r="C45" i="54" s="1"/>
  <c r="D45" i="54" s="1"/>
  <c r="C6" i="53"/>
  <c r="C19" i="54"/>
  <c r="D6" i="53"/>
  <c r="D19" i="54"/>
  <c r="H12" i="11"/>
  <c r="H8" i="11"/>
  <c r="H11" i="11"/>
  <c r="H7" i="11"/>
  <c r="F51" i="5"/>
  <c r="F219" i="5"/>
  <c r="F304" i="5"/>
  <c r="F296" i="5"/>
  <c r="F288" i="5"/>
  <c r="F280" i="5"/>
  <c r="F272" i="5"/>
  <c r="F264" i="5"/>
  <c r="F256" i="5"/>
  <c r="F248" i="5"/>
  <c r="F240" i="5"/>
  <c r="F232" i="5"/>
  <c r="F224" i="5"/>
  <c r="F216" i="5"/>
  <c r="F208" i="5"/>
  <c r="F200" i="5"/>
  <c r="F192" i="5"/>
  <c r="F184" i="5"/>
  <c r="F176" i="5"/>
  <c r="F168" i="5"/>
  <c r="F160" i="5"/>
  <c r="F152" i="5"/>
  <c r="F144" i="5"/>
  <c r="F136" i="5"/>
  <c r="F128" i="5"/>
  <c r="F120" i="5"/>
  <c r="F112" i="5"/>
  <c r="F104" i="5"/>
  <c r="F96" i="5"/>
  <c r="F88" i="5"/>
  <c r="F80" i="5"/>
  <c r="F72" i="5"/>
  <c r="F64" i="5"/>
  <c r="F56" i="5"/>
  <c r="F48" i="5"/>
  <c r="F40" i="5"/>
  <c r="F32" i="5"/>
  <c r="F24" i="5"/>
  <c r="F16" i="5"/>
  <c r="F8" i="5"/>
  <c r="D229" i="5"/>
  <c r="F295" i="5"/>
  <c r="F263" i="5"/>
  <c r="F207" i="5"/>
  <c r="F167" i="5"/>
  <c r="F151" i="5"/>
  <c r="F55" i="5"/>
  <c r="F39" i="5"/>
  <c r="F31" i="5"/>
  <c r="F15" i="5"/>
  <c r="D53" i="5"/>
  <c r="E258" i="5"/>
  <c r="E98" i="5"/>
  <c r="F203" i="5"/>
  <c r="F123" i="5"/>
  <c r="F291" i="5"/>
  <c r="F27" i="5"/>
  <c r="F298" i="5"/>
  <c r="F290" i="5"/>
  <c r="F282" i="5"/>
  <c r="F274" i="5"/>
  <c r="F266" i="5"/>
  <c r="F258" i="5"/>
  <c r="F250" i="5"/>
  <c r="F242" i="5"/>
  <c r="F234" i="5"/>
  <c r="F226" i="5"/>
  <c r="F218" i="5"/>
  <c r="F210" i="5"/>
  <c r="F202" i="5"/>
  <c r="F194" i="5"/>
  <c r="F186" i="5"/>
  <c r="F178" i="5"/>
  <c r="F170" i="5"/>
  <c r="F162" i="5"/>
  <c r="F154" i="5"/>
  <c r="F146" i="5"/>
  <c r="F138" i="5"/>
  <c r="F130" i="5"/>
  <c r="F122" i="5"/>
  <c r="F114" i="5"/>
  <c r="F106" i="5"/>
  <c r="F98" i="5"/>
  <c r="F90" i="5"/>
  <c r="F82" i="5"/>
  <c r="F74" i="5"/>
  <c r="F66" i="5"/>
  <c r="F58" i="5"/>
  <c r="F50" i="5"/>
  <c r="F42" i="5"/>
  <c r="F34" i="5"/>
  <c r="F26" i="5"/>
  <c r="F18" i="5"/>
  <c r="F10" i="5"/>
  <c r="F297" i="5"/>
  <c r="F289" i="5"/>
  <c r="F281" i="5"/>
  <c r="F273" i="5"/>
  <c r="F265" i="5"/>
  <c r="F257" i="5"/>
  <c r="F249" i="5"/>
  <c r="F241" i="5"/>
  <c r="F233" i="5"/>
  <c r="F225" i="5"/>
  <c r="F217" i="5"/>
  <c r="F209" i="5"/>
  <c r="F201" i="5"/>
  <c r="F193" i="5"/>
  <c r="F185" i="5"/>
  <c r="F177" i="5"/>
  <c r="F169" i="5"/>
  <c r="F161" i="5"/>
  <c r="F153" i="5"/>
  <c r="F145" i="5"/>
  <c r="F137" i="5"/>
  <c r="F129" i="5"/>
  <c r="F121" i="5"/>
  <c r="F113" i="5"/>
  <c r="F105" i="5"/>
  <c r="F97" i="5"/>
  <c r="F89" i="5"/>
  <c r="F81" i="5"/>
  <c r="F73" i="5"/>
  <c r="F65" i="5"/>
  <c r="F57" i="5"/>
  <c r="F49" i="5"/>
  <c r="F41" i="5"/>
  <c r="F33" i="5"/>
  <c r="F25" i="5"/>
  <c r="F17" i="5"/>
  <c r="F9" i="5"/>
  <c r="D100" i="5"/>
  <c r="D92" i="5"/>
  <c r="E218" i="5"/>
  <c r="E90" i="5"/>
  <c r="D284" i="5"/>
  <c r="E202" i="5"/>
  <c r="E58" i="5"/>
  <c r="D228" i="5"/>
  <c r="E298" i="5"/>
  <c r="E177" i="5"/>
  <c r="E34" i="5"/>
  <c r="D52" i="5"/>
  <c r="E178" i="5"/>
  <c r="E57" i="5"/>
  <c r="D196" i="5"/>
  <c r="E290" i="5"/>
  <c r="E170" i="5"/>
  <c r="E9" i="5"/>
  <c r="F300" i="5"/>
  <c r="F292" i="5"/>
  <c r="F284" i="5"/>
  <c r="F276" i="5"/>
  <c r="F268" i="5"/>
  <c r="F260" i="5"/>
  <c r="F252" i="5"/>
  <c r="F244" i="5"/>
  <c r="F236" i="5"/>
  <c r="F228" i="5"/>
  <c r="F220" i="5"/>
  <c r="F212" i="5"/>
  <c r="F204" i="5"/>
  <c r="F196" i="5"/>
  <c r="F188" i="5"/>
  <c r="F180" i="5"/>
  <c r="F172" i="5"/>
  <c r="F164" i="5"/>
  <c r="F156" i="5"/>
  <c r="F148" i="5"/>
  <c r="F140" i="5"/>
  <c r="F132" i="5"/>
  <c r="F124" i="5"/>
  <c r="F116" i="5"/>
  <c r="F108" i="5"/>
  <c r="F100" i="5"/>
  <c r="F92" i="5"/>
  <c r="F84" i="5"/>
  <c r="F76" i="5"/>
  <c r="F68" i="5"/>
  <c r="F60" i="5"/>
  <c r="F52" i="5"/>
  <c r="F44" i="5"/>
  <c r="F36" i="5"/>
  <c r="F28" i="5"/>
  <c r="F20" i="5"/>
  <c r="F12" i="5"/>
  <c r="F303" i="5"/>
  <c r="F271" i="5"/>
  <c r="F239" i="5"/>
  <c r="F231" i="5"/>
  <c r="F183" i="5"/>
  <c r="F159" i="5"/>
  <c r="F143" i="5"/>
  <c r="F119" i="5"/>
  <c r="F103" i="5"/>
  <c r="F95" i="5"/>
  <c r="F79" i="5"/>
  <c r="F23" i="5"/>
  <c r="D141" i="5"/>
  <c r="E274" i="5"/>
  <c r="E121" i="5"/>
  <c r="F299" i="5"/>
  <c r="F283" i="5"/>
  <c r="F275" i="5"/>
  <c r="F267" i="5"/>
  <c r="F259" i="5"/>
  <c r="F251" i="5"/>
  <c r="F243" i="5"/>
  <c r="F235" i="5"/>
  <c r="F227" i="5"/>
  <c r="F211" i="5"/>
  <c r="F195" i="5"/>
  <c r="F187" i="5"/>
  <c r="F179" i="5"/>
  <c r="F171" i="5"/>
  <c r="F163" i="5"/>
  <c r="F155" i="5"/>
  <c r="F147" i="5"/>
  <c r="F139" i="5"/>
  <c r="F131" i="5"/>
  <c r="F115" i="5"/>
  <c r="F107" i="5"/>
  <c r="F99" i="5"/>
  <c r="F91" i="5"/>
  <c r="F83" i="5"/>
  <c r="F75" i="5"/>
  <c r="F67" i="5"/>
  <c r="F59" i="5"/>
  <c r="F43" i="5"/>
  <c r="F35" i="5"/>
  <c r="F19" i="5"/>
  <c r="F11" i="5"/>
  <c r="F302" i="5"/>
  <c r="F294" i="5"/>
  <c r="F286" i="5"/>
  <c r="F278" i="5"/>
  <c r="F270" i="5"/>
  <c r="F262" i="5"/>
  <c r="F254" i="5"/>
  <c r="F246" i="5"/>
  <c r="F238" i="5"/>
  <c r="F230" i="5"/>
  <c r="F222" i="5"/>
  <c r="F214" i="5"/>
  <c r="F206" i="5"/>
  <c r="F198" i="5"/>
  <c r="F190" i="5"/>
  <c r="F182" i="5"/>
  <c r="F174" i="5"/>
  <c r="F166" i="5"/>
  <c r="F158" i="5"/>
  <c r="F150" i="5"/>
  <c r="F142" i="5"/>
  <c r="F134" i="5"/>
  <c r="F126" i="5"/>
  <c r="F118" i="5"/>
  <c r="F110" i="5"/>
  <c r="F102" i="5"/>
  <c r="F94" i="5"/>
  <c r="F86" i="5"/>
  <c r="F78" i="5"/>
  <c r="F70" i="5"/>
  <c r="F62" i="5"/>
  <c r="F54" i="5"/>
  <c r="F46" i="5"/>
  <c r="F38" i="5"/>
  <c r="F30" i="5"/>
  <c r="F22" i="5"/>
  <c r="F14" i="5"/>
  <c r="F6" i="5"/>
  <c r="D140" i="5"/>
  <c r="E266" i="5"/>
  <c r="E106" i="5"/>
  <c r="E270" i="5"/>
  <c r="D270" i="5"/>
  <c r="E206" i="5"/>
  <c r="D206" i="5"/>
  <c r="E126" i="5"/>
  <c r="D126" i="5"/>
  <c r="E166" i="5"/>
  <c r="D166" i="5"/>
  <c r="E158" i="5"/>
  <c r="D158" i="5"/>
  <c r="E150" i="5"/>
  <c r="D150" i="5"/>
  <c r="E6" i="5"/>
  <c r="D6" i="5"/>
  <c r="D278" i="5"/>
  <c r="E293" i="5"/>
  <c r="D293" i="5"/>
  <c r="E277" i="5"/>
  <c r="D277" i="5"/>
  <c r="E253" i="5"/>
  <c r="D253" i="5"/>
  <c r="E245" i="5"/>
  <c r="D245" i="5"/>
  <c r="E237" i="5"/>
  <c r="D237" i="5"/>
  <c r="E213" i="5"/>
  <c r="D213" i="5"/>
  <c r="E205" i="5"/>
  <c r="D205" i="5"/>
  <c r="E149" i="5"/>
  <c r="D149" i="5"/>
  <c r="E101" i="5"/>
  <c r="D101" i="5"/>
  <c r="E93" i="5"/>
  <c r="D93" i="5"/>
  <c r="E85" i="5"/>
  <c r="D85" i="5"/>
  <c r="E69" i="5"/>
  <c r="D69" i="5"/>
  <c r="E37" i="5"/>
  <c r="D37" i="5"/>
  <c r="E21" i="5"/>
  <c r="D21" i="5"/>
  <c r="E236" i="5"/>
  <c r="D236" i="5"/>
  <c r="E188" i="5"/>
  <c r="D188" i="5"/>
  <c r="E180" i="5"/>
  <c r="D180" i="5"/>
  <c r="E172" i="5"/>
  <c r="D172" i="5"/>
  <c r="E108" i="5"/>
  <c r="D108" i="5"/>
  <c r="E44" i="5"/>
  <c r="D44" i="5"/>
  <c r="E36" i="5"/>
  <c r="D36" i="5"/>
  <c r="D261" i="5"/>
  <c r="D173" i="5"/>
  <c r="D78" i="5"/>
  <c r="H78" i="5" s="1"/>
  <c r="D260" i="5"/>
  <c r="D214" i="5"/>
  <c r="D165" i="5"/>
  <c r="D117" i="5"/>
  <c r="D77" i="5"/>
  <c r="D29" i="5"/>
  <c r="E262" i="5"/>
  <c r="D262" i="5"/>
  <c r="E254" i="5"/>
  <c r="D254" i="5"/>
  <c r="E230" i="5"/>
  <c r="D230" i="5"/>
  <c r="E94" i="5"/>
  <c r="D94" i="5"/>
  <c r="D182" i="5"/>
  <c r="E181" i="5"/>
  <c r="D181" i="5"/>
  <c r="E133" i="5"/>
  <c r="D133" i="5"/>
  <c r="E125" i="5"/>
  <c r="D125" i="5"/>
  <c r="D269" i="5"/>
  <c r="D222" i="5"/>
  <c r="D174" i="5"/>
  <c r="D134" i="5"/>
  <c r="D86" i="5"/>
  <c r="D45" i="5"/>
  <c r="E300" i="5"/>
  <c r="D300" i="5"/>
  <c r="E292" i="5"/>
  <c r="D292" i="5"/>
  <c r="E220" i="5"/>
  <c r="D220" i="5"/>
  <c r="E212" i="5"/>
  <c r="D212" i="5"/>
  <c r="E156" i="5"/>
  <c r="D156" i="5"/>
  <c r="E148" i="5"/>
  <c r="D148" i="5"/>
  <c r="E84" i="5"/>
  <c r="D84" i="5"/>
  <c r="E76" i="5"/>
  <c r="D76" i="5"/>
  <c r="E68" i="5"/>
  <c r="D68" i="5"/>
  <c r="E20" i="5"/>
  <c r="D20" i="5"/>
  <c r="D282" i="5"/>
  <c r="E282" i="5"/>
  <c r="D250" i="5"/>
  <c r="E250" i="5"/>
  <c r="D242" i="5"/>
  <c r="E242" i="5"/>
  <c r="D210" i="5"/>
  <c r="E210" i="5"/>
  <c r="D194" i="5"/>
  <c r="E194" i="5"/>
  <c r="D186" i="5"/>
  <c r="E186" i="5"/>
  <c r="D154" i="5"/>
  <c r="E154" i="5"/>
  <c r="D146" i="5"/>
  <c r="E146" i="5"/>
  <c r="D130" i="5"/>
  <c r="E130" i="5"/>
  <c r="D114" i="5"/>
  <c r="E114" i="5"/>
  <c r="D82" i="5"/>
  <c r="E82" i="5"/>
  <c r="D74" i="5"/>
  <c r="E74" i="5"/>
  <c r="D66" i="5"/>
  <c r="E66" i="5"/>
  <c r="D42" i="5"/>
  <c r="E42" i="5"/>
  <c r="D26" i="5"/>
  <c r="E26" i="5"/>
  <c r="D18" i="5"/>
  <c r="E18" i="5"/>
  <c r="D10" i="5"/>
  <c r="E10" i="5"/>
  <c r="D301" i="5"/>
  <c r="D252" i="5"/>
  <c r="D204" i="5"/>
  <c r="D164" i="5"/>
  <c r="D116" i="5"/>
  <c r="D70" i="5"/>
  <c r="D28" i="5"/>
  <c r="E234" i="5"/>
  <c r="E162" i="5"/>
  <c r="E238" i="5"/>
  <c r="D238" i="5"/>
  <c r="E190" i="5"/>
  <c r="D190" i="5"/>
  <c r="E118" i="5"/>
  <c r="D118" i="5"/>
  <c r="E102" i="5"/>
  <c r="D102" i="5"/>
  <c r="E62" i="5"/>
  <c r="D62" i="5"/>
  <c r="E46" i="5"/>
  <c r="D46" i="5"/>
  <c r="E38" i="5"/>
  <c r="D38" i="5"/>
  <c r="E14" i="5"/>
  <c r="D14" i="5"/>
  <c r="E61" i="5"/>
  <c r="D61" i="5"/>
  <c r="F279" i="5"/>
  <c r="F255" i="5"/>
  <c r="F223" i="5"/>
  <c r="F199" i="5"/>
  <c r="F175" i="5"/>
  <c r="F135" i="5"/>
  <c r="F127" i="5"/>
  <c r="F87" i="5"/>
  <c r="F63" i="5"/>
  <c r="F47" i="5"/>
  <c r="F7" i="5"/>
  <c r="D289" i="5"/>
  <c r="E289" i="5"/>
  <c r="D249" i="5"/>
  <c r="E249" i="5"/>
  <c r="D241" i="5"/>
  <c r="E241" i="5"/>
  <c r="D137" i="5"/>
  <c r="E137" i="5"/>
  <c r="D113" i="5"/>
  <c r="E113" i="5"/>
  <c r="D97" i="5"/>
  <c r="E97" i="5"/>
  <c r="D73" i="5"/>
  <c r="E73" i="5"/>
  <c r="D33" i="5"/>
  <c r="E33" i="5"/>
  <c r="D286" i="5"/>
  <c r="D246" i="5"/>
  <c r="D198" i="5"/>
  <c r="D157" i="5"/>
  <c r="D110" i="5"/>
  <c r="H110" i="5" s="1"/>
  <c r="D60" i="5"/>
  <c r="D22" i="5"/>
  <c r="E226" i="5"/>
  <c r="E138" i="5"/>
  <c r="E50" i="5"/>
  <c r="E302" i="5"/>
  <c r="D302" i="5"/>
  <c r="E294" i="5"/>
  <c r="D294" i="5"/>
  <c r="E189" i="5"/>
  <c r="D189" i="5"/>
  <c r="E276" i="5"/>
  <c r="D276" i="5"/>
  <c r="E268" i="5"/>
  <c r="D268" i="5"/>
  <c r="E124" i="5"/>
  <c r="D124" i="5"/>
  <c r="E12" i="5"/>
  <c r="D12" i="5"/>
  <c r="D221" i="5"/>
  <c r="D132" i="5"/>
  <c r="D30" i="5"/>
  <c r="F287" i="5"/>
  <c r="F247" i="5"/>
  <c r="F215" i="5"/>
  <c r="F191" i="5"/>
  <c r="F111" i="5"/>
  <c r="F71" i="5"/>
  <c r="D265" i="5"/>
  <c r="E265" i="5"/>
  <c r="D201" i="5"/>
  <c r="E201" i="5"/>
  <c r="D185" i="5"/>
  <c r="E185" i="5"/>
  <c r="D161" i="5"/>
  <c r="E161" i="5"/>
  <c r="D285" i="5"/>
  <c r="D244" i="5"/>
  <c r="D197" i="5"/>
  <c r="D142" i="5"/>
  <c r="D109" i="5"/>
  <c r="D54" i="5"/>
  <c r="D13" i="5"/>
  <c r="E225" i="5"/>
  <c r="E122" i="5"/>
  <c r="E49" i="5"/>
  <c r="F301" i="5"/>
  <c r="F293" i="5"/>
  <c r="F285" i="5"/>
  <c r="F277" i="5"/>
  <c r="F269" i="5"/>
  <c r="F261" i="5"/>
  <c r="F253" i="5"/>
  <c r="F245" i="5"/>
  <c r="F237" i="5"/>
  <c r="F229" i="5"/>
  <c r="F221" i="5"/>
  <c r="F213" i="5"/>
  <c r="F205" i="5"/>
  <c r="F197" i="5"/>
  <c r="F189" i="5"/>
  <c r="F181" i="5"/>
  <c r="F173" i="5"/>
  <c r="F165" i="5"/>
  <c r="F157" i="5"/>
  <c r="F149" i="5"/>
  <c r="F141" i="5"/>
  <c r="F133" i="5"/>
  <c r="F125" i="5"/>
  <c r="F117" i="5"/>
  <c r="F109" i="5"/>
  <c r="F101" i="5"/>
  <c r="F93" i="5"/>
  <c r="F85" i="5"/>
  <c r="F77" i="5"/>
  <c r="F69" i="5"/>
  <c r="F61" i="5"/>
  <c r="F53" i="5"/>
  <c r="F45" i="5"/>
  <c r="G45" i="5" s="1"/>
  <c r="F37" i="5"/>
  <c r="F29" i="5"/>
  <c r="F21" i="5"/>
  <c r="F13" i="5"/>
  <c r="E16" i="5"/>
  <c r="D304" i="5"/>
  <c r="E304" i="5"/>
  <c r="D296" i="5"/>
  <c r="E296" i="5"/>
  <c r="D288" i="5"/>
  <c r="E288" i="5"/>
  <c r="D280" i="5"/>
  <c r="E280" i="5"/>
  <c r="D264" i="5"/>
  <c r="E264" i="5"/>
  <c r="D256" i="5"/>
  <c r="E256" i="5"/>
  <c r="D248" i="5"/>
  <c r="E248" i="5"/>
  <c r="D240" i="5"/>
  <c r="E240" i="5"/>
  <c r="D232" i="5"/>
  <c r="E232" i="5"/>
  <c r="D224" i="5"/>
  <c r="E224" i="5"/>
  <c r="D216" i="5"/>
  <c r="E216" i="5"/>
  <c r="D200" i="5"/>
  <c r="E200" i="5"/>
  <c r="D192" i="5"/>
  <c r="E192" i="5"/>
  <c r="D184" i="5"/>
  <c r="E184" i="5"/>
  <c r="D176" i="5"/>
  <c r="E176" i="5"/>
  <c r="D168" i="5"/>
  <c r="E168" i="5"/>
  <c r="D160" i="5"/>
  <c r="E160" i="5"/>
  <c r="D152" i="5"/>
  <c r="E152" i="5"/>
  <c r="D136" i="5"/>
  <c r="E136" i="5"/>
  <c r="D128" i="5"/>
  <c r="E128" i="5"/>
  <c r="D120" i="5"/>
  <c r="E120" i="5"/>
  <c r="D112" i="5"/>
  <c r="E112" i="5"/>
  <c r="D104" i="5"/>
  <c r="E104" i="5"/>
  <c r="D96" i="5"/>
  <c r="E96" i="5"/>
  <c r="D88" i="5"/>
  <c r="E88" i="5"/>
  <c r="D72" i="5"/>
  <c r="E72" i="5"/>
  <c r="D64" i="5"/>
  <c r="E64" i="5"/>
  <c r="D56" i="5"/>
  <c r="E56" i="5"/>
  <c r="D48" i="5"/>
  <c r="E48" i="5"/>
  <c r="D40" i="5"/>
  <c r="E40" i="5"/>
  <c r="D32" i="5"/>
  <c r="E32" i="5"/>
  <c r="D24" i="5"/>
  <c r="E24" i="5"/>
  <c r="D8" i="5"/>
  <c r="E8" i="5"/>
  <c r="E208" i="5"/>
  <c r="E295" i="5"/>
  <c r="D295" i="5"/>
  <c r="E279" i="5"/>
  <c r="D279" i="5"/>
  <c r="E255" i="5"/>
  <c r="D255" i="5"/>
  <c r="E239" i="5"/>
  <c r="D239" i="5"/>
  <c r="E223" i="5"/>
  <c r="D223" i="5"/>
  <c r="E215" i="5"/>
  <c r="D215" i="5"/>
  <c r="E199" i="5"/>
  <c r="D199" i="5"/>
  <c r="E191" i="5"/>
  <c r="D191" i="5"/>
  <c r="E183" i="5"/>
  <c r="D183" i="5"/>
  <c r="E175" i="5"/>
  <c r="D175" i="5"/>
  <c r="E80" i="5"/>
  <c r="E272" i="5"/>
  <c r="E303" i="5"/>
  <c r="D303" i="5"/>
  <c r="E287" i="5"/>
  <c r="D287" i="5"/>
  <c r="E263" i="5"/>
  <c r="D263" i="5"/>
  <c r="E247" i="5"/>
  <c r="D247" i="5"/>
  <c r="E231" i="5"/>
  <c r="D231" i="5"/>
  <c r="E207" i="5"/>
  <c r="D207" i="5"/>
  <c r="E167" i="5"/>
  <c r="D167" i="5"/>
  <c r="E271" i="5"/>
  <c r="D271" i="5"/>
  <c r="E144" i="5"/>
  <c r="E281" i="5"/>
  <c r="E217" i="5"/>
  <c r="E153" i="5"/>
  <c r="E89" i="5"/>
  <c r="E25" i="5"/>
  <c r="D151" i="5"/>
  <c r="D135" i="5"/>
  <c r="D103" i="5"/>
  <c r="D87" i="5"/>
  <c r="D71" i="5"/>
  <c r="D55" i="5"/>
  <c r="D39" i="5"/>
  <c r="D23" i="5"/>
  <c r="D7" i="5"/>
  <c r="E257" i="5"/>
  <c r="E193" i="5"/>
  <c r="E129" i="5"/>
  <c r="E65" i="5"/>
  <c r="D119" i="5"/>
  <c r="G119" i="5" s="1"/>
  <c r="D159" i="5"/>
  <c r="D143" i="5"/>
  <c r="D127" i="5"/>
  <c r="D111" i="5"/>
  <c r="D95" i="5"/>
  <c r="D79" i="5"/>
  <c r="D63" i="5"/>
  <c r="D47" i="5"/>
  <c r="D31" i="5"/>
  <c r="D15" i="5"/>
  <c r="E297" i="5"/>
  <c r="E233" i="5"/>
  <c r="E169" i="5"/>
  <c r="E105" i="5"/>
  <c r="E41" i="5"/>
  <c r="E273" i="5"/>
  <c r="E209" i="5"/>
  <c r="E145" i="5"/>
  <c r="E81" i="5"/>
  <c r="E17" i="5"/>
  <c r="D299" i="5"/>
  <c r="D291" i="5"/>
  <c r="H291" i="5" s="1"/>
  <c r="D283" i="5"/>
  <c r="D275" i="5"/>
  <c r="D267" i="5"/>
  <c r="D259" i="5"/>
  <c r="D251" i="5"/>
  <c r="D243" i="5"/>
  <c r="D235" i="5"/>
  <c r="D227" i="5"/>
  <c r="D219" i="5"/>
  <c r="D211" i="5"/>
  <c r="D203" i="5"/>
  <c r="D195" i="5"/>
  <c r="D187" i="5"/>
  <c r="D179" i="5"/>
  <c r="D171" i="5"/>
  <c r="D163" i="5"/>
  <c r="D155" i="5"/>
  <c r="D147" i="5"/>
  <c r="D139" i="5"/>
  <c r="D131" i="5"/>
  <c r="D123" i="5"/>
  <c r="D115" i="5"/>
  <c r="D107" i="5"/>
  <c r="D99" i="5"/>
  <c r="D91" i="5"/>
  <c r="D83" i="5"/>
  <c r="D75" i="5"/>
  <c r="D67" i="5"/>
  <c r="D59" i="5"/>
  <c r="D51" i="5"/>
  <c r="D43" i="5"/>
  <c r="D35" i="5"/>
  <c r="D27" i="5"/>
  <c r="D19" i="5"/>
  <c r="D11" i="5"/>
  <c r="F306" i="4"/>
  <c r="F5" i="5"/>
  <c r="D5" i="5"/>
  <c r="G306" i="4"/>
  <c r="F13" i="13" l="1"/>
  <c r="F35" i="13"/>
  <c r="F41" i="13"/>
  <c r="F8" i="13"/>
  <c r="F23" i="12"/>
  <c r="F22" i="13"/>
  <c r="F33" i="12"/>
  <c r="H25" i="11"/>
  <c r="F37" i="12"/>
  <c r="F17" i="12"/>
  <c r="H41" i="11"/>
  <c r="H36" i="11"/>
  <c r="E52" i="56"/>
  <c r="G9" i="56"/>
  <c r="C88" i="56"/>
  <c r="C52" i="56"/>
  <c r="G11" i="56"/>
  <c r="C90" i="56"/>
  <c r="G10" i="56"/>
  <c r="C89" i="56"/>
  <c r="G12" i="56"/>
  <c r="C91" i="56"/>
  <c r="G24" i="56"/>
  <c r="C78" i="56"/>
  <c r="G28" i="56"/>
  <c r="C82" i="56"/>
  <c r="G25" i="56"/>
  <c r="C79" i="56"/>
  <c r="G26" i="56"/>
  <c r="C80" i="56"/>
  <c r="G23" i="56"/>
  <c r="C77" i="56"/>
  <c r="G27" i="56"/>
  <c r="C81" i="56"/>
  <c r="L52" i="56"/>
  <c r="F52" i="56"/>
  <c r="J52" i="56"/>
  <c r="G52" i="56"/>
  <c r="H52" i="56"/>
  <c r="D52" i="56"/>
  <c r="M52" i="56"/>
  <c r="I52" i="56"/>
  <c r="N52" i="56"/>
  <c r="K52" i="56"/>
  <c r="D31" i="56"/>
  <c r="C41" i="56"/>
  <c r="C40" i="56"/>
  <c r="E31" i="56"/>
  <c r="G22" i="56"/>
  <c r="D18" i="56"/>
  <c r="C35" i="56" s="1"/>
  <c r="E18" i="56"/>
  <c r="C36" i="56" s="1"/>
  <c r="G8" i="56"/>
  <c r="C41" i="54"/>
  <c r="C47" i="54" s="1"/>
  <c r="F26" i="55"/>
  <c r="F31" i="55" s="1"/>
  <c r="G91" i="5"/>
  <c r="E6" i="53"/>
  <c r="F6" i="53" s="1"/>
  <c r="H83" i="5"/>
  <c r="E19" i="54"/>
  <c r="F19" i="54" s="1"/>
  <c r="H39" i="5"/>
  <c r="G235" i="5"/>
  <c r="G143" i="5"/>
  <c r="H209" i="5"/>
  <c r="G31" i="5"/>
  <c r="H58" i="5"/>
  <c r="G58" i="5"/>
  <c r="G63" i="5"/>
  <c r="G284" i="5"/>
  <c r="G122" i="5"/>
  <c r="G51" i="5"/>
  <c r="H225" i="5"/>
  <c r="H15" i="5"/>
  <c r="G77" i="5"/>
  <c r="G98" i="5"/>
  <c r="G204" i="5"/>
  <c r="H17" i="5"/>
  <c r="G67" i="5"/>
  <c r="H234" i="5"/>
  <c r="G155" i="5"/>
  <c r="H89" i="5"/>
  <c r="G27" i="5"/>
  <c r="G219" i="5"/>
  <c r="H281" i="5"/>
  <c r="H140" i="5"/>
  <c r="G42" i="5"/>
  <c r="G114" i="5"/>
  <c r="G86" i="5"/>
  <c r="G214" i="5"/>
  <c r="H100" i="5"/>
  <c r="H52" i="5"/>
  <c r="G90" i="5"/>
  <c r="G258" i="5"/>
  <c r="G16" i="5"/>
  <c r="H65" i="5"/>
  <c r="G82" i="5"/>
  <c r="G229" i="5"/>
  <c r="G135" i="5"/>
  <c r="H50" i="5"/>
  <c r="G47" i="5"/>
  <c r="H25" i="5"/>
  <c r="G12" i="5"/>
  <c r="G286" i="5"/>
  <c r="G174" i="5"/>
  <c r="G142" i="5"/>
  <c r="H57" i="5"/>
  <c r="G121" i="5"/>
  <c r="H82" i="5"/>
  <c r="H153" i="5"/>
  <c r="H217" i="5"/>
  <c r="H229" i="5"/>
  <c r="H204" i="5"/>
  <c r="G117" i="5"/>
  <c r="H178" i="5"/>
  <c r="H116" i="5"/>
  <c r="G20" i="5"/>
  <c r="H148" i="5"/>
  <c r="H173" i="5"/>
  <c r="F34" i="11" s="1"/>
  <c r="G22" i="5"/>
  <c r="G278" i="5"/>
  <c r="H252" i="5"/>
  <c r="H129" i="5"/>
  <c r="H193" i="5"/>
  <c r="G95" i="5"/>
  <c r="H122" i="5"/>
  <c r="H257" i="5"/>
  <c r="H79" i="5"/>
  <c r="G139" i="5"/>
  <c r="H211" i="5"/>
  <c r="H53" i="5"/>
  <c r="H30" i="5"/>
  <c r="H22" i="5"/>
  <c r="H59" i="5"/>
  <c r="G187" i="5"/>
  <c r="H60" i="5"/>
  <c r="G57" i="5"/>
  <c r="G131" i="5"/>
  <c r="G195" i="5"/>
  <c r="E6" i="13" s="1"/>
  <c r="H49" i="5"/>
  <c r="G244" i="5"/>
  <c r="G252" i="5"/>
  <c r="H278" i="5"/>
  <c r="H80" i="5"/>
  <c r="H16" i="5"/>
  <c r="E12" i="12" s="1"/>
  <c r="H14" i="5"/>
  <c r="H218" i="5"/>
  <c r="G202" i="5"/>
  <c r="G126" i="5"/>
  <c r="H169" i="5"/>
  <c r="G123" i="5"/>
  <c r="G238" i="5"/>
  <c r="H144" i="5"/>
  <c r="G50" i="5"/>
  <c r="H105" i="5"/>
  <c r="H272" i="5"/>
  <c r="G189" i="5"/>
  <c r="G212" i="5"/>
  <c r="H274" i="5"/>
  <c r="G289" i="5"/>
  <c r="G23" i="5"/>
  <c r="G55" i="5"/>
  <c r="G32" i="5"/>
  <c r="G64" i="5"/>
  <c r="G221" i="5"/>
  <c r="H205" i="5"/>
  <c r="G225" i="5"/>
  <c r="H258" i="5"/>
  <c r="G46" i="5"/>
  <c r="E11" i="11" s="1"/>
  <c r="G116" i="5"/>
  <c r="G158" i="5"/>
  <c r="G270" i="5"/>
  <c r="G196" i="5"/>
  <c r="E7" i="13" s="1"/>
  <c r="G9" i="5"/>
  <c r="H233" i="5"/>
  <c r="H297" i="5"/>
  <c r="G99" i="5"/>
  <c r="H41" i="5"/>
  <c r="H208" i="5"/>
  <c r="G301" i="5"/>
  <c r="G61" i="5"/>
  <c r="G62" i="5"/>
  <c r="H125" i="5"/>
  <c r="G302" i="5"/>
  <c r="G97" i="5"/>
  <c r="G249" i="5"/>
  <c r="G26" i="5"/>
  <c r="G154" i="5"/>
  <c r="G242" i="5"/>
  <c r="G230" i="5"/>
  <c r="H121" i="5"/>
  <c r="G113" i="5"/>
  <c r="G265" i="5"/>
  <c r="H20" i="5"/>
  <c r="H10" i="5"/>
  <c r="H66" i="5"/>
  <c r="G130" i="5"/>
  <c r="H194" i="5"/>
  <c r="F38" i="11" s="1"/>
  <c r="F41" i="11" s="1"/>
  <c r="H282" i="5"/>
  <c r="G188" i="5"/>
  <c r="G266" i="5"/>
  <c r="H28" i="5"/>
  <c r="G156" i="5"/>
  <c r="H284" i="5"/>
  <c r="G125" i="5"/>
  <c r="E30" i="11" s="1"/>
  <c r="G151" i="5"/>
  <c r="G201" i="5"/>
  <c r="G268" i="5"/>
  <c r="G218" i="5"/>
  <c r="E21" i="13" s="1"/>
  <c r="H134" i="5"/>
  <c r="G254" i="5"/>
  <c r="G36" i="5"/>
  <c r="H164" i="5"/>
  <c r="G228" i="5"/>
  <c r="G30" i="5"/>
  <c r="G65" i="5"/>
  <c r="H259" i="5"/>
  <c r="G247" i="5"/>
  <c r="G255" i="5"/>
  <c r="G18" i="5"/>
  <c r="G74" i="5"/>
  <c r="H146" i="5"/>
  <c r="G210" i="5"/>
  <c r="H222" i="5"/>
  <c r="G206" i="5"/>
  <c r="H177" i="5"/>
  <c r="H98" i="5"/>
  <c r="G203" i="5"/>
  <c r="H26" i="5"/>
  <c r="H154" i="5"/>
  <c r="H242" i="5"/>
  <c r="G94" i="5"/>
  <c r="G213" i="5"/>
  <c r="G205" i="5"/>
  <c r="H138" i="5"/>
  <c r="H33" i="5"/>
  <c r="G38" i="5"/>
  <c r="G146" i="5"/>
  <c r="G209" i="5"/>
  <c r="G106" i="5"/>
  <c r="H170" i="5"/>
  <c r="H298" i="5"/>
  <c r="H283" i="5"/>
  <c r="G153" i="5"/>
  <c r="H111" i="5"/>
  <c r="H162" i="5"/>
  <c r="H186" i="5"/>
  <c r="G250" i="5"/>
  <c r="G166" i="5"/>
  <c r="H301" i="5"/>
  <c r="G178" i="5"/>
  <c r="I178" i="5" s="1"/>
  <c r="G274" i="5"/>
  <c r="G15" i="5"/>
  <c r="G25" i="5"/>
  <c r="G171" i="5"/>
  <c r="H61" i="5"/>
  <c r="G28" i="5"/>
  <c r="H84" i="5"/>
  <c r="G220" i="5"/>
  <c r="H214" i="5"/>
  <c r="G70" i="5"/>
  <c r="G134" i="5"/>
  <c r="G198" i="5"/>
  <c r="E14" i="13" s="1"/>
  <c r="G259" i="5"/>
  <c r="H23" i="5"/>
  <c r="H172" i="5"/>
  <c r="H300" i="5"/>
  <c r="H34" i="5"/>
  <c r="G243" i="5"/>
  <c r="H81" i="5"/>
  <c r="H195" i="5"/>
  <c r="G261" i="5"/>
  <c r="G246" i="5"/>
  <c r="H246" i="5"/>
  <c r="H266" i="5"/>
  <c r="H45" i="5"/>
  <c r="I45" i="5" s="1"/>
  <c r="H36" i="5"/>
  <c r="H180" i="5"/>
  <c r="G37" i="5"/>
  <c r="G101" i="5"/>
  <c r="G78" i="5"/>
  <c r="I78" i="5" s="1"/>
  <c r="G180" i="5"/>
  <c r="H9" i="5"/>
  <c r="H92" i="5"/>
  <c r="G41" i="5"/>
  <c r="H251" i="5"/>
  <c r="G53" i="5"/>
  <c r="G269" i="5"/>
  <c r="H13" i="5"/>
  <c r="G165" i="5"/>
  <c r="G149" i="5"/>
  <c r="G298" i="5"/>
  <c r="H268" i="5"/>
  <c r="H145" i="5"/>
  <c r="H156" i="5"/>
  <c r="H106" i="5"/>
  <c r="F20" i="11" s="1"/>
  <c r="H32" i="5"/>
  <c r="H64" i="5"/>
  <c r="H104" i="5"/>
  <c r="F17" i="11" s="1"/>
  <c r="H136" i="5"/>
  <c r="H176" i="5"/>
  <c r="H288" i="5"/>
  <c r="G277" i="5"/>
  <c r="H54" i="5"/>
  <c r="H226" i="5"/>
  <c r="H137" i="5"/>
  <c r="G118" i="5"/>
  <c r="E29" i="11" s="1"/>
  <c r="G60" i="5"/>
  <c r="H68" i="5"/>
  <c r="H132" i="5"/>
  <c r="F30" i="11" s="1"/>
  <c r="H290" i="5"/>
  <c r="H228" i="5"/>
  <c r="G159" i="5"/>
  <c r="H265" i="5"/>
  <c r="D17" i="14" s="1"/>
  <c r="G29" i="5"/>
  <c r="G93" i="5"/>
  <c r="G124" i="5"/>
  <c r="G262" i="5"/>
  <c r="G140" i="5"/>
  <c r="G170" i="5"/>
  <c r="G163" i="5"/>
  <c r="G11" i="5"/>
  <c r="G19" i="5"/>
  <c r="H273" i="5"/>
  <c r="G127" i="5"/>
  <c r="G294" i="5"/>
  <c r="G190" i="5"/>
  <c r="G182" i="5"/>
  <c r="G253" i="5"/>
  <c r="H202" i="5"/>
  <c r="G251" i="5"/>
  <c r="H76" i="5"/>
  <c r="G245" i="5"/>
  <c r="H212" i="5"/>
  <c r="G186" i="5"/>
  <c r="H269" i="5"/>
  <c r="H262" i="5"/>
  <c r="G75" i="5"/>
  <c r="H267" i="5"/>
  <c r="D16" i="14" s="1"/>
  <c r="H18" i="5"/>
  <c r="G87" i="5"/>
  <c r="G8" i="5"/>
  <c r="G48" i="5"/>
  <c r="G160" i="5"/>
  <c r="G192" i="5"/>
  <c r="G304" i="5"/>
  <c r="H118" i="5"/>
  <c r="G100" i="5"/>
  <c r="G10" i="5"/>
  <c r="G66" i="5"/>
  <c r="G194" i="5"/>
  <c r="G282" i="5"/>
  <c r="H94" i="5"/>
  <c r="G84" i="5"/>
  <c r="G260" i="5"/>
  <c r="G44" i="5"/>
  <c r="E8" i="11" s="1"/>
  <c r="H188" i="5"/>
  <c r="G6" i="5"/>
  <c r="G52" i="5"/>
  <c r="E13" i="11" s="1"/>
  <c r="G54" i="5"/>
  <c r="G17" i="5"/>
  <c r="G147" i="5"/>
  <c r="H275" i="5"/>
  <c r="E32" i="13" s="1"/>
  <c r="H196" i="5"/>
  <c r="G177" i="5"/>
  <c r="H55" i="5"/>
  <c r="G290" i="5"/>
  <c r="G103" i="5"/>
  <c r="H24" i="5"/>
  <c r="H56" i="5"/>
  <c r="H96" i="5"/>
  <c r="H128" i="5"/>
  <c r="H280" i="5"/>
  <c r="G69" i="5"/>
  <c r="G133" i="5"/>
  <c r="G197" i="5"/>
  <c r="E15" i="13" s="1"/>
  <c r="H161" i="5"/>
  <c r="H71" i="5"/>
  <c r="H221" i="5"/>
  <c r="H276" i="5"/>
  <c r="E37" i="13" s="1"/>
  <c r="D15" i="14" s="1"/>
  <c r="H73" i="5"/>
  <c r="H241" i="5"/>
  <c r="G132" i="5"/>
  <c r="H70" i="5"/>
  <c r="H182" i="5"/>
  <c r="G172" i="5"/>
  <c r="H90" i="5"/>
  <c r="H108" i="5"/>
  <c r="G236" i="5"/>
  <c r="H253" i="5"/>
  <c r="G300" i="5"/>
  <c r="H250" i="5"/>
  <c r="G292" i="5"/>
  <c r="G35" i="5"/>
  <c r="G227" i="5"/>
  <c r="H189" i="5"/>
  <c r="G148" i="5"/>
  <c r="H190" i="5"/>
  <c r="E35" i="12" s="1"/>
  <c r="G164" i="5"/>
  <c r="H86" i="5"/>
  <c r="H29" i="5"/>
  <c r="G173" i="5"/>
  <c r="G21" i="5"/>
  <c r="H93" i="5"/>
  <c r="H150" i="5"/>
  <c r="G237" i="5"/>
  <c r="H244" i="5"/>
  <c r="H42" i="5"/>
  <c r="H67" i="5"/>
  <c r="G13" i="5"/>
  <c r="H141" i="5"/>
  <c r="G33" i="5"/>
  <c r="F306" i="5"/>
  <c r="G34" i="5"/>
  <c r="G107" i="5"/>
  <c r="G59" i="5"/>
  <c r="G157" i="5"/>
  <c r="H285" i="5"/>
  <c r="G109" i="5"/>
  <c r="G185" i="5"/>
  <c r="H198" i="5"/>
  <c r="H62" i="5"/>
  <c r="H261" i="5"/>
  <c r="G222" i="5"/>
  <c r="H123" i="5"/>
  <c r="G162" i="5"/>
  <c r="G43" i="5"/>
  <c r="H299" i="5"/>
  <c r="H292" i="5"/>
  <c r="H131" i="5"/>
  <c r="F29" i="11" s="1"/>
  <c r="G49" i="5"/>
  <c r="G115" i="5"/>
  <c r="G179" i="5"/>
  <c r="G110" i="5"/>
  <c r="I110" i="5" s="1"/>
  <c r="G233" i="5"/>
  <c r="H77" i="5"/>
  <c r="H210" i="5"/>
  <c r="H187" i="5"/>
  <c r="H183" i="5"/>
  <c r="H223" i="5"/>
  <c r="H295" i="5"/>
  <c r="G40" i="5"/>
  <c r="H152" i="5"/>
  <c r="H184" i="5"/>
  <c r="H224" i="5"/>
  <c r="H256" i="5"/>
  <c r="H165" i="5"/>
  <c r="H142" i="5"/>
  <c r="H201" i="5"/>
  <c r="G102" i="5"/>
  <c r="H114" i="5"/>
  <c r="G68" i="5"/>
  <c r="H174" i="5"/>
  <c r="F35" i="11" s="1"/>
  <c r="H181" i="5"/>
  <c r="H117" i="5"/>
  <c r="G293" i="5"/>
  <c r="H206" i="5"/>
  <c r="G92" i="5"/>
  <c r="D306" i="5"/>
  <c r="H130" i="5"/>
  <c r="F28" i="11" s="1"/>
  <c r="H238" i="5"/>
  <c r="G76" i="5"/>
  <c r="H69" i="5"/>
  <c r="G276" i="5"/>
  <c r="H302" i="5"/>
  <c r="H149" i="5"/>
  <c r="H293" i="5"/>
  <c r="G141" i="5"/>
  <c r="H44" i="5"/>
  <c r="G169" i="5"/>
  <c r="G241" i="5"/>
  <c r="G150" i="5"/>
  <c r="H109" i="5"/>
  <c r="H236" i="5"/>
  <c r="G226" i="5"/>
  <c r="H6" i="5"/>
  <c r="H247" i="5"/>
  <c r="H191" i="5"/>
  <c r="H239" i="5"/>
  <c r="H8" i="5"/>
  <c r="H48" i="5"/>
  <c r="H88" i="5"/>
  <c r="H120" i="5"/>
  <c r="H232" i="5"/>
  <c r="H264" i="5"/>
  <c r="E27" i="13" s="1"/>
  <c r="G85" i="5"/>
  <c r="H185" i="5"/>
  <c r="H38" i="5"/>
  <c r="E16" i="12" s="1"/>
  <c r="H74" i="5"/>
  <c r="H230" i="5"/>
  <c r="H85" i="5"/>
  <c r="H245" i="5"/>
  <c r="H158" i="5"/>
  <c r="G108" i="5"/>
  <c r="H270" i="5"/>
  <c r="H63" i="5"/>
  <c r="H197" i="5"/>
  <c r="G283" i="5"/>
  <c r="G234" i="5"/>
  <c r="G71" i="5"/>
  <c r="H124" i="5"/>
  <c r="H157" i="5"/>
  <c r="H167" i="5"/>
  <c r="H263" i="5"/>
  <c r="H46" i="5"/>
  <c r="H254" i="5"/>
  <c r="H21" i="5"/>
  <c r="H166" i="5"/>
  <c r="H126" i="5"/>
  <c r="G161" i="5"/>
  <c r="G72" i="5"/>
  <c r="G296" i="5"/>
  <c r="H102" i="5"/>
  <c r="G111" i="5"/>
  <c r="H286" i="5"/>
  <c r="G285" i="5"/>
  <c r="G79" i="5"/>
  <c r="G73" i="5"/>
  <c r="H260" i="5"/>
  <c r="G129" i="5"/>
  <c r="G193" i="5"/>
  <c r="G273" i="5"/>
  <c r="H103" i="5"/>
  <c r="G138" i="5"/>
  <c r="H87" i="5"/>
  <c r="G207" i="5"/>
  <c r="G287" i="5"/>
  <c r="G175" i="5"/>
  <c r="G215" i="5"/>
  <c r="G279" i="5"/>
  <c r="G168" i="5"/>
  <c r="G200" i="5"/>
  <c r="G240" i="5"/>
  <c r="H97" i="5"/>
  <c r="F8" i="11" s="1"/>
  <c r="H249" i="5"/>
  <c r="E5" i="13" s="1"/>
  <c r="G89" i="5"/>
  <c r="H237" i="5"/>
  <c r="H271" i="5"/>
  <c r="G112" i="5"/>
  <c r="G199" i="5"/>
  <c r="E16" i="13" s="1"/>
  <c r="G137" i="5"/>
  <c r="H220" i="5"/>
  <c r="H119" i="5"/>
  <c r="I119" i="5" s="1"/>
  <c r="H133" i="5"/>
  <c r="F31" i="11" s="1"/>
  <c r="H37" i="5"/>
  <c r="H101" i="5"/>
  <c r="H213" i="5"/>
  <c r="G14" i="5"/>
  <c r="G181" i="5"/>
  <c r="G145" i="5"/>
  <c r="G297" i="5"/>
  <c r="H12" i="5"/>
  <c r="G231" i="5"/>
  <c r="G303" i="5"/>
  <c r="G104" i="5"/>
  <c r="G136" i="5"/>
  <c r="G216" i="5"/>
  <c r="G248" i="5"/>
  <c r="H294" i="5"/>
  <c r="H113" i="5"/>
  <c r="F23" i="11" s="1"/>
  <c r="H289" i="5"/>
  <c r="H277" i="5"/>
  <c r="G257" i="5"/>
  <c r="G267" i="5"/>
  <c r="H175" i="5"/>
  <c r="H215" i="5"/>
  <c r="H279" i="5"/>
  <c r="G152" i="5"/>
  <c r="G184" i="5"/>
  <c r="G288" i="5"/>
  <c r="G7" i="5"/>
  <c r="G56" i="5"/>
  <c r="H31" i="5"/>
  <c r="H11" i="5"/>
  <c r="H75" i="5"/>
  <c r="H139" i="5"/>
  <c r="H203" i="5"/>
  <c r="E306" i="5"/>
  <c r="G275" i="5"/>
  <c r="H127" i="5"/>
  <c r="G271" i="5"/>
  <c r="H207" i="5"/>
  <c r="H287" i="5"/>
  <c r="G183" i="5"/>
  <c r="E38" i="11" s="1"/>
  <c r="G223" i="5"/>
  <c r="G295" i="5"/>
  <c r="G88" i="5"/>
  <c r="G120" i="5"/>
  <c r="H160" i="5"/>
  <c r="H192" i="5"/>
  <c r="G224" i="5"/>
  <c r="G256" i="5"/>
  <c r="H296" i="5"/>
  <c r="G217" i="5"/>
  <c r="G281" i="5"/>
  <c r="H27" i="5"/>
  <c r="H91" i="5"/>
  <c r="H155" i="5"/>
  <c r="H219" i="5"/>
  <c r="G291" i="5"/>
  <c r="I291" i="5" s="1"/>
  <c r="H231" i="5"/>
  <c r="H303" i="5"/>
  <c r="H135" i="5"/>
  <c r="G191" i="5"/>
  <c r="G239" i="5"/>
  <c r="G96" i="5"/>
  <c r="G128" i="5"/>
  <c r="H168" i="5"/>
  <c r="H200" i="5"/>
  <c r="G232" i="5"/>
  <c r="G264" i="5"/>
  <c r="H304" i="5"/>
  <c r="G83" i="5"/>
  <c r="G211" i="5"/>
  <c r="G80" i="5"/>
  <c r="H35" i="5"/>
  <c r="H99" i="5"/>
  <c r="H163" i="5"/>
  <c r="H227" i="5"/>
  <c r="G299" i="5"/>
  <c r="H47" i="5"/>
  <c r="H143" i="5"/>
  <c r="H240" i="5"/>
  <c r="G272" i="5"/>
  <c r="H19" i="5"/>
  <c r="H147" i="5"/>
  <c r="G24" i="5"/>
  <c r="G105" i="5"/>
  <c r="H43" i="5"/>
  <c r="H107" i="5"/>
  <c r="H171" i="5"/>
  <c r="H235" i="5"/>
  <c r="H7" i="5"/>
  <c r="H95" i="5"/>
  <c r="H151" i="5"/>
  <c r="G208" i="5"/>
  <c r="G81" i="5"/>
  <c r="G39" i="5"/>
  <c r="H51" i="5"/>
  <c r="H115" i="5"/>
  <c r="H179" i="5"/>
  <c r="H243" i="5"/>
  <c r="G167" i="5"/>
  <c r="G263" i="5"/>
  <c r="H159" i="5"/>
  <c r="H199" i="5"/>
  <c r="H255" i="5"/>
  <c r="H40" i="5"/>
  <c r="H72" i="5"/>
  <c r="H112" i="5"/>
  <c r="G144" i="5"/>
  <c r="G176" i="5"/>
  <c r="H216" i="5"/>
  <c r="H248" i="5"/>
  <c r="G280" i="5"/>
  <c r="G5" i="5"/>
  <c r="H5" i="5"/>
  <c r="I25" i="5" l="1"/>
  <c r="H42" i="11"/>
  <c r="D7" i="54" s="1"/>
  <c r="E7" i="54" s="1"/>
  <c r="F7" i="54" s="1"/>
  <c r="F23" i="13"/>
  <c r="F24" i="12"/>
  <c r="F38" i="12" s="1"/>
  <c r="D8" i="54" s="1"/>
  <c r="E8" i="54" s="1"/>
  <c r="F8" i="54" s="1"/>
  <c r="D9" i="54"/>
  <c r="E9" i="54" s="1"/>
  <c r="F9" i="54" s="1"/>
  <c r="E43" i="13"/>
  <c r="D5" i="14"/>
  <c r="F34" i="58"/>
  <c r="F35" i="58" s="1"/>
  <c r="E33" i="58"/>
  <c r="D21" i="14"/>
  <c r="D14" i="14"/>
  <c r="D18" i="14" s="1"/>
  <c r="D20" i="14"/>
  <c r="E39" i="13"/>
  <c r="I65" i="5"/>
  <c r="E40" i="13"/>
  <c r="F18" i="11"/>
  <c r="I39" i="5"/>
  <c r="I83" i="5"/>
  <c r="I146" i="5"/>
  <c r="I91" i="5"/>
  <c r="H31" i="56"/>
  <c r="H24" i="56"/>
  <c r="G31" i="56"/>
  <c r="H23" i="56"/>
  <c r="H30" i="56"/>
  <c r="H22" i="56"/>
  <c r="H26" i="56"/>
  <c r="H25" i="56"/>
  <c r="H29" i="56"/>
  <c r="H28" i="56"/>
  <c r="H27" i="56"/>
  <c r="H18" i="56"/>
  <c r="H11" i="56"/>
  <c r="G18" i="56"/>
  <c r="H10" i="56"/>
  <c r="H17" i="56"/>
  <c r="H9" i="56"/>
  <c r="H13" i="56"/>
  <c r="H12" i="56"/>
  <c r="H16" i="56"/>
  <c r="H8" i="56"/>
  <c r="H15" i="56"/>
  <c r="H14" i="56"/>
  <c r="D41" i="54"/>
  <c r="I235" i="5"/>
  <c r="I31" i="5"/>
  <c r="I51" i="5"/>
  <c r="E38" i="13"/>
  <c r="I143" i="5"/>
  <c r="I155" i="5"/>
  <c r="I89" i="5"/>
  <c r="I209" i="5"/>
  <c r="I58" i="5"/>
  <c r="I281" i="5"/>
  <c r="E14" i="12"/>
  <c r="I63" i="5"/>
  <c r="E18" i="13"/>
  <c r="E34" i="13"/>
  <c r="E6" i="12"/>
  <c r="G38" i="11"/>
  <c r="E19" i="12"/>
  <c r="I17" i="5"/>
  <c r="I122" i="5"/>
  <c r="E20" i="11"/>
  <c r="G20" i="11" s="1"/>
  <c r="E12" i="13"/>
  <c r="I67" i="5"/>
  <c r="I204" i="5"/>
  <c r="E26" i="13"/>
  <c r="E33" i="13"/>
  <c r="D24" i="14" s="1"/>
  <c r="E30" i="13"/>
  <c r="E19" i="13"/>
  <c r="I229" i="5"/>
  <c r="I15" i="5"/>
  <c r="E11" i="13"/>
  <c r="E24" i="13"/>
  <c r="E28" i="13"/>
  <c r="E31" i="13"/>
  <c r="I284" i="5"/>
  <c r="E11" i="12"/>
  <c r="E8" i="13"/>
  <c r="C27" i="54" s="1"/>
  <c r="I250" i="5"/>
  <c r="E9" i="13"/>
  <c r="E39" i="11"/>
  <c r="G39" i="11" s="1"/>
  <c r="E10" i="13"/>
  <c r="I77" i="5"/>
  <c r="E20" i="13"/>
  <c r="E30" i="12"/>
  <c r="E27" i="12"/>
  <c r="E28" i="12"/>
  <c r="E31" i="12"/>
  <c r="E29" i="12"/>
  <c r="E21" i="12"/>
  <c r="E36" i="12"/>
  <c r="E37" i="12" s="1"/>
  <c r="E22" i="12"/>
  <c r="E10" i="12"/>
  <c r="I203" i="5"/>
  <c r="I225" i="5"/>
  <c r="E13" i="12"/>
  <c r="I193" i="5"/>
  <c r="E9" i="12"/>
  <c r="E15" i="12"/>
  <c r="E28" i="11"/>
  <c r="I140" i="5"/>
  <c r="E33" i="11"/>
  <c r="I27" i="5"/>
  <c r="E40" i="11"/>
  <c r="E35" i="11"/>
  <c r="G35" i="11" s="1"/>
  <c r="E34" i="11"/>
  <c r="G34" i="11" s="1"/>
  <c r="F36" i="11"/>
  <c r="I214" i="5"/>
  <c r="E21" i="11"/>
  <c r="G21" i="11" s="1"/>
  <c r="I219" i="5"/>
  <c r="E14" i="11"/>
  <c r="I114" i="5"/>
  <c r="F24" i="11"/>
  <c r="E23" i="11"/>
  <c r="G23" i="11" s="1"/>
  <c r="I104" i="5"/>
  <c r="G29" i="11"/>
  <c r="E18" i="11"/>
  <c r="E16" i="11"/>
  <c r="F12" i="11"/>
  <c r="I234" i="5"/>
  <c r="E31" i="11"/>
  <c r="G31" i="11" s="1"/>
  <c r="G30" i="11"/>
  <c r="E24" i="11"/>
  <c r="F13" i="11"/>
  <c r="G13" i="11" s="1"/>
  <c r="F14" i="11"/>
  <c r="E12" i="11"/>
  <c r="I217" i="5"/>
  <c r="E17" i="11"/>
  <c r="G17" i="11" s="1"/>
  <c r="I187" i="5"/>
  <c r="F19" i="11"/>
  <c r="F16" i="11"/>
  <c r="E19" i="11"/>
  <c r="I16" i="5"/>
  <c r="G8" i="11"/>
  <c r="I98" i="5"/>
  <c r="F11" i="11"/>
  <c r="G11" i="11" s="1"/>
  <c r="E7" i="11"/>
  <c r="I243" i="5"/>
  <c r="I95" i="5"/>
  <c r="F7" i="11"/>
  <c r="I82" i="5"/>
  <c r="I100" i="5"/>
  <c r="I246" i="5"/>
  <c r="I42" i="5"/>
  <c r="I86" i="5"/>
  <c r="I148" i="5"/>
  <c r="I90" i="5"/>
  <c r="I170" i="5"/>
  <c r="I258" i="5"/>
  <c r="I135" i="5"/>
  <c r="I52" i="5"/>
  <c r="I30" i="5"/>
  <c r="I121" i="5"/>
  <c r="I153" i="5"/>
  <c r="I173" i="5"/>
  <c r="I64" i="5"/>
  <c r="I43" i="5"/>
  <c r="I301" i="5"/>
  <c r="I205" i="5"/>
  <c r="I20" i="5"/>
  <c r="I116" i="5"/>
  <c r="I50" i="5"/>
  <c r="I169" i="5"/>
  <c r="I59" i="5"/>
  <c r="I12" i="5"/>
  <c r="I227" i="5"/>
  <c r="I127" i="5"/>
  <c r="I136" i="5"/>
  <c r="I244" i="5"/>
  <c r="I132" i="5"/>
  <c r="I186" i="5"/>
  <c r="I61" i="5"/>
  <c r="I22" i="5"/>
  <c r="I117" i="5"/>
  <c r="I184" i="5"/>
  <c r="I289" i="5"/>
  <c r="I111" i="5"/>
  <c r="I174" i="5"/>
  <c r="I142" i="5"/>
  <c r="I57" i="5"/>
  <c r="I286" i="5"/>
  <c r="I47" i="5"/>
  <c r="I278" i="5"/>
  <c r="I80" i="5"/>
  <c r="I113" i="5"/>
  <c r="I252" i="5"/>
  <c r="I129" i="5"/>
  <c r="I53" i="5"/>
  <c r="I144" i="5"/>
  <c r="I145" i="5"/>
  <c r="I233" i="5"/>
  <c r="I60" i="5"/>
  <c r="I139" i="5"/>
  <c r="I211" i="5"/>
  <c r="I297" i="5"/>
  <c r="I238" i="5"/>
  <c r="I274" i="5"/>
  <c r="I154" i="5"/>
  <c r="I223" i="5"/>
  <c r="I257" i="5"/>
  <c r="I79" i="5"/>
  <c r="I302" i="5"/>
  <c r="I206" i="5"/>
  <c r="I123" i="5"/>
  <c r="I292" i="5"/>
  <c r="I262" i="5"/>
  <c r="I265" i="5"/>
  <c r="I9" i="5"/>
  <c r="I266" i="5"/>
  <c r="I259" i="5"/>
  <c r="I215" i="5"/>
  <c r="I46" i="5"/>
  <c r="I226" i="5"/>
  <c r="I188" i="5"/>
  <c r="I195" i="5"/>
  <c r="I97" i="5"/>
  <c r="I99" i="5"/>
  <c r="I14" i="5"/>
  <c r="I212" i="5"/>
  <c r="I49" i="5"/>
  <c r="I131" i="5"/>
  <c r="I55" i="5"/>
  <c r="I213" i="5"/>
  <c r="I200" i="5"/>
  <c r="I138" i="5"/>
  <c r="I66" i="5"/>
  <c r="I208" i="5"/>
  <c r="I272" i="5"/>
  <c r="I26" i="5"/>
  <c r="I283" i="5"/>
  <c r="I202" i="5"/>
  <c r="I32" i="5"/>
  <c r="I105" i="5"/>
  <c r="I224" i="5"/>
  <c r="I133" i="5"/>
  <c r="I237" i="5"/>
  <c r="I6" i="5"/>
  <c r="I23" i="5"/>
  <c r="I28" i="5"/>
  <c r="I218" i="5"/>
  <c r="I300" i="5"/>
  <c r="I103" i="5"/>
  <c r="I5" i="5"/>
  <c r="I24" i="5"/>
  <c r="I126" i="5"/>
  <c r="I270" i="5"/>
  <c r="I189" i="5"/>
  <c r="I177" i="5"/>
  <c r="I10" i="5"/>
  <c r="I156" i="5"/>
  <c r="I269" i="5"/>
  <c r="I196" i="5"/>
  <c r="I198" i="5"/>
  <c r="I242" i="5"/>
  <c r="I249" i="5"/>
  <c r="I158" i="5"/>
  <c r="I247" i="5"/>
  <c r="I172" i="5"/>
  <c r="I221" i="5"/>
  <c r="I268" i="5"/>
  <c r="I162" i="5"/>
  <c r="I151" i="5"/>
  <c r="I201" i="5"/>
  <c r="I13" i="5"/>
  <c r="I125" i="5"/>
  <c r="I40" i="5"/>
  <c r="I69" i="5"/>
  <c r="I11" i="5"/>
  <c r="I118" i="5"/>
  <c r="I245" i="5"/>
  <c r="I228" i="5"/>
  <c r="I163" i="5"/>
  <c r="I230" i="5"/>
  <c r="I182" i="5"/>
  <c r="I84" i="5"/>
  <c r="I261" i="5"/>
  <c r="I220" i="5"/>
  <c r="I34" i="5"/>
  <c r="I161" i="5"/>
  <c r="I157" i="5"/>
  <c r="I8" i="5"/>
  <c r="I150" i="5"/>
  <c r="I149" i="5"/>
  <c r="I210" i="5"/>
  <c r="I54" i="5"/>
  <c r="I68" i="5"/>
  <c r="I251" i="5"/>
  <c r="I180" i="5"/>
  <c r="I134" i="5"/>
  <c r="I92" i="5"/>
  <c r="I141" i="5"/>
  <c r="I62" i="5"/>
  <c r="I295" i="5"/>
  <c r="I288" i="5"/>
  <c r="I33" i="5"/>
  <c r="I194" i="5"/>
  <c r="I298" i="5"/>
  <c r="I41" i="5"/>
  <c r="I106" i="5"/>
  <c r="I254" i="5"/>
  <c r="I93" i="5"/>
  <c r="I299" i="5"/>
  <c r="I287" i="5"/>
  <c r="I75" i="5"/>
  <c r="I152" i="5"/>
  <c r="I236" i="5"/>
  <c r="I18" i="5"/>
  <c r="I36" i="5"/>
  <c r="I70" i="5"/>
  <c r="I255" i="5"/>
  <c r="I304" i="5"/>
  <c r="I74" i="5"/>
  <c r="I48" i="5"/>
  <c r="I109" i="5"/>
  <c r="I165" i="5"/>
  <c r="I222" i="5"/>
  <c r="I94" i="5"/>
  <c r="I264" i="5"/>
  <c r="I38" i="5"/>
  <c r="I130" i="5"/>
  <c r="I29" i="5"/>
  <c r="I71" i="5"/>
  <c r="I159" i="5"/>
  <c r="I171" i="5"/>
  <c r="I199" i="5"/>
  <c r="I241" i="5"/>
  <c r="I176" i="5"/>
  <c r="I81" i="5"/>
  <c r="I294" i="5"/>
  <c r="I37" i="5"/>
  <c r="I73" i="5"/>
  <c r="I166" i="5"/>
  <c r="I164" i="5"/>
  <c r="I197" i="5"/>
  <c r="I282" i="5"/>
  <c r="I124" i="5"/>
  <c r="I87" i="5"/>
  <c r="I280" i="5"/>
  <c r="I168" i="5"/>
  <c r="I108" i="5"/>
  <c r="I35" i="5"/>
  <c r="I231" i="5"/>
  <c r="I277" i="5"/>
  <c r="I137" i="5"/>
  <c r="I279" i="5"/>
  <c r="I273" i="5"/>
  <c r="I21" i="5"/>
  <c r="I44" i="5"/>
  <c r="I276" i="5"/>
  <c r="I185" i="5"/>
  <c r="I216" i="5"/>
  <c r="I303" i="5"/>
  <c r="I128" i="5"/>
  <c r="I296" i="5"/>
  <c r="I190" i="5"/>
  <c r="I253" i="5"/>
  <c r="I290" i="5"/>
  <c r="I19" i="5"/>
  <c r="I183" i="5"/>
  <c r="I101" i="5"/>
  <c r="I96" i="5"/>
  <c r="I167" i="5"/>
  <c r="I256" i="5"/>
  <c r="I56" i="5"/>
  <c r="I175" i="5"/>
  <c r="I293" i="5"/>
  <c r="I76" i="5"/>
  <c r="I147" i="5"/>
  <c r="I192" i="5"/>
  <c r="I7" i="5"/>
  <c r="I181" i="5"/>
  <c r="I260" i="5"/>
  <c r="I179" i="5"/>
  <c r="I232" i="5"/>
  <c r="I160" i="5"/>
  <c r="I207" i="5"/>
  <c r="I285" i="5"/>
  <c r="I102" i="5"/>
  <c r="I85" i="5"/>
  <c r="I263" i="5"/>
  <c r="I115" i="5"/>
  <c r="I107" i="5"/>
  <c r="I120" i="5"/>
  <c r="I248" i="5"/>
  <c r="I88" i="5"/>
  <c r="I275" i="5"/>
  <c r="I267" i="5"/>
  <c r="I271" i="5"/>
  <c r="I239" i="5"/>
  <c r="I112" i="5"/>
  <c r="I72" i="5"/>
  <c r="I240" i="5"/>
  <c r="I191" i="5"/>
  <c r="H306" i="5"/>
  <c r="G306" i="5"/>
  <c r="F25" i="13" l="1"/>
  <c r="D12" i="54"/>
  <c r="E12" i="54" s="1"/>
  <c r="F12" i="54" s="1"/>
  <c r="E41" i="13"/>
  <c r="C33" i="54" s="1"/>
  <c r="G18" i="11"/>
  <c r="D11" i="14"/>
  <c r="D23" i="14"/>
  <c r="D22" i="14"/>
  <c r="G28" i="11"/>
  <c r="D9" i="14"/>
  <c r="C39" i="56"/>
  <c r="C38" i="56"/>
  <c r="D27" i="54"/>
  <c r="I10" i="54"/>
  <c r="J10" i="54" s="1"/>
  <c r="D28" i="54"/>
  <c r="D32" i="54"/>
  <c r="D29" i="54"/>
  <c r="D33" i="54"/>
  <c r="D31" i="54"/>
  <c r="D30" i="54"/>
  <c r="D34" i="54"/>
  <c r="D9" i="53"/>
  <c r="D20" i="54"/>
  <c r="D8" i="53"/>
  <c r="D18" i="54"/>
  <c r="C9" i="53"/>
  <c r="C20" i="54"/>
  <c r="D11" i="53"/>
  <c r="E22" i="13"/>
  <c r="G16" i="11"/>
  <c r="E35" i="13"/>
  <c r="C32" i="54" s="1"/>
  <c r="E23" i="12"/>
  <c r="I21" i="54" s="1"/>
  <c r="P8" i="54" s="1"/>
  <c r="E13" i="13"/>
  <c r="C28" i="54" s="1"/>
  <c r="E17" i="12"/>
  <c r="I20" i="54" s="1"/>
  <c r="P7" i="54" s="1"/>
  <c r="E33" i="12"/>
  <c r="G14" i="11"/>
  <c r="E41" i="11"/>
  <c r="G41" i="11" s="1"/>
  <c r="G40" i="11"/>
  <c r="G12" i="11"/>
  <c r="E36" i="11"/>
  <c r="G36" i="11" s="1"/>
  <c r="I18" i="54" s="1"/>
  <c r="M8" i="54" s="1"/>
  <c r="G33" i="11"/>
  <c r="D10" i="14" s="1"/>
  <c r="G24" i="11"/>
  <c r="E25" i="11"/>
  <c r="F25" i="11"/>
  <c r="F42" i="11" s="1"/>
  <c r="G7" i="11"/>
  <c r="G19" i="11"/>
  <c r="D308" i="5"/>
  <c r="I306" i="5"/>
  <c r="D11" i="54" l="1"/>
  <c r="E11" i="54" s="1"/>
  <c r="F11" i="54" s="1"/>
  <c r="F29" i="13"/>
  <c r="F36" i="13" s="1"/>
  <c r="F44" i="13" s="1"/>
  <c r="D26" i="14"/>
  <c r="I19" i="54"/>
  <c r="M9" i="54" s="1"/>
  <c r="E34" i="58"/>
  <c r="E35" i="58" s="1"/>
  <c r="E9" i="53"/>
  <c r="F9" i="53" s="1"/>
  <c r="E20" i="54"/>
  <c r="F20" i="54" s="1"/>
  <c r="I7" i="54"/>
  <c r="J7" i="54" s="1"/>
  <c r="I22" i="54"/>
  <c r="P9" i="54" s="1"/>
  <c r="I9" i="54"/>
  <c r="J9" i="54" s="1"/>
  <c r="I8" i="54"/>
  <c r="J8" i="54" s="1"/>
  <c r="I12" i="54"/>
  <c r="J12" i="54" s="1"/>
  <c r="C11" i="53"/>
  <c r="E11" i="53" s="1"/>
  <c r="F11" i="53" s="1"/>
  <c r="C9" i="54"/>
  <c r="E23" i="13"/>
  <c r="C29" i="54" s="1"/>
  <c r="C10" i="53"/>
  <c r="E24" i="12"/>
  <c r="E38" i="12" s="1"/>
  <c r="E42" i="11"/>
  <c r="G42" i="11" s="1"/>
  <c r="C17" i="54" s="1"/>
  <c r="G25" i="11"/>
  <c r="F7" i="58" l="1"/>
  <c r="F10" i="58" s="1"/>
  <c r="F30" i="58" s="1"/>
  <c r="F36" i="58" s="1"/>
  <c r="D10" i="54"/>
  <c r="E10" i="54" s="1"/>
  <c r="F10" i="54" s="1"/>
  <c r="D10" i="53"/>
  <c r="E10" i="53" s="1"/>
  <c r="F10" i="53" s="1"/>
  <c r="I17" i="54"/>
  <c r="M7" i="54" s="1"/>
  <c r="I11" i="54"/>
  <c r="J11" i="54" s="1"/>
  <c r="D17" i="54"/>
  <c r="E17" i="54" s="1"/>
  <c r="F17" i="54" s="1"/>
  <c r="E25" i="13"/>
  <c r="C30" i="54" s="1"/>
  <c r="C12" i="54"/>
  <c r="C7" i="53"/>
  <c r="C7" i="54"/>
  <c r="D7" i="53"/>
  <c r="C8" i="54"/>
  <c r="E7" i="53" l="1"/>
  <c r="F7" i="53" s="1"/>
  <c r="E29" i="13"/>
  <c r="C11" i="54"/>
  <c r="E36" i="13" l="1"/>
  <c r="E44" i="13" s="1"/>
  <c r="C31" i="54"/>
  <c r="E7" i="58" l="1"/>
  <c r="E10" i="58" s="1"/>
  <c r="E30" i="58" s="1"/>
  <c r="E36" i="58" s="1"/>
  <c r="D7" i="14"/>
  <c r="D12" i="14" s="1"/>
  <c r="D27" i="14" s="1"/>
  <c r="D28" i="14" s="1"/>
  <c r="D29" i="14" s="1"/>
  <c r="C18" i="54"/>
  <c r="E18" i="54" s="1"/>
  <c r="F18" i="54" s="1"/>
  <c r="C22" i="54" s="1"/>
  <c r="C34" i="54"/>
  <c r="C10" i="54"/>
  <c r="C8" i="53"/>
  <c r="E8" i="53" s="1"/>
  <c r="F8" i="53" s="1"/>
  <c r="C14" i="53" s="1"/>
  <c r="C15" i="5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<sst xmlns="http://schemas.openxmlformats.org/spreadsheetml/2006/main" count="2537" uniqueCount="1211">
  <si>
    <t>PLAN COMPTABLE SYSCOHADA 2016</t>
  </si>
  <si>
    <t>N° Compte</t>
  </si>
  <si>
    <t>Libellé</t>
  </si>
  <si>
    <t>Classe</t>
  </si>
  <si>
    <t>Sens</t>
  </si>
  <si>
    <t>Type</t>
  </si>
  <si>
    <t>Capital social</t>
  </si>
  <si>
    <t>C</t>
  </si>
  <si>
    <t>Bilan</t>
  </si>
  <si>
    <t>Capital souscrit appelé non versé</t>
  </si>
  <si>
    <t>Capital par dotation</t>
  </si>
  <si>
    <t>Primes d'émission</t>
  </si>
  <si>
    <t>Primes d'apport</t>
  </si>
  <si>
    <t>Primes de fusion</t>
  </si>
  <si>
    <t>Écarts de réévaluation légale</t>
  </si>
  <si>
    <t>Écarts de réévaluation libre</t>
  </si>
  <si>
    <t>Réserve légale</t>
  </si>
  <si>
    <t>Réserves statutaires</t>
  </si>
  <si>
    <t>Réserves réglementées</t>
  </si>
  <si>
    <t>Réserves facultatives</t>
  </si>
  <si>
    <t>Report à nouveau créditeur</t>
  </si>
  <si>
    <t>Report à nouveau débiteur</t>
  </si>
  <si>
    <t>D</t>
  </si>
  <si>
    <t>Résultat: Bénéfice</t>
  </si>
  <si>
    <t>Résultat: Perte</t>
  </si>
  <si>
    <t>Subventions d'équipement</t>
  </si>
  <si>
    <t>Autres subventions d'investissement</t>
  </si>
  <si>
    <t>Subventions inscrites au CR</t>
  </si>
  <si>
    <t>Emprunts obligataires</t>
  </si>
  <si>
    <t>Emprunts bancaires</t>
  </si>
  <si>
    <t>Dépôts et cautionnements reçus</t>
  </si>
  <si>
    <t>Associés comptes courants bloqués</t>
  </si>
  <si>
    <t>Dettes liées à participations</t>
  </si>
  <si>
    <t>Dettes diverses</t>
  </si>
  <si>
    <t>Provisions pour litiges</t>
  </si>
  <si>
    <t>Provisions garanties clients</t>
  </si>
  <si>
    <t>Provisions amendes pénalités</t>
  </si>
  <si>
    <t>Provisions pertes de change</t>
  </si>
  <si>
    <t>Provisions pensions</t>
  </si>
  <si>
    <t>Autres provisions risques</t>
  </si>
  <si>
    <t>Provisions renouvellement immo</t>
  </si>
  <si>
    <t>Provisions charges à répartir</t>
  </si>
  <si>
    <t>Autres provisions charges</t>
  </si>
  <si>
    <t>Intérêts courus emprunts</t>
  </si>
  <si>
    <t>Frais de constitution</t>
  </si>
  <si>
    <t>Frais de prospection</t>
  </si>
  <si>
    <t>Frais publicité lancement</t>
  </si>
  <si>
    <t>Frais modification capital</t>
  </si>
  <si>
    <t>Frais de restructuration</t>
  </si>
  <si>
    <t>Autres charges à répartir</t>
  </si>
  <si>
    <t>Frais R&amp;D</t>
  </si>
  <si>
    <t>Brevets</t>
  </si>
  <si>
    <t>Licences</t>
  </si>
  <si>
    <t>Concessions</t>
  </si>
  <si>
    <t>Logiciels</t>
  </si>
  <si>
    <t>Sites internet</t>
  </si>
  <si>
    <t>Fonds commercial</t>
  </si>
  <si>
    <t>Droit au bail</t>
  </si>
  <si>
    <t>Marques</t>
  </si>
  <si>
    <t>Autres droits incorporels</t>
  </si>
  <si>
    <t>Immo incorporelles en cours</t>
  </si>
  <si>
    <t>Avances immo incorporelles</t>
  </si>
  <si>
    <t>Terrains agricoles</t>
  </si>
  <si>
    <t>Terrains nus</t>
  </si>
  <si>
    <t>Terrains bâtis</t>
  </si>
  <si>
    <t>Terrains de gisement</t>
  </si>
  <si>
    <t>Autres terrains</t>
  </si>
  <si>
    <t>Agencements terrains</t>
  </si>
  <si>
    <t>Bâtiments industriels</t>
  </si>
  <si>
    <t>Bâtiments agricoles</t>
  </si>
  <si>
    <t>Bâtiments administratifs</t>
  </si>
  <si>
    <t>Bâtiments sociaux</t>
  </si>
  <si>
    <t>Autres bâtiments</t>
  </si>
  <si>
    <t>Constructions légères</t>
  </si>
  <si>
    <t>Installations</t>
  </si>
  <si>
    <t>Agencements bâtiments</t>
  </si>
  <si>
    <t>Ouvrages infrastructure</t>
  </si>
  <si>
    <t>Bâtiments en cours</t>
  </si>
  <si>
    <t>Avances constructions</t>
  </si>
  <si>
    <t>Matériel industriel</t>
  </si>
  <si>
    <t>Outillage industriel</t>
  </si>
  <si>
    <t>Matériel de bureau</t>
  </si>
  <si>
    <t>Matériel informatique</t>
  </si>
  <si>
    <t>Mobilier de bureau</t>
  </si>
  <si>
    <t>Matériel automobile</t>
  </si>
  <si>
    <t>Matériel ferroviaire</t>
  </si>
  <si>
    <t>Matériel fluvial maritime</t>
  </si>
  <si>
    <t>Matériel aérien</t>
  </si>
  <si>
    <t>Emballages récupérables</t>
  </si>
  <si>
    <t>Autres immo corporelles</t>
  </si>
  <si>
    <t>Matériel en cours</t>
  </si>
  <si>
    <t>Avances immo corporelles</t>
  </si>
  <si>
    <t>Titres participation groupe</t>
  </si>
  <si>
    <t>Autres participations</t>
  </si>
  <si>
    <t>Prêts au personnel</t>
  </si>
  <si>
    <t>Prêts aux associés</t>
  </si>
  <si>
    <t>Prêts sociétés groupe</t>
  </si>
  <si>
    <t>Dépôts cautionnements versés</t>
  </si>
  <si>
    <t>Créances financières diverses</t>
  </si>
  <si>
    <t>Amort frais constitution</t>
  </si>
  <si>
    <t>Amort frais prospection</t>
  </si>
  <si>
    <t>Amort frais restructuration</t>
  </si>
  <si>
    <t>Amort frais R&amp;D</t>
  </si>
  <si>
    <t>Amort brevets</t>
  </si>
  <si>
    <t>Amort logiciels</t>
  </si>
  <si>
    <t>Amort fonds commercial</t>
  </si>
  <si>
    <t>Amort terrains gisement</t>
  </si>
  <si>
    <t>Amort agencements terrains</t>
  </si>
  <si>
    <t>Amort bâtiments</t>
  </si>
  <si>
    <t>Amort matériel outillage</t>
  </si>
  <si>
    <t>Amort matériel transport</t>
  </si>
  <si>
    <t>Amort mobilier bureau</t>
  </si>
  <si>
    <t>Prov dépréciation charges immo</t>
  </si>
  <si>
    <t>Prov dépréciation brevets</t>
  </si>
  <si>
    <t>Prov dépréciation terrains</t>
  </si>
  <si>
    <t>Prov dépréciation constructions</t>
  </si>
  <si>
    <t>Prov dépréciation matériel</t>
  </si>
  <si>
    <t>Prov dépréciation titres</t>
  </si>
  <si>
    <t>Prov dépréciation prêts</t>
  </si>
  <si>
    <t>Marchandises A</t>
  </si>
  <si>
    <t>Marchandises B</t>
  </si>
  <si>
    <t>Autres marchandises</t>
  </si>
  <si>
    <t>Matières premières A</t>
  </si>
  <si>
    <t>Matières premières B</t>
  </si>
  <si>
    <t>Matières consommables</t>
  </si>
  <si>
    <t>Combustibles</t>
  </si>
  <si>
    <t>Fournitures de bureau</t>
  </si>
  <si>
    <t>Emballages perdus</t>
  </si>
  <si>
    <t>En-cours produits</t>
  </si>
  <si>
    <t>Travaux en cours</t>
  </si>
  <si>
    <t>Produits intermédiaires</t>
  </si>
  <si>
    <t>Produits finis</t>
  </si>
  <si>
    <t>Produits résiduels</t>
  </si>
  <si>
    <t>Prov dépréciation marchandises</t>
  </si>
  <si>
    <t>Prov dépréciation matières</t>
  </si>
  <si>
    <t>Prov dépréciation en-cours</t>
  </si>
  <si>
    <t>Prov dépréciation produits</t>
  </si>
  <si>
    <t>Fournisseurs biens</t>
  </si>
  <si>
    <t>Fournisseurs services</t>
  </si>
  <si>
    <t>Fournisseurs effets à payer</t>
  </si>
  <si>
    <t>Fournisseurs avances reçues</t>
  </si>
  <si>
    <t>Fournisseurs immobilisations</t>
  </si>
  <si>
    <t>Fournisseurs factures non parvenues</t>
  </si>
  <si>
    <t>Fournisseurs débiteurs</t>
  </si>
  <si>
    <t>Clients ordinaires</t>
  </si>
  <si>
    <t>Clients groupe</t>
  </si>
  <si>
    <t>Clients effets à recevoir</t>
  </si>
  <si>
    <t>Clients avances versées</t>
  </si>
  <si>
    <t>Clients douteux</t>
  </si>
  <si>
    <t>Clients produits à recevoir</t>
  </si>
  <si>
    <t>Clients créditeurs</t>
  </si>
  <si>
    <t>Personnel avances</t>
  </si>
  <si>
    <t>Personnel rémunérations dues</t>
  </si>
  <si>
    <t>Personnel oppositions salaires</t>
  </si>
  <si>
    <t>Personnel autres créances</t>
  </si>
  <si>
    <t>Sécurité sociale</t>
  </si>
  <si>
    <t>Caisses de retraite</t>
  </si>
  <si>
    <t>Autres organismes sociaux</t>
  </si>
  <si>
    <t>Organismes sociaux charges à payer</t>
  </si>
  <si>
    <t>État impôt bénéfices</t>
  </si>
  <si>
    <t>État autres impôts taxes</t>
  </si>
  <si>
    <t>État TVA facturée</t>
  </si>
  <si>
    <t>État TVA récup immobilisations</t>
  </si>
  <si>
    <t>État TVA récup achats</t>
  </si>
  <si>
    <t>État crédit TVA</t>
  </si>
  <si>
    <t>État impôt sociétés</t>
  </si>
  <si>
    <t>État subventions à recevoir</t>
  </si>
  <si>
    <t>État charges à payer</t>
  </si>
  <si>
    <t>Associés comptes courants</t>
  </si>
  <si>
    <t>Associés dividendes à payer</t>
  </si>
  <si>
    <t>Débiteurs divers</t>
  </si>
  <si>
    <t>Créditeurs divers</t>
  </si>
  <si>
    <t>Écarts conversion Actif</t>
  </si>
  <si>
    <t>Écarts conversion Passif</t>
  </si>
  <si>
    <t>Charges constatées d'avance</t>
  </si>
  <si>
    <t>Produits constatés d'avance</t>
  </si>
  <si>
    <t>Prov dépréciation clients</t>
  </si>
  <si>
    <t>Prov dépréciation autres créances</t>
  </si>
  <si>
    <t>Banques comptes en monnaie locale</t>
  </si>
  <si>
    <t>Banques comptes en devises</t>
  </si>
  <si>
    <t>Établissements financiers</t>
  </si>
  <si>
    <t>Banques comptes bloqués</t>
  </si>
  <si>
    <t>Chèques postaux</t>
  </si>
  <si>
    <t>Trésor public</t>
  </si>
  <si>
    <t>Effets à l'encaissement</t>
  </si>
  <si>
    <t>Effets à l'escompte</t>
  </si>
  <si>
    <t>Titres à court terme</t>
  </si>
  <si>
    <t>Caisse centrale</t>
  </si>
  <si>
    <t>Caisse annexe</t>
  </si>
  <si>
    <t>Régies d'avances</t>
  </si>
  <si>
    <t>Accréditifs</t>
  </si>
  <si>
    <t>Virements de fonds</t>
  </si>
  <si>
    <t>Concours bancaires courants</t>
  </si>
  <si>
    <t>Crédits d'escompte</t>
  </si>
  <si>
    <t>Crédits de trésorerie</t>
  </si>
  <si>
    <t>Découverts bancaires</t>
  </si>
  <si>
    <t>Crédits de campagne</t>
  </si>
  <si>
    <t>Prov dépréciation titres CT</t>
  </si>
  <si>
    <t>Achats de marchandises</t>
  </si>
  <si>
    <t>Gestion</t>
  </si>
  <si>
    <t>Variation stocks marchandises</t>
  </si>
  <si>
    <t>Variations stocks autres approvisionnements</t>
  </si>
  <si>
    <t>Achats stockés matières premières</t>
  </si>
  <si>
    <t>Autres achats</t>
  </si>
  <si>
    <t>Achats d'emballages</t>
  </si>
  <si>
    <t>Transports sur achats</t>
  </si>
  <si>
    <t>Transports sur ventes</t>
  </si>
  <si>
    <t>Transports pour le compte de tiers</t>
  </si>
  <si>
    <t>Transports du personnel</t>
  </si>
  <si>
    <t>Sous-traitance générale</t>
  </si>
  <si>
    <t>Locations et charges locatives</t>
  </si>
  <si>
    <t>Redevances de crédit-bail</t>
  </si>
  <si>
    <t>Entretien réparations maintenance</t>
  </si>
  <si>
    <t>Primes d'assurance</t>
  </si>
  <si>
    <t>Études recherches</t>
  </si>
  <si>
    <t>Publicité publications relations publiques</t>
  </si>
  <si>
    <t>Frais de télécommunications</t>
  </si>
  <si>
    <t>Frais bancaires</t>
  </si>
  <si>
    <t>Rémunérations intermédiaires conseils</t>
  </si>
  <si>
    <t>Frais de formation du personnel</t>
  </si>
  <si>
    <t>Redevances brevets licences</t>
  </si>
  <si>
    <t>Cotisations</t>
  </si>
  <si>
    <t>Autres charges externes</t>
  </si>
  <si>
    <t>Impôts taxes et versements assimilés</t>
  </si>
  <si>
    <t>Droits d'enregistrement</t>
  </si>
  <si>
    <t>Droits de douane</t>
  </si>
  <si>
    <t>Autres impôts taxes et versements</t>
  </si>
  <si>
    <t>Personnel temporaire</t>
  </si>
  <si>
    <t>Personnel détaché facturé</t>
  </si>
  <si>
    <t>Rémunérations directes du personnel national</t>
  </si>
  <si>
    <t>Rémunérations directes du personnel non national</t>
  </si>
  <si>
    <t>Indemnités forfaitaires versées au personnel</t>
  </si>
  <si>
    <t>Commissions au personnel</t>
  </si>
  <si>
    <t>Rémunérations des administrateurs</t>
  </si>
  <si>
    <t>Rémunérations et charges sociales de l'exploitant</t>
  </si>
  <si>
    <t>Charges sociales</t>
  </si>
  <si>
    <t>Dotations aux amortissements</t>
  </si>
  <si>
    <t>DAP charges immobilisées</t>
  </si>
  <si>
    <t>DAP immo incorporelles</t>
  </si>
  <si>
    <t>DAP immo corporelles</t>
  </si>
  <si>
    <t>DAP risques financiers</t>
  </si>
  <si>
    <t>DAP dépréciations financières</t>
  </si>
  <si>
    <t>Intérêts emprunts obligations</t>
  </si>
  <si>
    <t>Intérêts emprunts et dettes</t>
  </si>
  <si>
    <t>Intérêts bancaires</t>
  </si>
  <si>
    <t>Intérêts groupe et associés</t>
  </si>
  <si>
    <t>Escomptes accordés</t>
  </si>
  <si>
    <t>Pertes de change</t>
  </si>
  <si>
    <t>Pertes sur cessions titres placement</t>
  </si>
  <si>
    <t>Charges financières diverses</t>
  </si>
  <si>
    <t>Charges HAO</t>
  </si>
  <si>
    <t>Dotations HAO</t>
  </si>
  <si>
    <t>Impôts sur les bénéfices</t>
  </si>
  <si>
    <t>Ventes de marchandises</t>
  </si>
  <si>
    <t>Ventes de produits finis</t>
  </si>
  <si>
    <t>Ventes de produits intermédiaires</t>
  </si>
  <si>
    <t>Ventes de produits résiduels</t>
  </si>
  <si>
    <t>Travaux facturés</t>
  </si>
  <si>
    <t>Services vendus</t>
  </si>
  <si>
    <t>Produits accessoires</t>
  </si>
  <si>
    <t>Subventions d'exploitation</t>
  </si>
  <si>
    <t>Autres produits</t>
  </si>
  <si>
    <t>Variation stocks produits en cours</t>
  </si>
  <si>
    <t>Variation stocks produits finis</t>
  </si>
  <si>
    <t>Production immobilisée incorporelle</t>
  </si>
  <si>
    <t>Production immobilisée corporelle</t>
  </si>
  <si>
    <t>Reprises provisions exploitation</t>
  </si>
  <si>
    <t>Reprises dépréciations exploitation</t>
  </si>
  <si>
    <t>Transferts charges exploitation</t>
  </si>
  <si>
    <t>Revenus titres participation</t>
  </si>
  <si>
    <t>Revenus autres immob financières</t>
  </si>
  <si>
    <t>Intérêts créances diverses</t>
  </si>
  <si>
    <t>Revenus titres placement</t>
  </si>
  <si>
    <t>Escomptes obtenus</t>
  </si>
  <si>
    <t>Gains de change</t>
  </si>
  <si>
    <t>Gains sur cessions titres placement</t>
  </si>
  <si>
    <t>Produits financiers divers</t>
  </si>
  <si>
    <t>Reprises provisions risques financiers</t>
  </si>
  <si>
    <t>Reprises dépréciations financières</t>
  </si>
  <si>
    <t>Transferts charges financières</t>
  </si>
  <si>
    <t>Produits cessions immobilisations</t>
  </si>
  <si>
    <t>Produits HAO</t>
  </si>
  <si>
    <t>Reprises HAO</t>
  </si>
  <si>
    <t>JOURNAL DE SAISIE COMPTABLE</t>
  </si>
  <si>
    <t>Date</t>
  </si>
  <si>
    <t>N° Pièce</t>
  </si>
  <si>
    <t>Code Jnl</t>
  </si>
  <si>
    <t>Libellé écriture</t>
  </si>
  <si>
    <t>Débit</t>
  </si>
  <si>
    <t>Crédit</t>
  </si>
  <si>
    <t>Ctrl</t>
  </si>
  <si>
    <t>TOTAUX</t>
  </si>
  <si>
    <t>BALANCE EXERCICE PRÉCÉDENT (N-1)</t>
  </si>
  <si>
    <t>Débit N-1</t>
  </si>
  <si>
    <t>Crédit N-1</t>
  </si>
  <si>
    <t>Solde Débiteur</t>
  </si>
  <si>
    <t>Solde Créditeur</t>
  </si>
  <si>
    <t>BALANCE GÉNÉRALE - EXERCICE N</t>
  </si>
  <si>
    <t>Mvt Débit</t>
  </si>
  <si>
    <t>Mvt Crédit</t>
  </si>
  <si>
    <t>Solde N-1</t>
  </si>
  <si>
    <t>Net</t>
  </si>
  <si>
    <t>Contrôle équilibre:</t>
  </si>
  <si>
    <t>LIASSE FISCALE SYSCOHADA - UEMOA</t>
  </si>
  <si>
    <t>IDENTIFICATION DE L'ENTREPRISE</t>
  </si>
  <si>
    <t>Raison sociale:</t>
  </si>
  <si>
    <t>Forme juridique:</t>
  </si>
  <si>
    <t>RCCM:</t>
  </si>
  <si>
    <t>NIF:</t>
  </si>
  <si>
    <t>Siège social:</t>
  </si>
  <si>
    <t>Activité principale:</t>
  </si>
  <si>
    <t>Capital social:</t>
  </si>
  <si>
    <t>Exercice du:</t>
  </si>
  <si>
    <t>au:</t>
  </si>
  <si>
    <t>FICHE R1 - RENSEIGNEMENTS GÉNÉRAUX</t>
  </si>
  <si>
    <t>Information</t>
  </si>
  <si>
    <t>Effectif permanent</t>
  </si>
  <si>
    <t>Personnel sous contrat</t>
  </si>
  <si>
    <t>Masse salariale</t>
  </si>
  <si>
    <t>Nombre d'établissements</t>
  </si>
  <si>
    <t>FICHE R2 - ACTIVITÉS ET CHIFFRE D'AFFAIRES</t>
  </si>
  <si>
    <t>Activité</t>
  </si>
  <si>
    <t>Code APE</t>
  </si>
  <si>
    <t>CA N</t>
  </si>
  <si>
    <t>CA N-1</t>
  </si>
  <si>
    <t>FICHE R3 - DIRIGEANTS ET ADMINISTRATEURS</t>
  </si>
  <si>
    <t>Nom et Prénoms</t>
  </si>
  <si>
    <t>Fonction</t>
  </si>
  <si>
    <t>Date nomination</t>
  </si>
  <si>
    <t>Rémunération</t>
  </si>
  <si>
    <t>FICHE R4 - ACTIONNAIRES OU ASSOCIÉS</t>
  </si>
  <si>
    <t>Nom / Raison sociale</t>
  </si>
  <si>
    <t>Adresse</t>
  </si>
  <si>
    <t>Nb parts/actions</t>
  </si>
  <si>
    <t>% capital</t>
  </si>
  <si>
    <t>BILAN - ACTIF</t>
  </si>
  <si>
    <t>REF</t>
  </si>
  <si>
    <t>ACTIF</t>
  </si>
  <si>
    <t>Note</t>
  </si>
  <si>
    <t>BRUT N</t>
  </si>
  <si>
    <t>AMORT/PROV</t>
  </si>
  <si>
    <t>NET N</t>
  </si>
  <si>
    <t>NET N-1</t>
  </si>
  <si>
    <t>AA</t>
  </si>
  <si>
    <t>ACTIF IMMOBILISE</t>
  </si>
  <si>
    <t>AB</t>
  </si>
  <si>
    <t>Charges immobilisées</t>
  </si>
  <si>
    <t>AC</t>
  </si>
  <si>
    <t>Frais d'établissement</t>
  </si>
  <si>
    <t>AD</t>
  </si>
  <si>
    <t>Charges à répartir</t>
  </si>
  <si>
    <t>AE</t>
  </si>
  <si>
    <t>Primes de remboursement des obligations</t>
  </si>
  <si>
    <t>AF</t>
  </si>
  <si>
    <t>Immobilisations incorporelles</t>
  </si>
  <si>
    <t>AG</t>
  </si>
  <si>
    <t>Frais de recherche et développement</t>
  </si>
  <si>
    <t>AH</t>
  </si>
  <si>
    <t>Brevets, licences, logiciels</t>
  </si>
  <si>
    <t>AI</t>
  </si>
  <si>
    <t>AJ</t>
  </si>
  <si>
    <t>Autres immobilisations incorporelles</t>
  </si>
  <si>
    <t>AK</t>
  </si>
  <si>
    <t>Immobilisations corporelles</t>
  </si>
  <si>
    <t>AL</t>
  </si>
  <si>
    <t>Terrains</t>
  </si>
  <si>
    <t>AM</t>
  </si>
  <si>
    <t>Bâtiments</t>
  </si>
  <si>
    <t>AN</t>
  </si>
  <si>
    <t>Installations et agencements</t>
  </si>
  <si>
    <t>AP</t>
  </si>
  <si>
    <t>Matériel</t>
  </si>
  <si>
    <t>AQ</t>
  </si>
  <si>
    <t>Matériel de transport</t>
  </si>
  <si>
    <t>AR</t>
  </si>
  <si>
    <t>Avances et acomptes versés sur immobilisations</t>
  </si>
  <si>
    <t>AS</t>
  </si>
  <si>
    <t>Immobilisations financières</t>
  </si>
  <si>
    <t>AT</t>
  </si>
  <si>
    <t>Titres de participation</t>
  </si>
  <si>
    <t>AU</t>
  </si>
  <si>
    <t>Autres immobilisations financières</t>
  </si>
  <si>
    <t>AZ</t>
  </si>
  <si>
    <t>TOTAL ACTIF IMMOBILISE (I)</t>
  </si>
  <si>
    <t>BA</t>
  </si>
  <si>
    <t>ACTIF CIRCULANT</t>
  </si>
  <si>
    <t>BB</t>
  </si>
  <si>
    <t>Stocks et en-cours</t>
  </si>
  <si>
    <t>BC</t>
  </si>
  <si>
    <t>Marchandises</t>
  </si>
  <si>
    <t>BD</t>
  </si>
  <si>
    <t>Matières premières</t>
  </si>
  <si>
    <t>BE</t>
  </si>
  <si>
    <t>En-cours</t>
  </si>
  <si>
    <t>BF</t>
  </si>
  <si>
    <t>Produits fabriqués</t>
  </si>
  <si>
    <t>BG</t>
  </si>
  <si>
    <t>Créances et emplois assimilés</t>
  </si>
  <si>
    <t>BH</t>
  </si>
  <si>
    <t>Fournisseurs, avances versées</t>
  </si>
  <si>
    <t>BI</t>
  </si>
  <si>
    <t>Clients</t>
  </si>
  <si>
    <t>BJ</t>
  </si>
  <si>
    <t>Autres créances</t>
  </si>
  <si>
    <t>BK</t>
  </si>
  <si>
    <t>TOTAL ACTIF CIRCULANT (II)</t>
  </si>
  <si>
    <t>BQ</t>
  </si>
  <si>
    <t>TRÉSORERIE-ACTIF</t>
  </si>
  <si>
    <t>BR</t>
  </si>
  <si>
    <t>Titres de placement</t>
  </si>
  <si>
    <t>BS</t>
  </si>
  <si>
    <t>Valeurs à encaisser</t>
  </si>
  <si>
    <t>BT</t>
  </si>
  <si>
    <t>Banques, chèques postaux, caisse</t>
  </si>
  <si>
    <t>BU</t>
  </si>
  <si>
    <t>TOTAL TRÉSORERIE-ACTIF (III)</t>
  </si>
  <si>
    <t>BZ</t>
  </si>
  <si>
    <t>TOTAL GÉNÉRAL (I + II + III)</t>
  </si>
  <si>
    <t>BILAN - PASSIF</t>
  </si>
  <si>
    <t>PASSIF</t>
  </si>
  <si>
    <t>CA</t>
  </si>
  <si>
    <t>CAPITAUX PROPRES ET RESSOURCES ASSIMILÉES</t>
  </si>
  <si>
    <t>CB</t>
  </si>
  <si>
    <t>Capital</t>
  </si>
  <si>
    <t>CC</t>
  </si>
  <si>
    <t>Actionnaires capital non appelé (-)</t>
  </si>
  <si>
    <t>CD</t>
  </si>
  <si>
    <t>Primes et réserves</t>
  </si>
  <si>
    <t>CE</t>
  </si>
  <si>
    <t>Primes d'apport, d'émission, de fusion</t>
  </si>
  <si>
    <t>CF</t>
  </si>
  <si>
    <t>Écarts de réévaluation</t>
  </si>
  <si>
    <t>CG</t>
  </si>
  <si>
    <t>Réserves indisponibles</t>
  </si>
  <si>
    <t>CH</t>
  </si>
  <si>
    <t>Réserves libres</t>
  </si>
  <si>
    <t>CI</t>
  </si>
  <si>
    <t>Report à nouveau (+ ou -)</t>
  </si>
  <si>
    <t>CJ</t>
  </si>
  <si>
    <t>Résultat net de l'exercice (+ ou -)</t>
  </si>
  <si>
    <t>CK</t>
  </si>
  <si>
    <t>Subventions d'investissement</t>
  </si>
  <si>
    <t>CL</t>
  </si>
  <si>
    <t>Provisions réglementées et fonds assimilés</t>
  </si>
  <si>
    <t>CP</t>
  </si>
  <si>
    <t>TOTAL CAPITAUX PROPRES (I)</t>
  </si>
  <si>
    <t>DA</t>
  </si>
  <si>
    <t>DETTES FINANCIÈRES ET RESSOURCES ASSIMILÉES</t>
  </si>
  <si>
    <t>DB</t>
  </si>
  <si>
    <t>Emprunts</t>
  </si>
  <si>
    <t>DC</t>
  </si>
  <si>
    <t>Dettes de crédit-bail</t>
  </si>
  <si>
    <t>DD</t>
  </si>
  <si>
    <t>Dettes financières diverses</t>
  </si>
  <si>
    <t>DE</t>
  </si>
  <si>
    <t>Provisions financières pour risques et charges</t>
  </si>
  <si>
    <t>DF</t>
  </si>
  <si>
    <t>TOTAL DETTES FINANCIÈRES (II)</t>
  </si>
  <si>
    <t>DG</t>
  </si>
  <si>
    <t>TOTAL RESSOURCES STABLES (I + II)</t>
  </si>
  <si>
    <t>DH</t>
  </si>
  <si>
    <t>PASSIF CIRCULANT</t>
  </si>
  <si>
    <t>DI</t>
  </si>
  <si>
    <t>Dettes circulantes HAO</t>
  </si>
  <si>
    <t>DJ</t>
  </si>
  <si>
    <t>Clients, avances reçues</t>
  </si>
  <si>
    <t>DK</t>
  </si>
  <si>
    <t>Fournisseurs d'exploitation</t>
  </si>
  <si>
    <t>DL</t>
  </si>
  <si>
    <t>Dettes fiscales</t>
  </si>
  <si>
    <t>DM</t>
  </si>
  <si>
    <t>Dettes sociales</t>
  </si>
  <si>
    <t>DN</t>
  </si>
  <si>
    <t>Autres dettes</t>
  </si>
  <si>
    <t>DO</t>
  </si>
  <si>
    <t>Risques provisionnés</t>
  </si>
  <si>
    <t>DP</t>
  </si>
  <si>
    <t>TOTAL PASSIF CIRCULANT (III)</t>
  </si>
  <si>
    <t>DQ</t>
  </si>
  <si>
    <t>TRÉSORERIE-PASSIF</t>
  </si>
  <si>
    <t>DR</t>
  </si>
  <si>
    <t>Banques, crédits d'escompte</t>
  </si>
  <si>
    <t>DS</t>
  </si>
  <si>
    <t>Banques, crédits de trésorerie</t>
  </si>
  <si>
    <t>DT</t>
  </si>
  <si>
    <t>TOTAL TRÉSORERIE-PASSIF (IV)</t>
  </si>
  <si>
    <t>DZ</t>
  </si>
  <si>
    <t>TOTAL GÉNÉRAL (I + II + III + IV)</t>
  </si>
  <si>
    <t>COMPTE DE RÉSULTAT</t>
  </si>
  <si>
    <t>LIBELLÉ</t>
  </si>
  <si>
    <t>EXERCICE N</t>
  </si>
  <si>
    <t>EXERCICE N-1</t>
  </si>
  <si>
    <t>TA</t>
  </si>
  <si>
    <t>RA</t>
  </si>
  <si>
    <t>RB</t>
  </si>
  <si>
    <t>Variation de stocks de marchandises</t>
  </si>
  <si>
    <t>XA</t>
  </si>
  <si>
    <t>MARGE COMMERCIALE (A)</t>
  </si>
  <si>
    <t>TB</t>
  </si>
  <si>
    <t>Ventes de produits fabriqués</t>
  </si>
  <si>
    <t>TC</t>
  </si>
  <si>
    <t>Travaux, services vendus</t>
  </si>
  <si>
    <t>TD</t>
  </si>
  <si>
    <t>Production stockée (ou déstockage)</t>
  </si>
  <si>
    <t>TE</t>
  </si>
  <si>
    <t>Production immobilisée</t>
  </si>
  <si>
    <t>XB</t>
  </si>
  <si>
    <t>PRODUCTION DE L'EXERCICE (B)</t>
  </si>
  <si>
    <t>RC</t>
  </si>
  <si>
    <t>Achats de matières premières</t>
  </si>
  <si>
    <t>RD</t>
  </si>
  <si>
    <t>Variation de stocks matières</t>
  </si>
  <si>
    <t>RE</t>
  </si>
  <si>
    <t>RF</t>
  </si>
  <si>
    <t>Variation de stocks autres approv.</t>
  </si>
  <si>
    <t>RG</t>
  </si>
  <si>
    <t>Transports</t>
  </si>
  <si>
    <t>RH</t>
  </si>
  <si>
    <t>Services extérieurs</t>
  </si>
  <si>
    <t>RI</t>
  </si>
  <si>
    <t>Impôts et taxes</t>
  </si>
  <si>
    <t>RJ</t>
  </si>
  <si>
    <t>Autres charges</t>
  </si>
  <si>
    <t>XC</t>
  </si>
  <si>
    <t>CONSOMMATIONS DE L'EXERCICE (C)</t>
  </si>
  <si>
    <t>XD</t>
  </si>
  <si>
    <t>VALEUR AJOUTÉE (B - C + A)</t>
  </si>
  <si>
    <t>RK</t>
  </si>
  <si>
    <t>Charges de personnel</t>
  </si>
  <si>
    <t>XE</t>
  </si>
  <si>
    <t>EXCÉDENT BRUT D'EXPLOITATION (EBE)</t>
  </si>
  <si>
    <t>TF</t>
  </si>
  <si>
    <t>Reprises d'amortissements et provisions</t>
  </si>
  <si>
    <t>TG</t>
  </si>
  <si>
    <t>Transferts de charges</t>
  </si>
  <si>
    <t>RL</t>
  </si>
  <si>
    <t>Dotations aux amortissements et provisions</t>
  </si>
  <si>
    <t>XF</t>
  </si>
  <si>
    <t>RÉSULTAT D'EXPLOITATION (RE)</t>
  </si>
  <si>
    <t>TH</t>
  </si>
  <si>
    <t>Revenus financiers</t>
  </si>
  <si>
    <t>TI</t>
  </si>
  <si>
    <t>Reprises financières</t>
  </si>
  <si>
    <t>TJ</t>
  </si>
  <si>
    <t>Transferts de charges financières</t>
  </si>
  <si>
    <t>RM</t>
  </si>
  <si>
    <t>Frais financiers</t>
  </si>
  <si>
    <t>RN</t>
  </si>
  <si>
    <t>Dotations financières</t>
  </si>
  <si>
    <t>XG</t>
  </si>
  <si>
    <t>RÉSULTAT FINANCIER (RF)</t>
  </si>
  <si>
    <t>XH</t>
  </si>
  <si>
    <t>RÉSULTAT DES ACTIVITÉS ORDINAIRES (RAO)</t>
  </si>
  <si>
    <t>TK</t>
  </si>
  <si>
    <t>Produits des cessions d'immobilisations</t>
  </si>
  <si>
    <t>TL</t>
  </si>
  <si>
    <t>Autres produits HAO</t>
  </si>
  <si>
    <t>RO</t>
  </si>
  <si>
    <t>Valeurs comptables des cessions</t>
  </si>
  <si>
    <t>RP</t>
  </si>
  <si>
    <t>Autres charges HAO</t>
  </si>
  <si>
    <t>XJ</t>
  </si>
  <si>
    <t>RÉSULTAT HAO</t>
  </si>
  <si>
    <t>RQ</t>
  </si>
  <si>
    <t>Participation des travailleurs</t>
  </si>
  <si>
    <t>RS</t>
  </si>
  <si>
    <t>Impôts sur le résultat</t>
  </si>
  <si>
    <t>XK</t>
  </si>
  <si>
    <t>RÉSULTAT NET</t>
  </si>
  <si>
    <t>TABLEAU DES FLUX DE TRÉSORERIE</t>
  </si>
  <si>
    <t>ZA</t>
  </si>
  <si>
    <t>Trésorerie nette au 1er janvier (A)</t>
  </si>
  <si>
    <t>FLUX DE TRÉSORERIE LIÉS AUX ACTIVITÉS OPÉRATIONNELLES</t>
  </si>
  <si>
    <t>FA</t>
  </si>
  <si>
    <t>Capacité d'autofinancement globale (CAFG)</t>
  </si>
  <si>
    <t>FB</t>
  </si>
  <si>
    <t>(-) Variation actif circulant HAO</t>
  </si>
  <si>
    <t>FC</t>
  </si>
  <si>
    <t>(-) Variation des stocks</t>
  </si>
  <si>
    <t>FD</t>
  </si>
  <si>
    <t>(-) Variation des créances</t>
  </si>
  <si>
    <t>FE</t>
  </si>
  <si>
    <t>(+) Variation du passif circulant</t>
  </si>
  <si>
    <t>ZB</t>
  </si>
  <si>
    <t>Flux de trésorerie opérationnelle (B)</t>
  </si>
  <si>
    <t>FLUX DE TRÉSORERIE LIÉS AUX ACTIVITÉS D'INVESTISSEMENT</t>
  </si>
  <si>
    <t>FF</t>
  </si>
  <si>
    <t>(-) Décaissements liés aux acquisitions d'immobilisations</t>
  </si>
  <si>
    <t>FG</t>
  </si>
  <si>
    <t>(+) Encaissements liés aux cessions d'immobilisations</t>
  </si>
  <si>
    <t>FH</t>
  </si>
  <si>
    <t>(+) Intérêts encaissés</t>
  </si>
  <si>
    <t>FI</t>
  </si>
  <si>
    <t>(+) Dividendes reçus</t>
  </si>
  <si>
    <t>ZC</t>
  </si>
  <si>
    <t>Flux de trésorerie d'investissement (C)</t>
  </si>
  <si>
    <t>FLUX DE TRÉSORERIE LIÉS AUX ACTIVITÉS DE FINANCEMENT</t>
  </si>
  <si>
    <t>FJ</t>
  </si>
  <si>
    <t>(+) Augmentation de capital</t>
  </si>
  <si>
    <t>FK</t>
  </si>
  <si>
    <t>(+) Subventions d'investissement reçues</t>
  </si>
  <si>
    <t>FL</t>
  </si>
  <si>
    <t>(+) Emprunts nouveaux</t>
  </si>
  <si>
    <t>FM</t>
  </si>
  <si>
    <t>(-) Remboursements d'emprunts</t>
  </si>
  <si>
    <t>FN</t>
  </si>
  <si>
    <t>(-) Intérêts versés</t>
  </si>
  <si>
    <t>FO</t>
  </si>
  <si>
    <t>(-) Dividendes versés</t>
  </si>
  <si>
    <t>ZD</t>
  </si>
  <si>
    <t>Flux de trésorerie de financement (D)</t>
  </si>
  <si>
    <t>ZE</t>
  </si>
  <si>
    <t>Variation de trésorerie nette (B + C + D)</t>
  </si>
  <si>
    <t>ZF</t>
  </si>
  <si>
    <t>Trésorerie nette au 31 décembre (A + E)</t>
  </si>
  <si>
    <t>Contrôle: Écart (doit être nul)</t>
  </si>
  <si>
    <t>NOTE 1 - Référentiel comptable et comparabilité des comptes</t>
  </si>
  <si>
    <t>Brut N</t>
  </si>
  <si>
    <t>Amort/Prov</t>
  </si>
  <si>
    <t>Net N</t>
  </si>
  <si>
    <t>Net N-1</t>
  </si>
  <si>
    <t>NOTE 2 - Règles et méthodes comptables</t>
  </si>
  <si>
    <t>NOTE 3 - Charges immobilisées</t>
  </si>
  <si>
    <t>NOTE 4 - Immobilisations incorporelles</t>
  </si>
  <si>
    <t>NOTE 5 - Immobilisations corporelles</t>
  </si>
  <si>
    <t>NOTE 6 - Avances et acomptes versés sur immobilisations</t>
  </si>
  <si>
    <t>NOTE 7 - Immobilisations financières</t>
  </si>
  <si>
    <t>NOTE 8 - Stocks et en-cours</t>
  </si>
  <si>
    <t>NOTE 9 - Fournisseurs avances versées</t>
  </si>
  <si>
    <t>NOTE 10 - Clients</t>
  </si>
  <si>
    <t>NOTE 11 - Autres créances</t>
  </si>
  <si>
    <t>NOTE 12 - Titres de placement</t>
  </si>
  <si>
    <t>NOTE 13 - Valeurs à encaisser et banques</t>
  </si>
  <si>
    <t>Exercice N</t>
  </si>
  <si>
    <t>Exercice N-1</t>
  </si>
  <si>
    <t>NOTE 14 - Capital et réserves</t>
  </si>
  <si>
    <t>NOTE 15 - Emprunts et dettes assimilées</t>
  </si>
  <si>
    <t>NOTE 16 - Provisions financières pour risques et charges</t>
  </si>
  <si>
    <t>NOTE 17 - Dettes circulantes HAO</t>
  </si>
  <si>
    <t>NOTE 18 - Clients avances reçues</t>
  </si>
  <si>
    <t>NOTE 19 - Fournisseurs d'exploitation</t>
  </si>
  <si>
    <t>NOTE 20 - Dettes fiscales</t>
  </si>
  <si>
    <t>NOTE 21 - Dettes sociales</t>
  </si>
  <si>
    <t>NOTE 22 - Autres dettes et risques provisionnés</t>
  </si>
  <si>
    <t>NOTE 23 - Banques crédits et trésorerie passif</t>
  </si>
  <si>
    <t>NOTE 24 - Chiffre d'affaires et autres produits</t>
  </si>
  <si>
    <t>NOTE 25 - Achats</t>
  </si>
  <si>
    <t>NOTE 26 - Autres achats</t>
  </si>
  <si>
    <t>NOTE 27 - Transports</t>
  </si>
  <si>
    <t>NOTE 28 - Services extérieurs</t>
  </si>
  <si>
    <t>NOTE 29 - Impôts et taxes</t>
  </si>
  <si>
    <t>NOTE 30 - Autres charges</t>
  </si>
  <si>
    <t>NOTE 31 - Charges de personnel</t>
  </si>
  <si>
    <t>NOTE 32 - Dotations et reprises</t>
  </si>
  <si>
    <t>NOTE 33 - Charges et produits financiers</t>
  </si>
  <si>
    <t>NOTE 34 - Charges et produits HAO</t>
  </si>
  <si>
    <t>NOTE 35 - Engagements hors bilan</t>
  </si>
  <si>
    <t>NOTE 36 - Autres informations</t>
  </si>
  <si>
    <t>CODES DES ÉTATS FINANCIERS SYSCOHADA</t>
  </si>
  <si>
    <t>Code</t>
  </si>
  <si>
    <t>État</t>
  </si>
  <si>
    <t>Ligne</t>
  </si>
  <si>
    <t>Description</t>
  </si>
  <si>
    <t>AA-AZ</t>
  </si>
  <si>
    <t>Immo</t>
  </si>
  <si>
    <t>Actif immobilisé</t>
  </si>
  <si>
    <t>BA-BZ</t>
  </si>
  <si>
    <t>Circ</t>
  </si>
  <si>
    <t>Actif circulant et trésorerie</t>
  </si>
  <si>
    <t>CA-CP</t>
  </si>
  <si>
    <t>Cap</t>
  </si>
  <si>
    <t>Capitaux propres</t>
  </si>
  <si>
    <t>DA-DZ</t>
  </si>
  <si>
    <t>Dette</t>
  </si>
  <si>
    <t>Dettes et passif circulant</t>
  </si>
  <si>
    <t>TA-TL</t>
  </si>
  <si>
    <t>CR</t>
  </si>
  <si>
    <t>Prod</t>
  </si>
  <si>
    <t>Produits</t>
  </si>
  <si>
    <t>RA-RS</t>
  </si>
  <si>
    <t>Chge</t>
  </si>
  <si>
    <t>Charges</t>
  </si>
  <si>
    <t>XA-XK</t>
  </si>
  <si>
    <t>SIG</t>
  </si>
  <si>
    <t>Soldes Intermédiaires de Gestion</t>
  </si>
  <si>
    <t>FA-FO</t>
  </si>
  <si>
    <t>TFT</t>
  </si>
  <si>
    <t>Flux</t>
  </si>
  <si>
    <t>Flux de trésorerie</t>
  </si>
  <si>
    <t>ZA-ZF</t>
  </si>
  <si>
    <t>Tréso</t>
  </si>
  <si>
    <t>Positions de trésorerie</t>
  </si>
  <si>
    <t>TABLE DE CORRESPONDANCE - COMPTES SYSCOHADA → ÉTATS FINANCIERS</t>
  </si>
  <si>
    <t>Compte</t>
  </si>
  <si>
    <t>Ligne REF</t>
  </si>
  <si>
    <t>Colonne N</t>
  </si>
  <si>
    <t>Signe</t>
  </si>
  <si>
    <t>E7</t>
  </si>
  <si>
    <t>+</t>
  </si>
  <si>
    <t>E8</t>
  </si>
  <si>
    <t>E11</t>
  </si>
  <si>
    <t>E12</t>
  </si>
  <si>
    <t>E13</t>
  </si>
  <si>
    <t>E14</t>
  </si>
  <si>
    <t>E16</t>
  </si>
  <si>
    <t>E17</t>
  </si>
  <si>
    <t>E18</t>
  </si>
  <si>
    <t>E19</t>
  </si>
  <si>
    <t>E20</t>
  </si>
  <si>
    <t>E23</t>
  </si>
  <si>
    <t>E24</t>
  </si>
  <si>
    <t>E28</t>
  </si>
  <si>
    <t>E29</t>
  </si>
  <si>
    <t>E30</t>
  </si>
  <si>
    <t>E31</t>
  </si>
  <si>
    <t>E33</t>
  </si>
  <si>
    <t>E34</t>
  </si>
  <si>
    <t>E35</t>
  </si>
  <si>
    <t>E38</t>
  </si>
  <si>
    <t>E40</t>
  </si>
  <si>
    <t>E6</t>
  </si>
  <si>
    <t>E9</t>
  </si>
  <si>
    <t>E10</t>
  </si>
  <si>
    <t>-</t>
  </si>
  <si>
    <t>E15</t>
  </si>
  <si>
    <t>E22</t>
  </si>
  <si>
    <t>E36</t>
  </si>
  <si>
    <t>E5</t>
  </si>
  <si>
    <t>E43</t>
  </si>
  <si>
    <t>CONTRÔLES DE COHÉRENCE - LIASSE FISCALE</t>
  </si>
  <si>
    <t>Contrôle</t>
  </si>
  <si>
    <t>Valeur 1</t>
  </si>
  <si>
    <t>Valeur 2</t>
  </si>
  <si>
    <t>Écart</t>
  </si>
  <si>
    <t>Statut</t>
  </si>
  <si>
    <t>1. Équilibre Journal (Débits = Crédits)</t>
  </si>
  <si>
    <t>2. Équilibre Bilan (Actif = Passif)</t>
  </si>
  <si>
    <t>3. Résultat CR = Résultat Passif</t>
  </si>
  <si>
    <t>4. Balance Générale équilibrée</t>
  </si>
  <si>
    <t>5. Actif Immo: Brut - Amort = Net</t>
  </si>
  <si>
    <t>6. Total Capitaux Propres</t>
  </si>
  <si>
    <t>RÉSUMÉ DES CONTRÔLES</t>
  </si>
  <si>
    <t>Nombre d'erreurs:</t>
  </si>
  <si>
    <t>Statut global:</t>
  </si>
  <si>
    <t>Légende:</t>
  </si>
  <si>
    <t>OK = Contrôle validé</t>
  </si>
  <si>
    <t>ERREUR = Anomalie détectée - vérifier</t>
  </si>
  <si>
    <t>TABLEAU DE BORD FINANCIER - OHADA</t>
  </si>
  <si>
    <t>Analyse des états financiers</t>
  </si>
  <si>
    <t>INDICATEURS CLÉS</t>
  </si>
  <si>
    <t>Total Actif</t>
  </si>
  <si>
    <t>Total Passif</t>
  </si>
  <si>
    <t>Capitaux Propres</t>
  </si>
  <si>
    <t>Résultat Net</t>
  </si>
  <si>
    <t>EBE</t>
  </si>
  <si>
    <t>Valeur Ajoutée</t>
  </si>
  <si>
    <t>Variation</t>
  </si>
  <si>
    <t>Tendance</t>
  </si>
  <si>
    <t>RATIOS FINANCIERS</t>
  </si>
  <si>
    <t>Ratio</t>
  </si>
  <si>
    <t>Valeur</t>
  </si>
  <si>
    <t>Interprétation</t>
  </si>
  <si>
    <t>Ratio de liquidité générale</t>
  </si>
  <si>
    <t>Taux d'endettement</t>
  </si>
  <si>
    <t>Rentabilité des CP</t>
  </si>
  <si>
    <t>Marge nette</t>
  </si>
  <si>
    <t>Autonomie financière</t>
  </si>
  <si>
    <t>Ratio de solvabilité</t>
  </si>
  <si>
    <t>CONTRÔLES DE COHÉRENCE</t>
  </si>
  <si>
    <t>Équilibre Bilan (Actif = Passif)</t>
  </si>
  <si>
    <t>Résultat cohérent (CR = Passif)</t>
  </si>
  <si>
    <t>Journal équilibré (Débit = Crédit)</t>
  </si>
  <si>
    <t>Balance équilibrée</t>
  </si>
  <si>
    <t>STATUT GLOBAL</t>
  </si>
  <si>
    <t>STRUCTURE DU BILAN</t>
  </si>
  <si>
    <t>Composante</t>
  </si>
  <si>
    <t>Montant</t>
  </si>
  <si>
    <t>Actif Immobilisé</t>
  </si>
  <si>
    <t>Actif Circulant</t>
  </si>
  <si>
    <t>Trésorerie Actif</t>
  </si>
  <si>
    <t>Dettes Financières</t>
  </si>
  <si>
    <t>Passif Circulant</t>
  </si>
  <si>
    <t>SOLDES INTERMÉDIAIRES DE GESTION</t>
  </si>
  <si>
    <t>Montant N</t>
  </si>
  <si>
    <t>% CA</t>
  </si>
  <si>
    <t>Marge Commerciale</t>
  </si>
  <si>
    <t>Production</t>
  </si>
  <si>
    <t>Résultat Exploitation</t>
  </si>
  <si>
    <t>Résultat Financier</t>
  </si>
  <si>
    <t>Résultat HAO</t>
  </si>
  <si>
    <t>💡 Note: Les données s'actualisent automatiquement depuis la Balance Générale et les états financiers.</t>
  </si>
  <si>
    <t>CODES JOURNAUX COMPTABLES SYSCOHADA</t>
  </si>
  <si>
    <t>Libellé Journal</t>
  </si>
  <si>
    <t>Achats</t>
  </si>
  <si>
    <t>Journal des achats fournisseurs</t>
  </si>
  <si>
    <t>VT</t>
  </si>
  <si>
    <t>Ventes</t>
  </si>
  <si>
    <t>Journal des ventes clients</t>
  </si>
  <si>
    <t>Banque</t>
  </si>
  <si>
    <t>Journal des opérations bancaires</t>
  </si>
  <si>
    <t>Caisse</t>
  </si>
  <si>
    <t>Journal des opérations de caisse</t>
  </si>
  <si>
    <t>OD</t>
  </si>
  <si>
    <t>Opérations Diverses</t>
  </si>
  <si>
    <t>Journal des écritures diverses</t>
  </si>
  <si>
    <t>À Nouveau</t>
  </si>
  <si>
    <t>Journal des reports à nouveau</t>
  </si>
  <si>
    <t>SA</t>
  </si>
  <si>
    <t>Salaires</t>
  </si>
  <si>
    <t>Journal de paie</t>
  </si>
  <si>
    <t>IM</t>
  </si>
  <si>
    <t>Immobilisations</t>
  </si>
  <si>
    <t>Journal des immobilisations</t>
  </si>
  <si>
    <t>ST</t>
  </si>
  <si>
    <t>Stocks</t>
  </si>
  <si>
    <t>Journal des stocks</t>
  </si>
  <si>
    <t>Clôture</t>
  </si>
  <si>
    <t>Journal des écritures de clôture</t>
  </si>
  <si>
    <t>Libellé Compte</t>
  </si>
  <si>
    <t>Doublon</t>
  </si>
  <si>
    <t>ERREURS DE SAISIE - JOURNAL</t>
  </si>
  <si>
    <t>Type d'erreur</t>
  </si>
  <si>
    <t>Nombre</t>
  </si>
  <si>
    <t>Détail</t>
  </si>
  <si>
    <t>Écritures déséquilibrées (Débit ≠ Crédit)</t>
  </si>
  <si>
    <t>Colonne Ctrl = ERR</t>
  </si>
  <si>
    <t>Doublons N° Pièce par Journal</t>
  </si>
  <si>
    <t>Colonne Doublon</t>
  </si>
  <si>
    <t>Comptes inconnus (hors Plan Comptable)</t>
  </si>
  <si>
    <t>Colonne Libellé Compte</t>
  </si>
  <si>
    <t>Lignes incomplètes (montant sans compte)</t>
  </si>
  <si>
    <t>N° Compte vide avec Débit/Crédit</t>
  </si>
  <si>
    <t>Lignes sans date</t>
  </si>
  <si>
    <t>Date vide avec Débit/Crédit</t>
  </si>
  <si>
    <t>STATUT JOURNAL</t>
  </si>
  <si>
    <t>STATISTIQUES JOURNAL</t>
  </si>
  <si>
    <t>Indicateur</t>
  </si>
  <si>
    <t>Nombre d'écritures</t>
  </si>
  <si>
    <t>Total Débit</t>
  </si>
  <si>
    <t>Total Crédit</t>
  </si>
  <si>
    <t>Écart Débit/Crédit</t>
  </si>
  <si>
    <t>Nombre de journaux utilisés</t>
  </si>
  <si>
    <t>RAPPORT D'AUDIT - JOURNAL COMPTABLE OHADA</t>
  </si>
  <si>
    <t>Date du rapport : 08/01/2026</t>
  </si>
  <si>
    <t>1. MODIFICATIONS APPORTÉES AU JOURNAL</t>
  </si>
  <si>
    <t>N°</t>
  </si>
  <si>
    <t>Modification</t>
  </si>
  <si>
    <t>Colonne</t>
  </si>
  <si>
    <t>Plage</t>
  </si>
  <si>
    <t>Formule/Logique</t>
  </si>
  <si>
    <t>Objectif</t>
  </si>
  <si>
    <t>Ajout colonne 'Libellé Compte'</t>
  </si>
  <si>
    <t>F</t>
  </si>
  <si>
    <t>F4:F507</t>
  </si>
  <si>
    <t>Auto-complétion du libellé du compte depuis le Plan Comptable SYSCOHADA</t>
  </si>
  <si>
    <t>Ajout colonne 'Doublon'</t>
  </si>
  <si>
    <t>K</t>
  </si>
  <si>
    <t>K4:K507</t>
  </si>
  <si>
    <t>Détection des doublons de N° Pièce par Code Journal</t>
  </si>
  <si>
    <t>Mise à jour formule 'Ctrl'</t>
  </si>
  <si>
    <t>J</t>
  </si>
  <si>
    <t>J4:J507</t>
  </si>
  <si>
    <t>Validation équilibre Débit = Crédit par ligne</t>
  </si>
  <si>
    <t>2. STRUCTURE ACTUELLE DU JOURNAL</t>
  </si>
  <si>
    <t>En-tête</t>
  </si>
  <si>
    <t>Format</t>
  </si>
  <si>
    <t>Automatisé</t>
  </si>
  <si>
    <t>B</t>
  </si>
  <si>
    <t>yyyy-mm-dd</t>
  </si>
  <si>
    <t>Non</t>
  </si>
  <si>
    <t>Date de l'opération</t>
  </si>
  <si>
    <t>Texte</t>
  </si>
  <si>
    <t>Général</t>
  </si>
  <si>
    <t>Numéro de la pièce justificative</t>
  </si>
  <si>
    <t>Code du journal (AC, VT, BQ, etc.)</t>
  </si>
  <si>
    <t>E</t>
  </si>
  <si>
    <t>Numéro du compte SYSCOHADA</t>
  </si>
  <si>
    <t>Formule</t>
  </si>
  <si>
    <t>OUI</t>
  </si>
  <si>
    <t>VLOOKUP depuis Plan Comptable</t>
  </si>
  <si>
    <t>G</t>
  </si>
  <si>
    <t>Description de l'écriture</t>
  </si>
  <si>
    <t>H</t>
  </si>
  <si>
    <t>#,##0</t>
  </si>
  <si>
    <t>Montant au débit</t>
  </si>
  <si>
    <t>I</t>
  </si>
  <si>
    <t>Montant au crédit</t>
  </si>
  <si>
    <t>Contrôle OK/ERR si Débit=Crédit</t>
  </si>
  <si>
    <t>Détection doublons N° Pièce/Journal</t>
  </si>
  <si>
    <t>3. CONTRÔLES DE VALIDATION IMPLÉMENTÉS</t>
  </si>
  <si>
    <t>Résultat si OK</t>
  </si>
  <si>
    <t>Résultat si Erreur</t>
  </si>
  <si>
    <t>Nb Erreurs Actuelles</t>
  </si>
  <si>
    <t>Formule Dashboard</t>
  </si>
  <si>
    <t>Équilibre Débit/Crédit</t>
  </si>
  <si>
    <t>J (Ctrl)</t>
  </si>
  <si>
    <t>OK</t>
  </si>
  <si>
    <t>ERR</t>
  </si>
  <si>
    <t>COUNTIF(Journal!$J$5:$J$507,"ERR")</t>
  </si>
  <si>
    <t>Doublons N° Pièce/Journal</t>
  </si>
  <si>
    <t>K (Doublon)</t>
  </si>
  <si>
    <t>(vide)</t>
  </si>
  <si>
    <t>DOUBLON</t>
  </si>
  <si>
    <t>COUNTIF(Journal!$K$5:$K$507,"DOUBLON")</t>
  </si>
  <si>
    <t>Comptes hors Plan Comptable</t>
  </si>
  <si>
    <t>F (Libellé)</t>
  </si>
  <si>
    <t>Libellé du compte</t>
  </si>
  <si>
    <t>Compte inconnu</t>
  </si>
  <si>
    <t>COUNTIF(Journal!$F$5:$F$507,"Compte inconnu")</t>
  </si>
  <si>
    <t>Lignes sans N° Compte</t>
  </si>
  <si>
    <t>E (N° Compte)</t>
  </si>
  <si>
    <t>N° Compte renseigné</t>
  </si>
  <si>
    <t>Cellule vide</t>
  </si>
  <si>
    <t>SUMPRODUCT lignes avec montant sans compte</t>
  </si>
  <si>
    <t>B (Date)</t>
  </si>
  <si>
    <t>Date renseignée</t>
  </si>
  <si>
    <t>SUMPRODUCT lignes avec montant sans date</t>
  </si>
  <si>
    <t>TOTAL ERREURS</t>
  </si>
  <si>
    <t>4. STATISTIQUES DU JOURNAL (EN TEMPS RÉEL)</t>
  </si>
  <si>
    <t>Nombre total de lignes disponibles</t>
  </si>
  <si>
    <t>503 (lignes 5 à 507)</t>
  </si>
  <si>
    <t>Nombre d'écritures saisies</t>
  </si>
  <si>
    <t>Écart global Débit - Crédit</t>
  </si>
  <si>
    <t>Journaux utilisés</t>
  </si>
  <si>
    <t>5. RECOMMANDATIONS D'UTILISATION</t>
  </si>
  <si>
    <t>• Toujours saisir le N° Compte avant de renseigner les montants Débit/Crédit</t>
  </si>
  <si>
    <t>• Vérifier que le Libellé Compte s'affiche correctement (si 'Compte inconnu', vérifier le numéro)</t>
  </si>
  <si>
    <t>• Chaque écriture doit être équilibrée : Débit = Crédit (colonne Ctrl = OK)</t>
  </si>
  <si>
    <t>• Utiliser des N° de Pièce uniques par Code Journal pour éviter les doublons</t>
  </si>
  <si>
    <t>• Consulter régulièrement le Dashboard pour détecter les erreurs de saisie</t>
  </si>
  <si>
    <t>• Le Plan Comptable contient 274 comptes SYSCOHADA (lignes 5 à 278)</t>
  </si>
  <si>
    <t>6. INFORMATIONS AUDIT</t>
  </si>
  <si>
    <t>Date de création du rapport :</t>
  </si>
  <si>
    <t>Système comptable :</t>
  </si>
  <si>
    <t>SYSCOHADA 2016</t>
  </si>
  <si>
    <t>Classeur :</t>
  </si>
  <si>
    <t>Comptabilité_OHADA.xlsm</t>
  </si>
  <si>
    <t>Feuille auditée :</t>
  </si>
  <si>
    <t>Journal (B2:K507)</t>
  </si>
  <si>
    <t>RAPPORT MENSUEL - JOURNAL COMPTABLE OHADA</t>
  </si>
  <si>
    <t>Mois sélectionné :</t>
  </si>
  <si>
    <t>Année :</t>
  </si>
  <si>
    <t>Période :</t>
  </si>
  <si>
    <t>1. TOTAUX PAR JOURNAL</t>
  </si>
  <si>
    <t>Code Journal</t>
  </si>
  <si>
    <t>Nb Écritures</t>
  </si>
  <si>
    <t>Solde</t>
  </si>
  <si>
    <t>% du Total</t>
  </si>
  <si>
    <t>TOTAL</t>
  </si>
  <si>
    <t>2. TOTAUX PAR CLASSE DE COMPTE</t>
  </si>
  <si>
    <t>Capitaux</t>
  </si>
  <si>
    <t>Tiers</t>
  </si>
  <si>
    <t>Trésorerie</t>
  </si>
  <si>
    <t>Engagements hors bilan</t>
  </si>
  <si>
    <t>3. RÉSUMÉ DU MOIS</t>
  </si>
  <si>
    <t>Total des écritures du mois</t>
  </si>
  <si>
    <t>Total Débit du mois</t>
  </si>
  <si>
    <t>Total Crédit du mois</t>
  </si>
  <si>
    <t>Écart Débit - Crédit</t>
  </si>
  <si>
    <t>Statut équilibre</t>
  </si>
  <si>
    <t>Journal le plus utilisé</t>
  </si>
  <si>
    <t>Classe la plus mouvementée</t>
  </si>
  <si>
    <t>💡 Note: Modifiez les cellules C4 (Mois: 1-12) et E4 (Année) pour filtrer les données. Le rapport se met à jour automatiquement.</t>
  </si>
  <si>
    <t>4. TENDANCE MENSUELLE PAR JOURNAL (Année sélectionnée)</t>
  </si>
  <si>
    <t>Journal</t>
  </si>
  <si>
    <t>Jan</t>
  </si>
  <si>
    <t>Fév</t>
  </si>
  <si>
    <t>Mar</t>
  </si>
  <si>
    <t>Avr</t>
  </si>
  <si>
    <t>Mai</t>
  </si>
  <si>
    <t>Jun</t>
  </si>
  <si>
    <t>Jul</t>
  </si>
  <si>
    <t>Aoû</t>
  </si>
  <si>
    <t>Sep</t>
  </si>
  <si>
    <t>Oct</t>
  </si>
  <si>
    <t>Nov</t>
  </si>
  <si>
    <t>Déc</t>
  </si>
  <si>
    <t>5. RÉPARTITION PAR CLASSE DE COMPTE (Mois sélectionné)</t>
  </si>
  <si>
    <t>6. COMPARAISON DES JOURNAUX (Mois sélectionné)</t>
  </si>
  <si>
    <t>Op. Diverses</t>
  </si>
  <si>
    <t>💡 Note: Tous les graphiques se mettent à jour automatiquement selon le mois (C4) et l'année (E4) sélectionnés.</t>
  </si>
  <si>
    <t>🔍 CONTRÔLES &amp; ANALYSE</t>
  </si>
  <si>
    <t>GRAND LIVRE COMPTABLE</t>
  </si>
  <si>
    <t>Détail des mouvements par compte - Exercice N</t>
  </si>
  <si>
    <t>PARAMÈTRES</t>
  </si>
  <si>
    <t>N° Compte:</t>
  </si>
  <si>
    <t>Solde initial N-1:</t>
  </si>
  <si>
    <t>DÉTAIL DES ÉCRITURES</t>
  </si>
  <si>
    <t>Solde cumulé</t>
  </si>
  <si>
    <t>Total mouvements:</t>
  </si>
  <si>
    <t>TABLEAU FINANCIER DES RESSOURCES ET EMPLOIS (TAFIRE)</t>
  </si>
  <si>
    <t>Analyse des flux de ressources et emplois - SYSCOHADA</t>
  </si>
  <si>
    <t>I. ACTIVITÉ</t>
  </si>
  <si>
    <t>Capacité d'Autofinancement Globale (CAFG)</t>
  </si>
  <si>
    <t>(+) Variation passif circulant HAO</t>
  </si>
  <si>
    <t>FLUX DE TRÉSORERIE PROVENANT DE L'ACTIVITÉ (A)</t>
  </si>
  <si>
    <t>II. INVESTISSEMENTS</t>
  </si>
  <si>
    <t>(-) Acquisitions d'immobilisations incorporelles</t>
  </si>
  <si>
    <t>(-) Acquisitions d'immobilisations corporelles</t>
  </si>
  <si>
    <t>(-) Acquisitions d'immobilisations financières</t>
  </si>
  <si>
    <t>(+) Cessions d'immobilisations incorporelles</t>
  </si>
  <si>
    <t>(+) Cessions d'immobilisations corporelles</t>
  </si>
  <si>
    <t>(+) Cessions d'immobilisations financières</t>
  </si>
  <si>
    <t>FLUX DE TRÉSORERIE LIÉ AUX INVESTISSEMENTS (B)</t>
  </si>
  <si>
    <t>III. FINANCEMENT</t>
  </si>
  <si>
    <t>(+) Emprunts et dettes financières</t>
  </si>
  <si>
    <t>(-) Remboursement emprunts et dettes financières</t>
  </si>
  <si>
    <t>FP</t>
  </si>
  <si>
    <t>FQ</t>
  </si>
  <si>
    <t>FLUX DE TRÉSORERIE LIÉ AU FINANCEMENT (C)</t>
  </si>
  <si>
    <t>IV. VARIATION DE TRÉSORERIE</t>
  </si>
  <si>
    <t>FR</t>
  </si>
  <si>
    <t>VARIATION NETTE DE TRÉSORERIE (A + B + C)</t>
  </si>
  <si>
    <t>CONTRÔLE DE COHÉRENCE</t>
  </si>
  <si>
    <t>FS</t>
  </si>
  <si>
    <t>Trésorerie nette au 01/01 (d)</t>
  </si>
  <si>
    <t>FT</t>
  </si>
  <si>
    <t>Trésorerie nette au 31/12 (e)</t>
  </si>
  <si>
    <t>FU</t>
  </si>
  <si>
    <t>Variation de trésorerie (e - d)</t>
  </si>
  <si>
    <t>FV</t>
  </si>
  <si>
    <t>Écart (FU - FR)</t>
  </si>
  <si>
    <t>Mois</t>
  </si>
  <si>
    <t>Année</t>
  </si>
  <si>
    <t>Éq. Pièce</t>
  </si>
  <si>
    <t>Solde Prog.</t>
  </si>
  <si>
    <t>Val. Date</t>
  </si>
  <si>
    <t>📊 SYNTHÈSE</t>
  </si>
  <si>
    <t>Écritures:</t>
  </si>
  <si>
    <t>Total Débit:</t>
  </si>
  <si>
    <t>Total Crédit:</t>
  </si>
  <si>
    <t>Écart:</t>
  </si>
  <si>
    <t>Statut:</t>
  </si>
  <si>
    <t>Erreurs:</t>
  </si>
  <si>
    <t>RAPPROCHEMENT BANCAIRE</t>
  </si>
  <si>
    <t>Lettrage automatique relevé bancaire / comptabilité</t>
  </si>
  <si>
    <t>Compte banque:</t>
  </si>
  <si>
    <t>Période du:</t>
  </si>
  <si>
    <t>RELEVÉ BANCAIRE</t>
  </si>
  <si>
    <t>Lettrage</t>
  </si>
  <si>
    <t>COMPTABILITÉ (Journal)</t>
  </si>
  <si>
    <t>LETTRAGE AUTOMATIQUE</t>
  </si>
  <si>
    <t>Montant Relevé</t>
  </si>
  <si>
    <t>Montant Compta</t>
  </si>
  <si>
    <t>Saisissez le même code (AA, AB...) dans les colonnes Lettrage pour rapprocher les écritures.</t>
  </si>
  <si>
    <t>SYNTHÈSE DU RAPPROCHEMENT</t>
  </si>
  <si>
    <t>Solde relevé bancaire:</t>
  </si>
  <si>
    <t>Solde comptabilité:</t>
  </si>
  <si>
    <t>Écart brut:</t>
  </si>
  <si>
    <t>Solde relevé:</t>
  </si>
  <si>
    <t>Solde compta:</t>
  </si>
  <si>
    <t>NON LETTRÉES</t>
  </si>
  <si>
    <t>Relevé:</t>
  </si>
  <si>
    <t>Compta:</t>
  </si>
  <si>
    <t>RAPPROCHEMENT</t>
  </si>
  <si>
    <t>Écart ajusté:</t>
  </si>
  <si>
    <t>Structure Actif</t>
  </si>
  <si>
    <t>Structure Passif</t>
  </si>
  <si>
    <t>STATUTS ÉCRITURES</t>
  </si>
  <si>
    <t>Brouillon</t>
  </si>
  <si>
    <t>Écriture en cours de saisie</t>
  </si>
  <si>
    <t>V</t>
  </si>
  <si>
    <t>Validé</t>
  </si>
  <si>
    <t>Écriture validée et définitive</t>
  </si>
  <si>
    <t>Clôturé</t>
  </si>
  <si>
    <t>Écriture clôturée (exercice fermé)</t>
  </si>
  <si>
    <t>📅 FILTRE:</t>
  </si>
  <si>
    <t>Tous</t>
  </si>
  <si>
    <t>Jan:</t>
  </si>
  <si>
    <t>Fév:</t>
  </si>
  <si>
    <t>Mar:</t>
  </si>
  <si>
    <t>Avr:</t>
  </si>
  <si>
    <t>Mai:</t>
  </si>
  <si>
    <t>Jun:</t>
  </si>
  <si>
    <t>Jul-Déc:</t>
  </si>
  <si>
    <t>FILTRES PÉRIODE</t>
  </si>
  <si>
    <t>Toutes les écritures</t>
  </si>
  <si>
    <t>Janvier</t>
  </si>
  <si>
    <t>Février</t>
  </si>
  <si>
    <t>Mars</t>
  </si>
  <si>
    <t>Avril</t>
  </si>
  <si>
    <t>Juin</t>
  </si>
  <si>
    <t>Juillet</t>
  </si>
  <si>
    <t>Août</t>
  </si>
  <si>
    <t>Septembre</t>
  </si>
  <si>
    <t>Octobre</t>
  </si>
  <si>
    <t>Novembre</t>
  </si>
  <si>
    <t>Décembre</t>
  </si>
  <si>
    <t>T1</t>
  </si>
  <si>
    <t>Trimestre 1 (Jan-Mar)</t>
  </si>
  <si>
    <t>T2</t>
  </si>
  <si>
    <t>Trimestre 2 (Avr-Jun)</t>
  </si>
  <si>
    <t>T3</t>
  </si>
  <si>
    <t>Trimestre 3 (Jul-Sep)</t>
  </si>
  <si>
    <t>T4</t>
  </si>
  <si>
    <t>Trimestre 4 (Oct-Déc)</t>
  </si>
  <si>
    <t>S1</t>
  </si>
  <si>
    <t>Semestre 1 (Jan-Jun)</t>
  </si>
  <si>
    <t>S2</t>
  </si>
  <si>
    <t>Semestre 2 (Jul-Déc)</t>
  </si>
  <si>
    <t>📖 GUIDE UTILISATEUR - COMPTABILITÉ SYSCOHADA</t>
  </si>
  <si>
    <t>Mode d'emploi rapide pour la gestion comptable conforme OHADA</t>
  </si>
  <si>
    <t>SECTION 1 : Démarrage rapide (5 minutes)</t>
  </si>
  <si>
    <t>①</t>
  </si>
  <si>
    <t>Remplir la PAGE DE GARDE</t>
  </si>
  <si>
    <t>→ Nom entreprise, RCCM, capital, dates exercice</t>
  </si>
  <si>
    <t>②</t>
  </si>
  <si>
    <t>Importer le Plan Comptable (si différent)</t>
  </si>
  <si>
    <t>→ Modifier les comptes dans la feuille 'Plan Comptable'</t>
  </si>
  <si>
    <t>③</t>
  </si>
  <si>
    <t>Saisir les soldes de Balance N-1</t>
  </si>
  <si>
    <t>→ Feuille 'Balance N-1' : reporter les soldes de l'exercice précédent</t>
  </si>
  <si>
    <t>SECTION 2 : Saisie quotidienne (10 écritures en 15 min)</t>
  </si>
  <si>
    <t>Ouvrir la feuille Journal</t>
  </si>
  <si>
    <t>→ Cliquer sur 'Journal' dans le menu ou l'onglet</t>
  </si>
  <si>
    <t>Saisir : Date, N° Pièce, Code Journal</t>
  </si>
  <si>
    <t>→ Codes : AC (Achats), VT (Ventes), BQ (Banque), CA (Caisse), OD (Divers)</t>
  </si>
  <si>
    <t>Choisir le N° Compte</t>
  </si>
  <si>
    <t>→ Le libellé s'affiche automatiquement</t>
  </si>
  <si>
    <t>④</t>
  </si>
  <si>
    <t>Entrer le montant (Débit OU Crédit)</t>
  </si>
  <si>
    <t>→ Ne jamais remplir les deux colonnes pour la même ligne</t>
  </si>
  <si>
    <t>⑤</t>
  </si>
  <si>
    <t>Vérifier la colonne 'Statut'</t>
  </si>
  <si>
    <t>→ ✓ = OK | ⚠ D/C = Erreur débit/crédit | ⚠ DBL = Doublon | ⚠ PÈC = Pièce déséquilibrée</t>
  </si>
  <si>
    <t>SECTION 3 : Contrôles mensuels (1h par mois)</t>
  </si>
  <si>
    <t>Ouvrir la feuille 'Contrôles'</t>
  </si>
  <si>
    <t>→ Tous les indicateurs doivent afficher 'OK'</t>
  </si>
  <si>
    <t>Faire le rapprochement bancaire</t>
  </si>
  <si>
    <t>→ Feuille 'Rapprochement Bancaire' : comparer solde comptable et relevé</t>
  </si>
  <si>
    <t>Vérifier le Dashboard</t>
  </si>
  <si>
    <t>→ Analyser les indicateurs clés et ratios financiers</t>
  </si>
  <si>
    <t>Générer le Rapport Mensuel</t>
  </si>
  <si>
    <t>→ Feuille 'Rapport Mensuel' : synthèse automatique</t>
  </si>
  <si>
    <t>SECTION 4 : Clôture annuelle (1 journée)</t>
  </si>
  <si>
    <t>Vérifier tous les contrôles</t>
  </si>
  <si>
    <t>→ Feuille 'Contrôles' : aucune erreur tolérée</t>
  </si>
  <si>
    <t>Éditer les notes annexes</t>
  </si>
  <si>
    <t>→ Feuilles 'Note 1' à 'Note 36' : compléter les informations requises</t>
  </si>
  <si>
    <t>Remplir les fiches R1 à R4</t>
  </si>
  <si>
    <t>→ Informations complémentaires pour la liasse fiscale</t>
  </si>
  <si>
    <t>Exporter la liasse fiscale en PDF</t>
  </si>
  <si>
    <t>→ Imprimer : ACTIF, PASSIF, Compte de Résultat, TAFIRE, TFT, Notes</t>
  </si>
  <si>
    <t>Copier Balance N vers Balance N-1</t>
  </si>
  <si>
    <t>→ Reporter les soldes pour l'exercice suivant</t>
  </si>
  <si>
    <t>⑥</t>
  </si>
  <si>
    <t>Sauvegarder et archiver</t>
  </si>
  <si>
    <t>→ Créer une copie datée : Compta_OHADA_2024_CLOTURE.xlsm</t>
  </si>
  <si>
    <t>RÉFÉRENCE RAPIDE : Codes Journaux</t>
  </si>
  <si>
    <t>Utilisation</t>
  </si>
  <si>
    <t>Factures fournisseurs</t>
  </si>
  <si>
    <t>Factures clients</t>
  </si>
  <si>
    <t>Opérations bancaires</t>
  </si>
  <si>
    <t>Espèces</t>
  </si>
  <si>
    <t>Écritures diverses</t>
  </si>
  <si>
    <t>Reports à nouveau</t>
  </si>
  <si>
    <t>Paie</t>
  </si>
  <si>
    <t>Actifs immobilisés</t>
  </si>
  <si>
    <t>Mouvements de stock</t>
  </si>
  <si>
    <t>Écritures de clôture</t>
  </si>
  <si>
    <t>RÉFÉRENCE RAPIDE : Codes Statut</t>
  </si>
  <si>
    <t>Signification</t>
  </si>
  <si>
    <t>Action</t>
  </si>
  <si>
    <t>✓</t>
  </si>
  <si>
    <t>Écriture correcte</t>
  </si>
  <si>
    <t>Aucune action</t>
  </si>
  <si>
    <t>⚠ D/C</t>
  </si>
  <si>
    <t>Débit et Crédit remplis</t>
  </si>
  <si>
    <t>Garder un seul montant</t>
  </si>
  <si>
    <t>⚠ DBL</t>
  </si>
  <si>
    <t>Doublon détecté</t>
  </si>
  <si>
    <t>Vérifier si intentionnel</t>
  </si>
  <si>
    <t>⚠ PÈC</t>
  </si>
  <si>
    <t>Pièce non équilibrée</t>
  </si>
  <si>
    <t>Vérifier Débit = Crédit</t>
  </si>
  <si>
    <t>⚠ DATE</t>
  </si>
  <si>
    <t>Date hors exercice</t>
  </si>
  <si>
    <t>Corriger la date</t>
  </si>
  <si>
    <t>💡 CONSEIL : Sauvegarder régulièrement votre travail (Ctrl+S)</t>
  </si>
  <si>
    <t>📞 Support : En cas de problème, vérifier d'abord la feuille 'Contrôles'</t>
  </si>
  <si>
    <t>⚡ SAISIE RAPIDE - JOURNAL COMPTABLE</t>
  </si>
  <si>
    <t>Saisissez un montant unique - le système détermine automatiquement Débit/Crédit selon le sens du compte</t>
  </si>
  <si>
    <t>📚 RÈGLES COMPTABLES</t>
  </si>
  <si>
    <t>↑ Augmente</t>
  </si>
  <si>
    <t>↓ Diminue</t>
  </si>
  <si>
    <t>DÉBIT</t>
  </si>
  <si>
    <t>CRÉDIT</t>
  </si>
  <si>
    <t>CHARGES</t>
  </si>
  <si>
    <t>PRODUITS</t>
  </si>
  <si>
    <t>📝 ZONE DE SAISIE</t>
  </si>
  <si>
    <t>Opération</t>
  </si>
  <si>
    <t>Augmentation</t>
  </si>
  <si>
    <t>📊 ÉCRITURE GÉNÉRÉE AUTOMATIQUEMENT</t>
  </si>
  <si>
    <t>🔄 CONTREPARTIE (optionnelle)</t>
  </si>
  <si>
    <t>N° Compte Contrepartie</t>
  </si>
  <si>
    <t>📋 RÉCAPITULATIF</t>
  </si>
  <si>
    <t>🧭 NAVIGATION RAPIDE</t>
  </si>
  <si>
    <t>⚙️ CONFIGURATION</t>
  </si>
  <si>
    <t>📝 SAISIE QUOTIDIENNE</t>
  </si>
  <si>
    <t>📊 ÉTATS FINANCIERS SYSCOHADA</t>
  </si>
  <si>
    <t>📑 ANNEXES</t>
  </si>
  <si>
    <t>📖Guide | ⚡Saisie | 📓Journal | ⚖Balance | ✅Contrôles | 📊Dashboard</t>
  </si>
  <si>
    <t>Version 1.0 - Comptabilité SYSCOHADA OHADA</t>
  </si>
  <si>
    <t>✅ VALIDATION ET TRANSFERT VERS JOURNAL</t>
  </si>
  <si>
    <t>Prochaine ligne Journal:</t>
  </si>
  <si>
    <t>📋 INSTRUCTIONS DE TRANSFERT:</t>
  </si>
  <si>
    <t>1. Vérifiez que le statut affiche '✓ Prêt à transférer'</t>
  </si>
  <si>
    <t>2. Sélectionnez les données vertes (B25:H26)</t>
  </si>
  <si>
    <t>3. Copiez (Ctrl+C) puis allez au Journal</t>
  </si>
  <si>
    <t>5. Revenez ici et effacez la zone de saisie jaune pour la prochaine écriture</t>
  </si>
  <si>
    <t>Valeurs comptables cessions immobilisations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</si>
</sst>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%"/>
  </numFmts>
  <fonts count="6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4"/>
      <color rgb="FF1F4E79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006400"/>
      <name val="Aptos Narrow"/>
      <family val="2"/>
      <scheme val="minor"/>
    </font>
    <font>
      <b/>
      <sz val="18"/>
      <color rgb="FF1F4E79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2"/>
      <color rgb="FF1F4E79"/>
      <name val="Aptos Narrow"/>
      <family val="2"/>
      <scheme val="minor"/>
    </font>
    <font>
      <sz val="11"/>
      <color rgb="FF006400"/>
      <name val="Aptos Narrow"/>
      <family val="2"/>
      <scheme val="minor"/>
    </font>
    <font>
      <sz val="11"/>
      <color rgb="FF8B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1D4E2E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0"/>
      <color rgb="FF1D4E2E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i/>
      <sz val="9"/>
      <color rgb="FF666666"/>
      <name val="Aptos Narrow"/>
      <family val="2"/>
      <scheme val="minor"/>
    </font>
    <font>
      <sz val="10"/>
      <color rgb="FF666666"/>
      <name val="Aptos Narrow"/>
      <family val="2"/>
      <scheme val="minor"/>
    </font>
    <font>
      <b/>
      <sz val="11"/>
      <color rgb="FF1D4E2E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0"/>
      <color rgb="FF2E7D42"/>
      <name val="Aptos Narrow"/>
      <family val="2"/>
      <scheme val="minor"/>
    </font>
    <font>
      <b/>
      <sz val="11"/>
      <color rgb="FF0000FF"/>
      <name val="Aptos Narrow"/>
      <family val="2"/>
      <scheme val="minor"/>
    </font>
    <font>
      <i/>
      <sz val="10"/>
      <color rgb="FF666666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1F4E79"/>
      <name val="Aptos Narrow"/>
      <family val="2"/>
      <scheme val="minor"/>
    </font>
    <font>
      <b/>
      <sz val="10"/>
      <color rgb="FF1F4E79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sz val="10"/>
      <color rgb="FF0066CC"/>
      <name val="Aptos Narrow"/>
      <family val="2"/>
      <scheme val="minor"/>
    </font>
    <font>
      <b/>
      <sz val="10"/>
      <color rgb="FF0066CC"/>
      <name val="Aptos Narrow"/>
      <family val="2"/>
      <scheme val="minor"/>
    </font>
    <font>
      <b/>
      <sz val="10"/>
      <color rgb="FF9C0006"/>
      <name val="Aptos Narrow"/>
      <family val="2"/>
      <scheme val="minor"/>
    </font>
    <font>
      <b/>
      <u/>
      <sz val="10"/>
      <color rgb="FF0066CC"/>
      <name val="Aptos Narrow"/>
      <family val="2"/>
      <scheme val="minor"/>
    </font>
    <font>
      <b/>
      <sz val="10"/>
      <color rgb="FF7F6000"/>
      <name val="Aptos Narrow"/>
      <family val="2"/>
      <scheme val="minor"/>
    </font>
    <font>
      <b/>
      <sz val="9"/>
      <color rgb="FF1F4E79"/>
      <name val="Aptos Narrow"/>
      <family val="2"/>
      <scheme val="minor"/>
    </font>
    <font>
      <b/>
      <sz val="10"/>
      <color rgb="FF375623"/>
      <name val="Aptos Narrow"/>
      <family val="2"/>
      <scheme val="minor"/>
    </font>
    <font>
      <b/>
      <u/>
      <sz val="11"/>
      <color rgb="FF0066CC"/>
      <name val="Aptos Narrow"/>
      <family val="2"/>
      <scheme val="minor"/>
    </font>
    <font>
      <b/>
      <sz val="10"/>
      <color rgb="FFC00000"/>
      <name val="Aptos Narrow"/>
      <family val="2"/>
      <scheme val="minor"/>
    </font>
    <font>
      <b/>
      <sz val="14"/>
      <color rgb="FF1D4E2E"/>
      <name val="Aptos Narrow"/>
      <family val="2"/>
      <scheme val="minor"/>
    </font>
    <font>
      <b/>
      <sz val="12"/>
      <color rgb="FF7F6000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i/>
      <sz val="10"/>
      <color rgb="FF1F4E79"/>
      <name val="Aptos Narrow"/>
      <family val="2"/>
      <scheme val="minor"/>
    </font>
    <font>
      <i/>
      <sz val="10"/>
      <color rgb="FF1F4E79"/>
      <name val="Aptos Narrow"/>
      <family val="2"/>
      <scheme val="minor"/>
    </font>
    <font>
      <i/>
      <sz val="10"/>
      <color rgb="FFFFFFFF"/>
      <name val="Aptos Narrow"/>
      <family val="2"/>
      <scheme val="minor"/>
    </font>
    <font>
      <sz val="10"/>
      <color rgb="FF1F4E79"/>
      <name val="Aptos Narrow"/>
      <family val="2"/>
      <scheme val="minor"/>
    </font>
    <font>
      <sz val="10"/>
      <color rgb="FF375623"/>
      <name val="Aptos Narrow"/>
      <family val="2"/>
      <scheme val="minor"/>
    </font>
    <font>
      <b/>
      <sz val="11"/>
      <color rgb="FF375623"/>
      <name val="Aptos Narrow"/>
      <family val="2"/>
      <scheme val="minor"/>
    </font>
    <font>
      <b/>
      <sz val="11"/>
      <color rgb="FF7F6000"/>
      <name val="Aptos Narrow"/>
      <family val="2"/>
      <scheme val="minor"/>
    </font>
    <font>
      <b/>
      <sz val="11"/>
      <color rgb="FF974706"/>
      <name val="Aptos Narrow"/>
      <family val="2"/>
      <scheme val="minor"/>
    </font>
    <font>
      <u/>
      <sz val="10"/>
      <color rgb="FF0066CC"/>
      <name val="Aptos Narrow"/>
      <family val="2"/>
      <scheme val="minor"/>
    </font>
    <font>
      <u/>
      <sz val="9"/>
      <color rgb="FF0066CC"/>
      <name val="Aptos Narrow"/>
      <family val="2"/>
      <scheme val="minor"/>
    </font>
    <font>
      <sz val="8"/>
      <color rgb="FF666666"/>
      <name val="Aptos Narrow"/>
      <family val="2"/>
      <scheme val="minor"/>
    </font>
    <font>
      <i/>
      <sz val="9"/>
      <color rgb="FF999999"/>
      <name val="Aptos Narrow"/>
      <family val="2"/>
      <scheme val="minor"/>
    </font>
    <font>
      <b/>
      <sz val="9"/>
      <color rgb="FFFFFFFF"/>
      <name val="Aptos Narrow"/>
      <family val="2"/>
      <scheme val="minor"/>
    </font>
    <font>
      <sz val="9"/>
      <color rgb="FF666666"/>
      <name val="Aptos Narrow"/>
      <family val="2"/>
      <scheme val="minor"/>
    </font>
    <font>
      <b/>
      <u/>
      <sz val="11"/>
      <color rgb="FF375623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1D4E2E"/>
        <bgColor indexed="64"/>
      </patternFill>
    </fill>
    <fill>
      <patternFill patternType="solid">
        <fgColor rgb="FF2E7D42"/>
        <bgColor indexed="64"/>
      </patternFill>
    </fill>
    <fill>
      <patternFill patternType="solid">
        <fgColor rgb="FFC6A961"/>
        <bgColor indexed="64"/>
      </patternFill>
    </fill>
    <fill>
      <patternFill patternType="solid">
        <fgColor rgb="FFE8E2CC"/>
        <bgColor indexed="64"/>
      </patternFill>
    </fill>
    <fill>
      <patternFill patternType="solid">
        <fgColor rgb="FFF5F5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8">
    <xf numFmtId="0" fontId="0" fillId="0" borderId="0" xfId="0"/>
    <xf numFmtId="16" fontId="0" fillId="0" borderId="0" xfId="0" applyNumberFormat="1"/>
    <xf numFmtId="0" fontId="6" fillId="2" borderId="0" xfId="0" applyFont="1" applyFill="1"/>
    <xf numFmtId="0" fontId="7" fillId="5" borderId="0" xfId="0" applyFont="1" applyFill="1"/>
    <xf numFmtId="0" fontId="1" fillId="0" borderId="0" xfId="0" applyFont="1"/>
    <xf numFmtId="0" fontId="33" fillId="6" borderId="0" xfId="0" applyFont="1" applyFill="1" applyAlignment="1">
      <alignment horizontal="center"/>
    </xf>
    <xf numFmtId="0" fontId="35" fillId="2" borderId="0" xfId="0" applyFont="1" applyFill="1"/>
    <xf numFmtId="0" fontId="58" fillId="0" borderId="0" xfId="1" applyFont="1" applyAlignment="1" applyProtection="1">
      <alignment horizontal="center"/>
    </xf>
    <xf numFmtId="0" fontId="55" fillId="4" borderId="0" xfId="0" applyFont="1" applyFill="1"/>
    <xf numFmtId="0" fontId="56" fillId="14" borderId="0" xfId="0" applyFont="1" applyFill="1"/>
    <xf numFmtId="0" fontId="38" fillId="0" borderId="0" xfId="0" applyFont="1" applyAlignment="1">
      <alignment horizontal="center"/>
    </xf>
    <xf numFmtId="0" fontId="35" fillId="15" borderId="0" xfId="0" applyFont="1" applyFill="1"/>
    <xf numFmtId="0" fontId="57" fillId="16" borderId="0" xfId="0" applyFont="1" applyFill="1"/>
    <xf numFmtId="0" fontId="61" fillId="0" borderId="0" xfId="0" applyFont="1"/>
    <xf numFmtId="0" fontId="0" fillId="0" borderId="0" xfId="0" applyProtection="1">
      <protection locked="0"/>
    </xf>
    <xf numFmtId="0" fontId="41" fillId="4" borderId="0" xfId="1" applyFont="1" applyFill="1" applyProtection="1"/>
    <xf numFmtId="0" fontId="13" fillId="6" borderId="0" xfId="0" applyFont="1" applyFill="1"/>
    <xf numFmtId="0" fontId="15" fillId="7" borderId="0" xfId="0" applyFont="1" applyFill="1"/>
    <xf numFmtId="0" fontId="3" fillId="2" borderId="0" xfId="0" applyFont="1" applyFill="1"/>
    <xf numFmtId="0" fontId="47" fillId="0" borderId="0" xfId="0" applyFont="1" applyAlignment="1">
      <alignment horizontal="center"/>
    </xf>
    <xf numFmtId="0" fontId="31" fillId="0" borderId="0" xfId="0" applyFont="1"/>
    <xf numFmtId="0" fontId="3" fillId="2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48" fillId="14" borderId="0" xfId="0" applyFont="1" applyFill="1"/>
    <xf numFmtId="0" fontId="23" fillId="3" borderId="0" xfId="0" applyFont="1" applyFill="1" applyAlignment="1">
      <alignment horizontal="center"/>
    </xf>
    <xf numFmtId="0" fontId="18" fillId="4" borderId="0" xfId="0" applyFont="1" applyFill="1" applyAlignment="1">
      <alignment horizontal="center"/>
    </xf>
    <xf numFmtId="0" fontId="21" fillId="0" borderId="0" xfId="0" applyFont="1"/>
    <xf numFmtId="0" fontId="5" fillId="0" borderId="0" xfId="0" applyFont="1" applyAlignment="1">
      <alignment horizontal="center"/>
    </xf>
    <xf numFmtId="0" fontId="49" fillId="0" borderId="0" xfId="0" applyFont="1" applyAlignment="1">
      <alignment horizontal="center"/>
    </xf>
    <xf numFmtId="0" fontId="50" fillId="15" borderId="0" xfId="0" applyFont="1" applyFill="1" applyAlignment="1">
      <alignment horizontal="center"/>
    </xf>
    <xf numFmtId="0" fontId="51" fillId="15" borderId="0" xfId="0" applyFont="1" applyFill="1"/>
    <xf numFmtId="0" fontId="4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60" fillId="0" borderId="0" xfId="0" applyFont="1"/>
    <xf numFmtId="0" fontId="59" fillId="0" borderId="0" xfId="1" applyFont="1" applyAlignment="1" applyProtection="1">
      <alignment horizontal="right"/>
    </xf>
    <xf numFmtId="0" fontId="28" fillId="6" borderId="0" xfId="0" applyFont="1" applyFill="1"/>
    <xf numFmtId="0" fontId="9" fillId="2" borderId="0" xfId="0" applyFont="1" applyFill="1"/>
    <xf numFmtId="0" fontId="52" fillId="7" borderId="0" xfId="0" applyFont="1" applyFill="1"/>
    <xf numFmtId="16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36" fillId="15" borderId="0" xfId="0" applyFont="1" applyFill="1" applyAlignment="1">
      <alignment horizontal="center"/>
    </xf>
    <xf numFmtId="0" fontId="44" fillId="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21" fillId="15" borderId="0" xfId="0" applyFont="1" applyFill="1" applyAlignment="1">
      <alignment horizontal="center"/>
    </xf>
    <xf numFmtId="0" fontId="21" fillId="4" borderId="0" xfId="0" applyFont="1" applyFill="1" applyAlignment="1">
      <alignment horizontal="center"/>
    </xf>
    <xf numFmtId="0" fontId="23" fillId="3" borderId="0" xfId="0" applyFont="1" applyFill="1"/>
    <xf numFmtId="0" fontId="24" fillId="0" borderId="0" xfId="0" applyFont="1"/>
    <xf numFmtId="0" fontId="17" fillId="4" borderId="0" xfId="0" applyFont="1" applyFill="1"/>
    <xf numFmtId="0" fontId="18" fillId="0" borderId="0" xfId="0" applyFont="1"/>
    <xf numFmtId="3" fontId="53" fillId="0" borderId="0" xfId="0" applyNumberFormat="1" applyFont="1"/>
    <xf numFmtId="3" fontId="54" fillId="0" borderId="0" xfId="0" applyNumberFormat="1" applyFont="1"/>
    <xf numFmtId="0" fontId="37" fillId="6" borderId="0" xfId="0" applyFont="1" applyFill="1"/>
    <xf numFmtId="0" fontId="36" fillId="0" borderId="0" xfId="0" applyFont="1"/>
    <xf numFmtId="0" fontId="42" fillId="14" borderId="0" xfId="0" applyFont="1" applyFill="1"/>
    <xf numFmtId="0" fontId="62" fillId="3" borderId="0" xfId="0" applyFont="1" applyFill="1" applyAlignment="1">
      <alignment horizontal="center"/>
    </xf>
    <xf numFmtId="164" fontId="21" fillId="4" borderId="0" xfId="0" applyNumberFormat="1" applyFont="1" applyFill="1" applyAlignment="1">
      <alignment horizontal="center"/>
    </xf>
    <xf numFmtId="3" fontId="21" fillId="4" borderId="0" xfId="0" applyNumberFormat="1" applyFont="1" applyFill="1" applyAlignment="1">
      <alignment horizontal="center"/>
    </xf>
    <xf numFmtId="0" fontId="63" fillId="0" borderId="0" xfId="0" applyFont="1"/>
    <xf numFmtId="0" fontId="45" fillId="0" borderId="0" xfId="1" applyFont="1" applyProtection="1"/>
    <xf numFmtId="0" fontId="64" fillId="0" borderId="0" xfId="1" applyFont="1" applyProtection="1"/>
    <xf numFmtId="164" fontId="0" fillId="14" borderId="0" xfId="0" applyNumberFormat="1" applyFill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/>
      <protection locked="0"/>
    </xf>
    <xf numFmtId="3" fontId="0" fillId="14" borderId="0" xfId="0" applyNumberFormat="1" applyFill="1" applyAlignment="1" applyProtection="1">
      <alignment horizontal="center"/>
      <protection locked="0"/>
    </xf>
    <xf numFmtId="0" fontId="59" fillId="0" borderId="0" xfId="1" applyFont="1" applyProtection="1"/>
    <xf numFmtId="0" fontId="43" fillId="14" borderId="0" xfId="0" applyFont="1" applyFill="1"/>
    <xf numFmtId="0" fontId="44" fillId="14" borderId="0" xfId="0" applyFont="1" applyFill="1"/>
    <xf numFmtId="0" fontId="21" fillId="14" borderId="0" xfId="0" applyFont="1" applyFill="1"/>
    <xf numFmtId="0" fontId="27" fillId="4" borderId="0" xfId="0" applyFont="1" applyFill="1"/>
    <xf numFmtId="0" fontId="36" fillId="4" borderId="0" xfId="0" applyFont="1" applyFill="1"/>
    <xf numFmtId="3" fontId="36" fillId="4" borderId="0" xfId="0" applyNumberFormat="1" applyFont="1" applyFill="1"/>
    <xf numFmtId="0" fontId="3" fillId="4" borderId="0" xfId="0" applyFont="1" applyFill="1"/>
    <xf numFmtId="0" fontId="18" fillId="4" borderId="0" xfId="0" applyFont="1" applyFill="1"/>
    <xf numFmtId="0" fontId="46" fillId="4" borderId="0" xfId="0" applyFont="1" applyFill="1"/>
    <xf numFmtId="0" fontId="0" fillId="4" borderId="0" xfId="0" applyFill="1"/>
    <xf numFmtId="0" fontId="22" fillId="3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164" fontId="0" fillId="0" borderId="0" xfId="0" applyNumberFormat="1"/>
    <xf numFmtId="0" fontId="14" fillId="0" borderId="0" xfId="0" applyFont="1"/>
    <xf numFmtId="3" fontId="0" fillId="0" borderId="0" xfId="0" applyNumberFormat="1"/>
    <xf numFmtId="3" fontId="14" fillId="0" borderId="0" xfId="0" applyNumberFormat="1" applyFont="1"/>
    <xf numFmtId="0" fontId="1" fillId="4" borderId="0" xfId="0" applyFont="1" applyFill="1"/>
    <xf numFmtId="164" fontId="0" fillId="0" borderId="0" xfId="0" applyNumberFormat="1" applyProtection="1">
      <protection locked="0"/>
    </xf>
    <xf numFmtId="0" fontId="1" fillId="4" borderId="0" xfId="0" applyFont="1" applyFill="1" applyProtection="1">
      <protection locked="0"/>
    </xf>
    <xf numFmtId="3" fontId="0" fillId="0" borderId="0" xfId="0" applyNumberForma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8" fillId="6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/>
    </xf>
    <xf numFmtId="0" fontId="17" fillId="8" borderId="0" xfId="0" applyFont="1" applyFill="1"/>
    <xf numFmtId="0" fontId="12" fillId="0" borderId="0" xfId="0" applyFont="1"/>
    <xf numFmtId="0" fontId="12" fillId="4" borderId="0" xfId="0" applyFont="1" applyFill="1"/>
    <xf numFmtId="3" fontId="12" fillId="4" borderId="0" xfId="0" applyNumberFormat="1" applyFont="1" applyFill="1"/>
    <xf numFmtId="0" fontId="34" fillId="11" borderId="0" xfId="0" applyFont="1" applyFill="1" applyProtection="1">
      <protection locked="0"/>
    </xf>
    <xf numFmtId="3" fontId="1" fillId="4" borderId="0" xfId="0" applyNumberFormat="1" applyFont="1" applyFill="1"/>
    <xf numFmtId="0" fontId="5" fillId="0" borderId="0" xfId="0" applyFont="1"/>
    <xf numFmtId="3" fontId="18" fillId="0" borderId="0" xfId="0" applyNumberFormat="1" applyFont="1"/>
    <xf numFmtId="3" fontId="21" fillId="0" borderId="0" xfId="0" applyNumberFormat="1" applyFont="1"/>
    <xf numFmtId="0" fontId="37" fillId="3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0" fillId="13" borderId="0" xfId="0" applyFont="1" applyFill="1" applyAlignment="1">
      <alignment horizontal="center"/>
    </xf>
    <xf numFmtId="0" fontId="40" fillId="13" borderId="0" xfId="0" applyFont="1" applyFill="1"/>
    <xf numFmtId="164" fontId="21" fillId="0" borderId="0" xfId="0" applyNumberFormat="1" applyFont="1"/>
    <xf numFmtId="0" fontId="19" fillId="4" borderId="0" xfId="0" applyFont="1" applyFill="1"/>
    <xf numFmtId="3" fontId="12" fillId="11" borderId="0" xfId="0" applyNumberFormat="1" applyFont="1" applyFill="1"/>
    <xf numFmtId="0" fontId="18" fillId="12" borderId="0" xfId="0" applyFont="1" applyFill="1"/>
    <xf numFmtId="3" fontId="18" fillId="12" borderId="0" xfId="0" applyNumberFormat="1" applyFont="1" applyFill="1"/>
    <xf numFmtId="0" fontId="19" fillId="9" borderId="0" xfId="0" applyFont="1" applyFill="1" applyAlignment="1">
      <alignment horizontal="center"/>
    </xf>
    <xf numFmtId="0" fontId="39" fillId="0" borderId="0" xfId="0" applyFont="1" applyAlignment="1">
      <alignment horizontal="center"/>
    </xf>
    <xf numFmtId="0" fontId="34" fillId="11" borderId="0" xfId="0" applyFont="1" applyFill="1" applyAlignment="1" applyProtection="1">
      <alignment horizontal="center"/>
      <protection locked="0"/>
    </xf>
    <xf numFmtId="0" fontId="24" fillId="0" borderId="0" xfId="0" applyFont="1" applyProtection="1">
      <protection locked="0"/>
    </xf>
    <xf numFmtId="164" fontId="34" fillId="11" borderId="0" xfId="0" applyNumberFormat="1" applyFont="1" applyFill="1" applyProtection="1">
      <protection locked="0"/>
    </xf>
    <xf numFmtId="0" fontId="12" fillId="0" borderId="0" xfId="0" applyFont="1" applyProtection="1">
      <protection locked="0"/>
    </xf>
    <xf numFmtId="164" fontId="21" fillId="0" borderId="0" xfId="0" applyNumberFormat="1" applyFont="1" applyProtection="1">
      <protection locked="0"/>
    </xf>
    <xf numFmtId="0" fontId="21" fillId="0" borderId="0" xfId="0" applyFont="1" applyProtection="1">
      <protection locked="0"/>
    </xf>
    <xf numFmtId="3" fontId="21" fillId="0" borderId="0" xfId="0" applyNumberFormat="1" applyFont="1" applyProtection="1">
      <protection locked="0"/>
    </xf>
    <xf numFmtId="0" fontId="38" fillId="4" borderId="0" xfId="0" applyFont="1" applyFill="1" applyAlignment="1" applyProtection="1">
      <alignment horizontal="center"/>
      <protection locked="0"/>
    </xf>
    <xf numFmtId="0" fontId="1" fillId="5" borderId="0" xfId="0" applyFont="1" applyFill="1"/>
    <xf numFmtId="0" fontId="10" fillId="0" borderId="0" xfId="0" applyFont="1"/>
    <xf numFmtId="0" fontId="11" fillId="0" borderId="0" xfId="0" applyFont="1"/>
    <xf numFmtId="0" fontId="28" fillId="6" borderId="0" xfId="0" applyFont="1" applyFill="1" applyAlignment="1">
      <alignment horizontal="center"/>
    </xf>
    <xf numFmtId="0" fontId="21" fillId="0" borderId="0" xfId="0" applyFont="1" applyAlignment="1">
      <alignment wrapText="1"/>
    </xf>
    <xf numFmtId="0" fontId="19" fillId="9" borderId="0" xfId="0" applyFont="1" applyFill="1" applyAlignment="1">
      <alignment horizontal="center" wrapText="1"/>
    </xf>
    <xf numFmtId="0" fontId="12" fillId="0" borderId="0" xfId="0" applyFont="1" applyAlignment="1">
      <alignment horizontal="center"/>
    </xf>
    <xf numFmtId="0" fontId="29" fillId="0" borderId="0" xfId="0" applyFont="1"/>
    <xf numFmtId="0" fontId="17" fillId="8" borderId="0" xfId="0" applyFont="1" applyFill="1" applyAlignment="1">
      <alignment horizontal="center"/>
    </xf>
    <xf numFmtId="0" fontId="12" fillId="10" borderId="0" xfId="0" applyFont="1" applyFill="1"/>
    <xf numFmtId="0" fontId="16" fillId="10" borderId="0" xfId="0" applyFont="1" applyFill="1" applyAlignment="1">
      <alignment horizontal="center"/>
    </xf>
    <xf numFmtId="0" fontId="21" fillId="0" borderId="0" xfId="0" applyFont="1" applyAlignment="1">
      <alignment horizontal="right"/>
    </xf>
    <xf numFmtId="3" fontId="21" fillId="0" borderId="0" xfId="0" applyNumberFormat="1" applyFont="1" applyAlignment="1">
      <alignment horizontal="right"/>
    </xf>
    <xf numFmtId="14" fontId="21" fillId="0" borderId="0" xfId="0" applyNumberFormat="1" applyFont="1"/>
    <xf numFmtId="0" fontId="13" fillId="6" borderId="0" xfId="0" applyFont="1" applyFill="1" applyAlignment="1">
      <alignment horizontal="center" vertical="center"/>
    </xf>
    <xf numFmtId="0" fontId="27" fillId="9" borderId="0" xfId="0" applyFont="1" applyFill="1" applyAlignment="1">
      <alignment horizontal="center"/>
    </xf>
    <xf numFmtId="0" fontId="19" fillId="10" borderId="0" xfId="0" applyFont="1" applyFill="1" applyAlignment="1">
      <alignment horizontal="center"/>
    </xf>
    <xf numFmtId="0" fontId="18" fillId="10" borderId="0" xfId="0" applyFont="1" applyFill="1"/>
    <xf numFmtId="0" fontId="14" fillId="10" borderId="0" xfId="0" applyFont="1" applyFill="1" applyAlignment="1">
      <alignment horizontal="left"/>
    </xf>
    <xf numFmtId="3" fontId="14" fillId="0" borderId="0" xfId="0" applyNumberFormat="1" applyFont="1" applyAlignment="1">
      <alignment horizontal="right"/>
    </xf>
    <xf numFmtId="165" fontId="14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21" fillId="10" borderId="0" xfId="0" applyFont="1" applyFill="1" applyAlignment="1">
      <alignment horizontal="left"/>
    </xf>
    <xf numFmtId="2" fontId="12" fillId="0" borderId="0" xfId="0" applyNumberFormat="1" applyFont="1" applyAlignment="1">
      <alignment horizontal="center"/>
    </xf>
    <xf numFmtId="0" fontId="21" fillId="10" borderId="0" xfId="0" applyFont="1" applyFill="1"/>
    <xf numFmtId="0" fontId="18" fillId="0" borderId="0" xfId="0" applyFont="1" applyAlignment="1">
      <alignment horizontal="center"/>
    </xf>
    <xf numFmtId="0" fontId="22" fillId="6" borderId="0" xfId="0" applyFont="1" applyFill="1" applyAlignment="1">
      <alignment horizontal="center"/>
    </xf>
    <xf numFmtId="165" fontId="21" fillId="0" borderId="0" xfId="0" applyNumberFormat="1" applyFont="1" applyAlignment="1">
      <alignment horizontal="center"/>
    </xf>
    <xf numFmtId="0" fontId="23" fillId="7" borderId="0" xfId="0" applyFont="1" applyFill="1"/>
    <xf numFmtId="3" fontId="23" fillId="7" borderId="0" xfId="0" applyNumberFormat="1" applyFont="1" applyFill="1" applyAlignment="1">
      <alignment horizontal="right"/>
    </xf>
    <xf numFmtId="165" fontId="23" fillId="7" borderId="0" xfId="0" applyNumberFormat="1" applyFont="1" applyFill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left"/>
    </xf>
    <xf numFmtId="0" fontId="27" fillId="10" borderId="0" xfId="0" applyFont="1" applyFill="1" applyAlignment="1">
      <alignment horizontal="left"/>
    </xf>
    <xf numFmtId="0" fontId="14" fillId="0" borderId="0" xfId="0" applyFont="1" applyAlignment="1">
      <alignment horizontal="right"/>
    </xf>
    <xf numFmtId="0" fontId="30" fillId="11" borderId="0" xfId="0" applyFont="1" applyFill="1" applyAlignment="1">
      <alignment horizontal="center"/>
    </xf>
    <xf numFmtId="0" fontId="27" fillId="0" borderId="0" xfId="0" applyFont="1"/>
    <xf numFmtId="3" fontId="12" fillId="10" borderId="0" xfId="0" applyNumberFormat="1" applyFont="1" applyFill="1"/>
    <xf numFmtId="165" fontId="12" fillId="10" borderId="0" xfId="0" applyNumberFormat="1" applyFont="1" applyFill="1"/>
    <xf numFmtId="3" fontId="32" fillId="0" borderId="0" xfId="0" applyNumberFormat="1" applyFont="1" applyAlignment="1">
      <alignment horizontal="right"/>
    </xf>
    <xf numFmtId="3" fontId="18" fillId="10" borderId="0" xfId="0" applyNumberFormat="1" applyFont="1" applyFill="1" applyAlignment="1">
      <alignment horizontal="center"/>
    </xf>
    <xf numFmtId="3" fontId="18" fillId="10" borderId="0" xfId="0" applyNumberFormat="1" applyFont="1" applyFill="1"/>
    <xf numFmtId="0" fontId="8" fillId="2" borderId="0" xfId="0" applyFont="1" applyFill="1"/>
    <xf numFmtId="3" fontId="8" fillId="2" borderId="0" xfId="0" applyNumberFormat="1" applyFont="1" applyFill="1"/>
    <xf numFmtId="0" fontId="33" fillId="6" borderId="0" xfId="0" applyFont="1" applyFill="1" applyAlignment="1">
      <alignment horizontal="center" vertical="center"/>
    </xf>
    <xf numFmtId="0" fontId="12" fillId="12" borderId="0" xfId="0" applyFont="1" applyFill="1"/>
    <xf numFmtId="3" fontId="12" fillId="12" borderId="0" xfId="0" applyNumberFormat="1" applyFont="1" applyFill="1"/>
    <xf numFmtId="0" fontId="27" fillId="8" borderId="0" xfId="0" applyFont="1" applyFill="1"/>
    <xf numFmtId="3" fontId="27" fillId="8" borderId="0" xfId="0" applyNumberFormat="1" applyFont="1" applyFill="1"/>
    <xf numFmtId="3" fontId="35" fillId="2" borderId="0" xfId="0" applyNumberFormat="1" applyFont="1" applyFill="1"/>
    <xf numFmtId="3" fontId="12" fillId="0" borderId="0" xfId="0" applyNumberFormat="1" applyFont="1"/>
    <xf numFmtId="0" fontId="4" fillId="3" borderId="0" xfId="0" applyFont="1" applyFill="1"/>
    <xf numFmtId="0" fontId="1" fillId="0" borderId="0" xfId="0" applyFont="1" applyAlignment="1">
      <alignment horizontal="center"/>
    </xf>
  </cellXfs>
  <cellStyles count="2">
    <cellStyle name="Lien hypertexte" xfId="1" builtinId="8"/>
    <cellStyle name="Normal" xfId="0" builtinId="0"/>
  </cellStyles>
  <dxfs count="11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8B4513"/>
      </font>
      <fill>
        <patternFill patternType="solid">
          <fgColor indexed="64"/>
          <bgColor rgb="FFFFE4B5"/>
        </patternFill>
      </fill>
    </dxf>
    <dxf>
      <font>
        <b/>
        <i val="0"/>
        <color rgb="FF8B0000"/>
      </font>
      <fill>
        <patternFill patternType="solid">
          <fgColor indexed="64"/>
          <bgColor rgb="FFFFCCCC"/>
        </patternFill>
      </fill>
    </dxf>
    <dxf>
      <font>
        <b/>
        <i val="0"/>
        <color rgb="FF8B4513"/>
      </font>
      <fill>
        <patternFill patternType="solid">
          <fgColor indexed="64"/>
          <bgColor rgb="FFFFE4B5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Structure Actif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D4E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30F-4E9E-9157-21C99EC73B8A}"/>
              </c:ext>
            </c:extLst>
          </c:dPt>
          <c:dPt>
            <c:idx val="1"/>
            <c:bubble3D val="0"/>
            <c:spPr>
              <a:solidFill>
                <a:srgbClr val="2E7D4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C30F-4E9E-9157-21C99EC73B8A}"/>
              </c:ext>
            </c:extLst>
          </c:dPt>
          <c:dPt>
            <c:idx val="2"/>
            <c:bubble3D val="0"/>
            <c:spPr>
              <a:solidFill>
                <a:srgbClr val="C6A9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30F-4E9E-9157-21C99EC73B8A}"/>
              </c:ext>
            </c:extLst>
          </c:dPt>
          <c:cat>
            <c:strRef>
              <c:f>Dashboard!$H$17:$H$19</c:f>
              <c:strCache>
                <c:ptCount val="3"/>
                <c:pt idx="0">
                  <c:v>Actif Immobilisé</c:v>
                </c:pt>
                <c:pt idx="1">
                  <c:v>Actif Circulant</c:v>
                </c:pt>
                <c:pt idx="2">
                  <c:v>Trésorerie Actif</c:v>
                </c:pt>
              </c:strCache>
            </c:strRef>
          </c:cat>
          <c:val>
            <c:numRef>
              <c:f>Dashboard!$I$17:$I$19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F-4E9E-9157-21C99EC73B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Structure Passif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1D4E2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78A-42E7-9804-06D643ACE6BA}"/>
              </c:ext>
            </c:extLst>
          </c:dPt>
          <c:dPt>
            <c:idx val="1"/>
            <c:bubble3D val="0"/>
            <c:spPr>
              <a:solidFill>
                <a:srgbClr val="C6A96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78A-42E7-9804-06D643ACE6BA}"/>
              </c:ext>
            </c:extLst>
          </c:dPt>
          <c:dPt>
            <c:idx val="2"/>
            <c:bubble3D val="0"/>
            <c:spPr>
              <a:solidFill>
                <a:srgbClr val="8B451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78A-42E7-9804-06D643ACE6BA}"/>
              </c:ext>
            </c:extLst>
          </c:dPt>
          <c:cat>
            <c:strRef>
              <c:f>Dashboard!$H$20:$H$22</c:f>
              <c:strCache>
                <c:ptCount val="3"/>
                <c:pt idx="0">
                  <c:v>Capitaux Propres</c:v>
                </c:pt>
                <c:pt idx="1">
                  <c:v>Dettes Financières</c:v>
                </c:pt>
                <c:pt idx="2">
                  <c:v>Passif Circulant</c:v>
                </c:pt>
              </c:strCache>
            </c:strRef>
          </c:cat>
          <c:val>
            <c:numRef>
              <c:f>Dashboard!$I$20:$I$22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8A-42E7-9804-06D643ACE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Soldes Intermédiaires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2E7D42"/>
            </a:solidFill>
            <a:ln>
              <a:noFill/>
            </a:ln>
            <a:effectLst/>
          </c:spPr>
          <c:invertIfNegative val="0"/>
          <c:cat>
            <c:strRef>
              <c:f>Dashboard!$B$27:$B$34</c:f>
              <c:strCache>
                <c:ptCount val="8"/>
                <c:pt idx="0">
                  <c:v>Marge Commerciale</c:v>
                </c:pt>
                <c:pt idx="1">
                  <c:v>Production</c:v>
                </c:pt>
                <c:pt idx="2">
                  <c:v>Valeur Ajoutée</c:v>
                </c:pt>
                <c:pt idx="3">
                  <c:v>EBE</c:v>
                </c:pt>
                <c:pt idx="4">
                  <c:v>Résultat Exploitation</c:v>
                </c:pt>
                <c:pt idx="5">
                  <c:v>Résultat Financier</c:v>
                </c:pt>
                <c:pt idx="6">
                  <c:v>Résultat HAO</c:v>
                </c:pt>
                <c:pt idx="7">
                  <c:v>Résultat Net</c:v>
                </c:pt>
              </c:strCache>
            </c:strRef>
          </c:cat>
          <c:val>
            <c:numRef>
              <c:f>Dashboard!$C$27:$C$34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D-4328-951D-5013CC2F8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31584"/>
        <c:axId val="5148384"/>
      </c:barChart>
      <c:catAx>
        <c:axId val="5131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8384"/>
        <c:crosses val="autoZero"/>
        <c:auto val="1"/>
        <c:lblAlgn val="ctr"/>
        <c:lblOffset val="100"/>
        <c:noMultiLvlLbl val="0"/>
      </c:catAx>
      <c:valAx>
        <c:axId val="514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Structure Actif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Dashboard!$M$6</c:f>
              <c:strCache>
                <c:ptCount val="1"/>
                <c:pt idx="0">
                  <c:v>Montant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407-47FF-8A1E-B5AD2479CD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407-47FF-8A1E-B5AD2479CD4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407-47FF-8A1E-B5AD2479CD40}"/>
              </c:ext>
            </c:extLst>
          </c:dPt>
          <c:cat>
            <c:strRef>
              <c:f>Dashboard!$L$7:$L$9</c:f>
              <c:strCache>
                <c:ptCount val="3"/>
                <c:pt idx="0">
                  <c:v>Actif Immobilisé</c:v>
                </c:pt>
                <c:pt idx="1">
                  <c:v>Actif Circulant</c:v>
                </c:pt>
                <c:pt idx="2">
                  <c:v>Trésorerie</c:v>
                </c:pt>
              </c:strCache>
            </c:strRef>
          </c:cat>
          <c:val>
            <c:numRef>
              <c:f>Dashboard!$M$7:$M$9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6-4963-8E13-F14586D55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Structure Passif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Dashboard!$P$6</c:f>
              <c:strCache>
                <c:ptCount val="1"/>
                <c:pt idx="0">
                  <c:v>Montant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3A-4269-BD22-85C5A1BC19D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3A-4269-BD22-85C5A1BC19D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3A-4269-BD22-85C5A1BC19D1}"/>
              </c:ext>
            </c:extLst>
          </c:dPt>
          <c:cat>
            <c:strRef>
              <c:f>Dashboard!$O$7:$O$9</c:f>
              <c:strCache>
                <c:ptCount val="3"/>
                <c:pt idx="0">
                  <c:v>Capitaux Propres</c:v>
                </c:pt>
                <c:pt idx="1">
                  <c:v>Dettes Financières</c:v>
                </c:pt>
                <c:pt idx="2">
                  <c:v>Passif Circulant</c:v>
                </c:pt>
              </c:strCache>
            </c:strRef>
          </c:cat>
          <c:val>
            <c:numRef>
              <c:f>Dashboard!$P$7:$P$9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33-4BF4-B5BF-B169B6A44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Soldes Intermédiaires de Gestion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Dashboard!$B$27:$B$34</c:f>
              <c:strCache>
                <c:ptCount val="8"/>
                <c:pt idx="0">
                  <c:v>Marge Commerciale</c:v>
                </c:pt>
                <c:pt idx="1">
                  <c:v>Production</c:v>
                </c:pt>
                <c:pt idx="2">
                  <c:v>Valeur Ajoutée</c:v>
                </c:pt>
                <c:pt idx="3">
                  <c:v>EBE</c:v>
                </c:pt>
                <c:pt idx="4">
                  <c:v>Résultat Exploitation</c:v>
                </c:pt>
                <c:pt idx="5">
                  <c:v>Résultat Financier</c:v>
                </c:pt>
                <c:pt idx="6">
                  <c:v>Résultat HAO</c:v>
                </c:pt>
                <c:pt idx="7">
                  <c:v>Résultat Net</c:v>
                </c:pt>
              </c:strCache>
            </c:strRef>
          </c:cat>
          <c:val>
            <c:numRef>
              <c:f>Dashboard!$C$27:$C$34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FC-42FC-8EE6-444915A36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19584"/>
        <c:axId val="5120064"/>
      </c:barChart>
      <c:catAx>
        <c:axId val="51195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0064"/>
        <c:crosses val="autoZero"/>
        <c:auto val="1"/>
        <c:lblAlgn val="ctr"/>
        <c:lblOffset val="100"/>
        <c:noMultiLvlLbl val="0"/>
      </c:catAx>
      <c:valAx>
        <c:axId val="512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Erreurs Journal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Dashboard!$B$41:$B$45</c:f>
              <c:strCache>
                <c:ptCount val="5"/>
                <c:pt idx="0">
                  <c:v>Écritures déséquilibrées (Débit ≠ Crédit)</c:v>
                </c:pt>
                <c:pt idx="1">
                  <c:v>Doublons N° Pièce par Journal</c:v>
                </c:pt>
                <c:pt idx="2">
                  <c:v>Comptes inconnus (hors Plan Comptable)</c:v>
                </c:pt>
                <c:pt idx="3">
                  <c:v>Lignes incomplètes (montant sans compte)</c:v>
                </c:pt>
                <c:pt idx="4">
                  <c:v>Lignes sans date</c:v>
                </c:pt>
              </c:strCache>
            </c:strRef>
          </c:cat>
          <c:val>
            <c:numRef>
              <c:f>Dashboard!$C$41:$C$45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9-40F4-99F2-5372BDB61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9765072"/>
        <c:axId val="1209761712"/>
      </c:barChart>
      <c:catAx>
        <c:axId val="120976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761712"/>
        <c:crosses val="autoZero"/>
        <c:auto val="1"/>
        <c:lblAlgn val="ctr"/>
        <c:lblOffset val="100"/>
        <c:noMultiLvlLbl val="0"/>
      </c:catAx>
      <c:valAx>
        <c:axId val="120976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76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Tendance Mensuelle par Journal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'Rapport Mensuel'!$B$47</c:f>
              <c:strCache>
                <c:ptCount val="1"/>
                <c:pt idx="0">
                  <c:v>AC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'Rapport Mensuel'!$C$46:$N$46</c:f>
              <c:strCache>
                <c:ptCount val="12"/>
                <c:pt idx="0">
                  <c:v>Jan</c:v>
                </c:pt>
                <c:pt idx="1">
                  <c:v>Fév</c:v>
                </c:pt>
                <c:pt idx="2">
                  <c:v>Mar</c:v>
                </c:pt>
                <c:pt idx="3">
                  <c:v>Avr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Aoû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'Rapport Mensuel'!$C$47:$N$47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26-4F46-8D55-F126FA7F286F}"/>
            </c:ext>
          </c:extLst>
        </c:ser>
        <c:ser>
          <c:idx val="1"/>
          <c:order val="1"/>
          <c:tx>
            <c:strRef>
              <c:f>'Rapport Mensuel'!$B$48</c:f>
              <c:strCache>
                <c:ptCount val="1"/>
                <c:pt idx="0">
                  <c:v>VT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'Rapport Mensuel'!$C$46:$N$46</c:f>
              <c:strCache>
                <c:ptCount val="12"/>
                <c:pt idx="0">
                  <c:v>Jan</c:v>
                </c:pt>
                <c:pt idx="1">
                  <c:v>Fév</c:v>
                </c:pt>
                <c:pt idx="2">
                  <c:v>Mar</c:v>
                </c:pt>
                <c:pt idx="3">
                  <c:v>Avr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Aoû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'Rapport Mensuel'!$C$48:$N$48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26-4F46-8D55-F126FA7F286F}"/>
            </c:ext>
          </c:extLst>
        </c:ser>
        <c:ser>
          <c:idx val="2"/>
          <c:order val="2"/>
          <c:tx>
            <c:strRef>
              <c:f>'Rapport Mensuel'!$B$49</c:f>
              <c:strCache>
                <c:ptCount val="1"/>
                <c:pt idx="0">
                  <c:v>BQ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'Rapport Mensuel'!$C$46:$N$46</c:f>
              <c:strCache>
                <c:ptCount val="12"/>
                <c:pt idx="0">
                  <c:v>Jan</c:v>
                </c:pt>
                <c:pt idx="1">
                  <c:v>Fév</c:v>
                </c:pt>
                <c:pt idx="2">
                  <c:v>Mar</c:v>
                </c:pt>
                <c:pt idx="3">
                  <c:v>Avr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Aoû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'Rapport Mensuel'!$C$49:$N$49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26-4F46-8D55-F126FA7F286F}"/>
            </c:ext>
          </c:extLst>
        </c:ser>
        <c:ser>
          <c:idx val="3"/>
          <c:order val="3"/>
          <c:tx>
            <c:strRef>
              <c:f>'Rapport Mensuel'!$B$50</c:f>
              <c:strCache>
                <c:ptCount val="1"/>
                <c:pt idx="0">
                  <c:v>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'Rapport Mensuel'!$C$46:$N$46</c:f>
              <c:strCache>
                <c:ptCount val="12"/>
                <c:pt idx="0">
                  <c:v>Jan</c:v>
                </c:pt>
                <c:pt idx="1">
                  <c:v>Fév</c:v>
                </c:pt>
                <c:pt idx="2">
                  <c:v>Mar</c:v>
                </c:pt>
                <c:pt idx="3">
                  <c:v>Avr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Aoû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'Rapport Mensuel'!$C$50:$N$50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26-4F46-8D55-F126FA7F286F}"/>
            </c:ext>
          </c:extLst>
        </c:ser>
        <c:ser>
          <c:idx val="4"/>
          <c:order val="4"/>
          <c:tx>
            <c:strRef>
              <c:f>'Rapport Mensuel'!$B$51</c:f>
              <c:strCache>
                <c:ptCount val="1"/>
                <c:pt idx="0">
                  <c:v>OD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'Rapport Mensuel'!$C$46:$N$46</c:f>
              <c:strCache>
                <c:ptCount val="12"/>
                <c:pt idx="0">
                  <c:v>Jan</c:v>
                </c:pt>
                <c:pt idx="1">
                  <c:v>Fév</c:v>
                </c:pt>
                <c:pt idx="2">
                  <c:v>Mar</c:v>
                </c:pt>
                <c:pt idx="3">
                  <c:v>Avr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Aoû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Déc</c:v>
                </c:pt>
              </c:strCache>
            </c:strRef>
          </c:cat>
          <c:val>
            <c:numRef>
              <c:f>'Rapport Mensuel'!$C$51:$N$51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226-4F46-8D55-F126FA7F2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3664"/>
        <c:axId val="5154144"/>
      </c:lineChart>
      <c:catAx>
        <c:axId val="5153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4144"/>
        <c:crosses val="autoZero"/>
        <c:auto val="1"/>
        <c:lblAlgn val="ctr"/>
        <c:lblOffset val="100"/>
        <c:noMultiLvlLbl val="0"/>
      </c:catAx>
      <c:valAx>
        <c:axId val="515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3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par Classe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'Rapport Mensuel'!$C$75</c:f>
              <c:strCache>
                <c:ptCount val="1"/>
                <c:pt idx="0">
                  <c:v>Montant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640-40F3-BFD2-49528740DF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640-40F3-BFD2-49528740DF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640-40F3-BFD2-49528740DF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640-40F3-BFD2-49528740DF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640-40F3-BFD2-49528740DF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640-40F3-BFD2-49528740DFAB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640-40F3-BFD2-49528740DFAB}"/>
              </c:ext>
            </c:extLst>
          </c:dPt>
          <c:cat>
            <c:strRef>
              <c:f>'Rapport Mensuel'!$B$76:$B$82</c:f>
              <c:strCache>
                <c:ptCount val="7"/>
                <c:pt idx="0">
                  <c:v>Capitaux</c:v>
                </c:pt>
                <c:pt idx="1">
                  <c:v>Immobilisations</c:v>
                </c:pt>
                <c:pt idx="2">
                  <c:v>Stocks</c:v>
                </c:pt>
                <c:pt idx="3">
                  <c:v>Tiers</c:v>
                </c:pt>
                <c:pt idx="4">
                  <c:v>Trésorerie</c:v>
                </c:pt>
                <c:pt idx="5">
                  <c:v>Charges</c:v>
                </c:pt>
                <c:pt idx="6">
                  <c:v>Produits</c:v>
                </c:pt>
              </c:strCache>
            </c:strRef>
          </c:cat>
          <c:val>
            <c:numRef>
              <c:f>'Rapport Mensuel'!$C$76:$C$82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B89-A577-5CCEB4F6C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Comparaison Débit/Crédit par Journal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'Rapport Mensuel'!$C$86</c:f>
              <c:strCache>
                <c:ptCount val="1"/>
                <c:pt idx="0">
                  <c:v>Débit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'Rapport Mensuel'!$B$87:$B$91</c:f>
              <c:strCache>
                <c:ptCount val="5"/>
                <c:pt idx="0">
                  <c:v>Achats</c:v>
                </c:pt>
                <c:pt idx="1">
                  <c:v>Ventes</c:v>
                </c:pt>
                <c:pt idx="2">
                  <c:v>Banque</c:v>
                </c:pt>
                <c:pt idx="3">
                  <c:v>Caisse</c:v>
                </c:pt>
                <c:pt idx="4">
                  <c:v>Op. Diverses</c:v>
                </c:pt>
              </c:strCache>
            </c:strRef>
          </c:cat>
          <c:val>
            <c:numRef>
              <c:f>'Rapport Mensuel'!$C$87:$C$91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02-41E2-A8F4-21D5BF6B848D}"/>
            </c:ext>
          </c:extLst>
        </c:ser>
        <c:ser>
          <c:idx val="1"/>
          <c:order val="1"/>
          <c:tx>
            <c:strRef>
              <c:f>'Rapport Mensuel'!$D$86</c:f>
              <c:strCache>
                <c:ptCount val="1"/>
                <c:pt idx="0">
                  <c:v>Crédit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'Rapport Mensuel'!$B$87:$B$91</c:f>
              <c:strCache>
                <c:ptCount val="5"/>
                <c:pt idx="0">
                  <c:v>Achats</c:v>
                </c:pt>
                <c:pt idx="1">
                  <c:v>Ventes</c:v>
                </c:pt>
                <c:pt idx="2">
                  <c:v>Banque</c:v>
                </c:pt>
                <c:pt idx="3">
                  <c:v>Caisse</c:v>
                </c:pt>
                <c:pt idx="4">
                  <c:v>Op. Diverses</c:v>
                </c:pt>
              </c:strCache>
            </c:strRef>
          </c:cat>
          <c:val>
            <c:numRef>
              <c:f>'Rapport Mensuel'!$D$87:$D$91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02-41E2-A8F4-21D5BF6B8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0864"/>
        <c:axId val="5101344"/>
      </c:barChart>
      <c:catAx>
        <c:axId val="510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1344"/>
        <c:crosses val="autoZero"/>
        <c:auto val="1"/>
        <c:lblAlgn val="ctr"/>
        <c:lblOffset val="100"/>
        <c:noMultiLvlLbl val="0"/>
      </c:catAx>
      <c:valAx>
        <c:axId val="510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10</xdr:row>
      <xdr:rowOff>0</xdr:rowOff>
    </xdr:from>
    <xdr:to>
      <xdr:col>15</xdr:col>
      <xdr:colOff>508000</xdr:colOff>
      <xdr:row>22</xdr:row>
      <xdr:rowOff>149225</xdr:rowOff>
    </xdr:to>
    <xdr:graphicFrame macro="">
      <xdr:nvGraphicFramePr>
        <xdr:cNvPr id="2" name="Structure Actif">
          <a:extLst>
            <a:ext uri="{FF2B5EF4-FFF2-40B4-BE49-F238E27FC236}">
              <a16:creationId xmlns:a16="http://schemas.microsoft.com/office/drawing/2014/main" id="{93E423A6-7EDA-97B5-E3F7-8B8A0CD21C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10</xdr:row>
      <xdr:rowOff>0</xdr:rowOff>
    </xdr:from>
    <xdr:to>
      <xdr:col>18</xdr:col>
      <xdr:colOff>508000</xdr:colOff>
      <xdr:row>22</xdr:row>
      <xdr:rowOff>149225</xdr:rowOff>
    </xdr:to>
    <xdr:graphicFrame macro="">
      <xdr:nvGraphicFramePr>
        <xdr:cNvPr id="3" name="Structure Passif">
          <a:extLst>
            <a:ext uri="{FF2B5EF4-FFF2-40B4-BE49-F238E27FC236}">
              <a16:creationId xmlns:a16="http://schemas.microsoft.com/office/drawing/2014/main" id="{FA8EE058-1FE8-896E-C090-4D129F2FF02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24</xdr:row>
      <xdr:rowOff>0</xdr:rowOff>
    </xdr:from>
    <xdr:to>
      <xdr:col>12</xdr:col>
      <xdr:colOff>381000</xdr:colOff>
      <xdr:row>38</xdr:row>
      <xdr:rowOff>117475</xdr:rowOff>
    </xdr:to>
    <xdr:graphicFrame macro="">
      <xdr:nvGraphicFramePr>
        <xdr:cNvPr id="4" name="Soldes Intermédiaires">
          <a:extLst>
            <a:ext uri="{FF2B5EF4-FFF2-40B4-BE49-F238E27FC236}">
              <a16:creationId xmlns:a16="http://schemas.microsoft.com/office/drawing/2014/main" id="{DBBBED40-A4A3-03EC-D5EE-D6150F722C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2371725</xdr:colOff>
      <xdr:row>8</xdr:row>
      <xdr:rowOff>138112</xdr:rowOff>
    </xdr:from>
    <xdr:to>
      <xdr:col>3</xdr:col>
      <xdr:colOff>266700</xdr:colOff>
      <xdr:row>22</xdr:row>
      <xdr:rowOff>14287</xdr:rowOff>
    </xdr:to>
    <xdr:graphicFrame macro="">
      <xdr:nvGraphicFramePr>
        <xdr:cNvPr id="5" name="Structure Actif">
          <a:extLst>
            <a:ext uri="{FF2B5EF4-FFF2-40B4-BE49-F238E27FC236}">
              <a16:creationId xmlns:a16="http://schemas.microsoft.com/office/drawing/2014/main" id="{A627DC3E-D94B-CAA3-4176-C20303419E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2371725</xdr:colOff>
      <xdr:row>8</xdr:row>
      <xdr:rowOff>138112</xdr:rowOff>
    </xdr:from>
    <xdr:to>
      <xdr:col>3</xdr:col>
      <xdr:colOff>266700</xdr:colOff>
      <xdr:row>22</xdr:row>
      <xdr:rowOff>14287</xdr:rowOff>
    </xdr:to>
    <xdr:graphicFrame macro="">
      <xdr:nvGraphicFramePr>
        <xdr:cNvPr id="6" name="Structure Passif">
          <a:extLst>
            <a:ext uri="{FF2B5EF4-FFF2-40B4-BE49-F238E27FC236}">
              <a16:creationId xmlns:a16="http://schemas.microsoft.com/office/drawing/2014/main" id="{19A520D0-6E7A-775C-EE5D-69D9A23E5A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17</xdr:col>
      <xdr:colOff>508000</xdr:colOff>
      <xdr:row>39</xdr:row>
      <xdr:rowOff>117475</xdr:rowOff>
    </xdr:to>
    <xdr:graphicFrame macro="">
      <xdr:nvGraphicFramePr>
        <xdr:cNvPr id="7" name="Soldes Intermédiaires de Gestion">
          <a:extLst>
            <a:ext uri="{FF2B5EF4-FFF2-40B4-BE49-F238E27FC236}">
              <a16:creationId xmlns:a16="http://schemas.microsoft.com/office/drawing/2014/main" id="{C5192DF8-71A2-095A-D61E-8F75387E85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39</xdr:row>
      <xdr:rowOff>0</xdr:rowOff>
    </xdr:from>
    <xdr:to>
      <xdr:col>16</xdr:col>
      <xdr:colOff>635000</xdr:colOff>
      <xdr:row>50</xdr:row>
      <xdr:rowOff>180975</xdr:rowOff>
    </xdr:to>
    <xdr:graphicFrame macro="">
      <xdr:nvGraphicFramePr>
        <xdr:cNvPr id="8" name="Erreurs Journal">
          <a:extLst>
            <a:ext uri="{FF2B5EF4-FFF2-40B4-BE49-F238E27FC236}">
              <a16:creationId xmlns:a16="http://schemas.microsoft.com/office/drawing/2014/main" id="{1CF184F8-E13D-B2DA-492A-F853561A8A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53</xdr:row>
      <xdr:rowOff>0</xdr:rowOff>
    </xdr:from>
    <xdr:to>
      <xdr:col>4</xdr:col>
      <xdr:colOff>488950</xdr:colOff>
      <xdr:row>76</xdr:row>
      <xdr:rowOff>63500</xdr:rowOff>
    </xdr:to>
    <xdr:graphicFrame macro="">
      <xdr:nvGraphicFramePr>
        <xdr:cNvPr id="2" name="Tendance Mensuelle par Journal">
          <a:extLst>
            <a:ext uri="{FF2B5EF4-FFF2-40B4-BE49-F238E27FC236}">
              <a16:creationId xmlns:a16="http://schemas.microsoft.com/office/drawing/2014/main" id="{68F0D11E-325B-8346-565A-81CCF6AF5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73</xdr:row>
      <xdr:rowOff>0</xdr:rowOff>
    </xdr:from>
    <xdr:to>
      <xdr:col>11</xdr:col>
      <xdr:colOff>155575</xdr:colOff>
      <xdr:row>92</xdr:row>
      <xdr:rowOff>180975</xdr:rowOff>
    </xdr:to>
    <xdr:graphicFrame macro="">
      <xdr:nvGraphicFramePr>
        <xdr:cNvPr id="3" name="Répartition par Classe">
          <a:extLst>
            <a:ext uri="{FF2B5EF4-FFF2-40B4-BE49-F238E27FC236}">
              <a16:creationId xmlns:a16="http://schemas.microsoft.com/office/drawing/2014/main" id="{A75B04B6-BA83-F1C3-7476-04FF7A5FB2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84</xdr:row>
      <xdr:rowOff>0</xdr:rowOff>
    </xdr:from>
    <xdr:to>
      <xdr:col>12</xdr:col>
      <xdr:colOff>647700</xdr:colOff>
      <xdr:row>102</xdr:row>
      <xdr:rowOff>117475</xdr:rowOff>
    </xdr:to>
    <xdr:graphicFrame macro="">
      <xdr:nvGraphicFramePr>
        <xdr:cNvPr id="4" name="Comparaison Débit/Crédit par Journal">
          <a:extLst>
            <a:ext uri="{FF2B5EF4-FFF2-40B4-BE49-F238E27FC236}">
              <a16:creationId xmlns:a16="http://schemas.microsoft.com/office/drawing/2014/main" id="{824AB7D7-5B82-A359-DB9B-62A2B7F2BB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525" row="3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9A5532-91C5-4891-9D39-B1E42BFC86CA}">
  <we:reference id="wa200009152" version="1.0.0.3" store="fr-FR" storeType="OMEX"/>
  <we:alternateReferences>
    <we:reference id="wa200009152" version="1.0.0.3" store="WA200009152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5DEC60F7-0C55-4488-B4C6-CE4757810217}">
  <we:reference id="wa200009404" version="1.0.0.8" store="fr-FR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1F38-E976-40A8-9F30-D009BE12EF45}">
  <sheetPr codeName="Feuil10"/>
  <dimension ref="B3:G38"/>
  <sheetViews>
    <sheetView showGridLines="0" tabSelected="1" topLeftCell="A21" workbookViewId="0">
      <selection activeCell="D16" sqref="D16:E16"/>
    </sheetView>
  </sheetViews>
  <sheetFormatPr baseColWidth="10" defaultRowHeight="14.5" x14ac:dyDescent="0.35"/>
  <cols>
    <col min="2" max="2" width="56.1796875" bestFit="1" customWidth="1"/>
    <col min="4" max="4" width="32" bestFit="1" customWidth="1"/>
  </cols>
  <sheetData>
    <row r="3" spans="2:7" ht="23.5" x14ac:dyDescent="0.55000000000000004">
      <c r="B3" s="2" t="s">
        <v>303</v>
      </c>
      <c r="C3" s="2"/>
      <c r="D3" s="2"/>
      <c r="E3" s="2"/>
      <c r="F3" s="2"/>
      <c r="G3" s="2"/>
    </row>
    <row r="6" spans="2:7" ht="16" x14ac:dyDescent="0.4">
      <c r="B6" s="3" t="s">
        <v>304</v>
      </c>
      <c r="C6" s="3"/>
      <c r="D6" s="3"/>
      <c r="E6" s="3"/>
    </row>
    <row r="8" spans="2:7" x14ac:dyDescent="0.35">
      <c r="B8" s="4" t="s">
        <v>305</v>
      </c>
      <c r="C8" s="14"/>
    </row>
    <row r="9" spans="2:7" x14ac:dyDescent="0.35">
      <c r="B9" s="4" t="s">
        <v>306</v>
      </c>
      <c r="C9" s="14"/>
    </row>
    <row r="10" spans="2:7" x14ac:dyDescent="0.35">
      <c r="B10" s="4" t="s">
        <v>307</v>
      </c>
      <c r="C10" s="14"/>
    </row>
    <row r="11" spans="2:7" x14ac:dyDescent="0.35">
      <c r="B11" s="4" t="s">
        <v>308</v>
      </c>
      <c r="C11" s="14"/>
    </row>
    <row r="12" spans="2:7" x14ac:dyDescent="0.35">
      <c r="B12" s="4" t="s">
        <v>309</v>
      </c>
      <c r="C12" s="14"/>
    </row>
    <row r="13" spans="2:7" x14ac:dyDescent="0.35">
      <c r="B13" s="4" t="s">
        <v>310</v>
      </c>
      <c r="C13" s="14"/>
    </row>
    <row r="14" spans="2:7" x14ac:dyDescent="0.35">
      <c r="B14" s="4" t="s">
        <v>311</v>
      </c>
      <c r="C14" s="14"/>
    </row>
    <row r="15" spans="2:7" x14ac:dyDescent="0.35">
      <c r="B15" s="4" t="s">
        <v>312</v>
      </c>
      <c r="C15" s="14"/>
    </row>
    <row r="16" spans="2:7" x14ac:dyDescent="0.35">
      <c r="B16" s="4" t="s">
        <v>313</v>
      </c>
      <c r="C16" s="14"/>
    </row>
    <row r="18" spans="2:6" ht="18.5" x14ac:dyDescent="0.45">
      <c r="B18" s="5" t="s">
        <v>1196</v>
      </c>
      <c r="C18" s="5"/>
      <c r="D18" s="5"/>
      <c r="E18" s="5"/>
      <c r="F18" s="5"/>
    </row>
    <row r="20" spans="2:6" x14ac:dyDescent="0.35">
      <c r="B20" s="6" t="s">
        <v>1197</v>
      </c>
      <c r="C20" s="6"/>
      <c r="D20" s="6"/>
    </row>
    <row r="21" spans="2:6" x14ac:dyDescent="0.35">
      <c r="B21" s="7" t="str">
        <f>HYPERLINK("#'📖 GUIDE'!A1","📖 Guide")</f>
        <v>📖 Guide</v>
      </c>
      <c r="C21" s="7" t="str">
        <f>HYPERLINK("#'Plan Comptable'!A1","📋 Plan Comptable")</f>
        <v>📋 Plan Comptable</v>
      </c>
      <c r="D21" s="7" t="str">
        <f>HYPERLINK("#'CODES'!A1","🏷️ Codes")</f>
        <v>🏷️ Codes</v>
      </c>
    </row>
    <row r="23" spans="2:6" x14ac:dyDescent="0.35">
      <c r="B23" s="8" t="s">
        <v>1198</v>
      </c>
      <c r="C23" s="8"/>
      <c r="D23" s="8"/>
    </row>
    <row r="24" spans="2:6" x14ac:dyDescent="0.35">
      <c r="B24" s="7" t="str">
        <f>HYPERLINK("#'Saisie Rapide'!A1","⚡ Saisie Rapide")</f>
        <v>⚡ Saisie Rapide</v>
      </c>
      <c r="C24" s="7" t="str">
        <f>HYPERLINK("#'Journal'!A1","📓 Journal")</f>
        <v>📓 Journal</v>
      </c>
      <c r="D24" s="7" t="str">
        <f>HYPERLINK("#'Grand Livre'!A1","📚 Grand Livre")</f>
        <v>📚 Grand Livre</v>
      </c>
    </row>
    <row r="25" spans="2:6" x14ac:dyDescent="0.35">
      <c r="B25" s="7" t="str">
        <f>HYPERLINK("#'Balance Générale'!A1","⚖️ Balance")</f>
        <v>⚖️ Balance</v>
      </c>
      <c r="C25" s="7" t="str">
        <f>HYPERLINK("#'Balance N-1'!A1","📊 Balance N-1")</f>
        <v>📊 Balance N-1</v>
      </c>
      <c r="D25" s="7" t="str">
        <f>HYPERLINK("#'Rapprochement Bancaire'!A1","🏦 Rapprochement")</f>
        <v>🏦 Rapprochement</v>
      </c>
    </row>
    <row r="27" spans="2:6" x14ac:dyDescent="0.35">
      <c r="B27" s="9" t="s">
        <v>981</v>
      </c>
      <c r="C27" s="9"/>
      <c r="D27" s="9"/>
    </row>
    <row r="28" spans="2:6" x14ac:dyDescent="0.35">
      <c r="B28" s="7" t="str">
        <f>HYPERLINK("#'Contrôles'!A1","✅ Contrôles")</f>
        <v>✅ Contrôles</v>
      </c>
      <c r="C28" s="7" t="str">
        <f>HYPERLINK("#'Audit Journal'!A1","🔎 Audit Journal")</f>
        <v>🔎 Audit Journal</v>
      </c>
      <c r="D28" s="7" t="str">
        <f>HYPERLINK("#'Dashboard'!A1","📊 Dashboard")</f>
        <v>📊 Dashboard</v>
      </c>
    </row>
    <row r="29" spans="2:6" x14ac:dyDescent="0.35">
      <c r="B29" s="7" t="str">
        <f>HYPERLINK("#'Rapport Mensuel'!A1","📈 Rapport Mensuel")</f>
        <v>📈 Rapport Mensuel</v>
      </c>
      <c r="C29" s="10"/>
      <c r="D29" s="10"/>
    </row>
    <row r="31" spans="2:6" x14ac:dyDescent="0.35">
      <c r="B31" s="11" t="s">
        <v>1199</v>
      </c>
      <c r="C31" s="11"/>
      <c r="D31" s="11"/>
    </row>
    <row r="32" spans="2:6" x14ac:dyDescent="0.35">
      <c r="B32" s="7" t="str">
        <f>HYPERLINK("#'ACTIF'!A1","📗 ACTIF")</f>
        <v>📗 ACTIF</v>
      </c>
      <c r="C32" s="7" t="str">
        <f>HYPERLINK("#'PASSIF'!A1","📕 PASSIF")</f>
        <v>📕 PASSIF</v>
      </c>
      <c r="D32" s="7" t="str">
        <f>HYPERLINK("#'Compte de Résultat'!A1","📙 Compte de Résultat")</f>
        <v>📙 Compte de Résultat</v>
      </c>
    </row>
    <row r="33" spans="2:4" x14ac:dyDescent="0.35">
      <c r="B33" s="7" t="str">
        <f>HYPERLINK("#'TFT'!A1","💰 TFT")</f>
        <v>💰 TFT</v>
      </c>
      <c r="C33" s="7" t="str">
        <f>HYPERLINK("#'TAFIRE'!A1","📊 TAFIRE")</f>
        <v>📊 TAFIRE</v>
      </c>
      <c r="D33" s="10"/>
    </row>
    <row r="35" spans="2:4" x14ac:dyDescent="0.35">
      <c r="B35" s="12" t="s">
        <v>1200</v>
      </c>
      <c r="C35" s="12"/>
      <c r="D35" s="12"/>
    </row>
    <row r="36" spans="2:4" x14ac:dyDescent="0.35">
      <c r="B36" s="7" t="str">
        <f>HYPERLINK("#'FICHE R1'!A1","📄 Fiches R1-R4")</f>
        <v>📄 Fiches R1-R4</v>
      </c>
      <c r="C36" s="7" t="str">
        <f>HYPERLINK("#'Note 1'!A1","📝 Notes 1-36")</f>
        <v>📝 Notes 1-36</v>
      </c>
      <c r="D36" s="7" t="str">
        <f>HYPERLINK("#'Mapping'!A1","🗺️ Mapping")</f>
        <v>🗺️ Mapping</v>
      </c>
    </row>
    <row r="38" spans="2:4" x14ac:dyDescent="0.35">
      <c r="B38" s="13" t="s">
        <v>1202</v>
      </c>
    </row>
  </sheetData>
  <sheetProtection sheet="1" objects="1" scenarios="1" sort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C0400-8C74-4520-9EB6-8349801DDC36}">
  <dimension ref="A1:H50"/>
  <sheetViews>
    <sheetView showGridLines="0" workbookViewId="0"/>
  </sheetViews>
  <sheetFormatPr baseColWidth="10" defaultRowHeight="14.5" x14ac:dyDescent="0.35"/>
  <cols>
    <col min="1" max="1" width="7.7265625" bestFit="1" customWidth="1"/>
    <col min="2" max="2" width="78.54296875" bestFit="1" customWidth="1"/>
    <col min="3" max="3" width="38.26953125" bestFit="1" customWidth="1"/>
    <col min="4" max="4" width="68" bestFit="1" customWidth="1"/>
    <col min="6" max="6" width="33.54296875" bestFit="1" customWidth="1"/>
    <col min="7" max="7" width="17.54296875" bestFit="1" customWidth="1"/>
    <col min="8" max="8" width="18.54296875" bestFit="1" customWidth="1"/>
  </cols>
  <sheetData>
    <row r="1" spans="1:8" x14ac:dyDescent="0.35">
      <c r="A1" s="15" t="str">
        <f>HYPERLINK("#'PAGE DE GARDE'!A1","⬅ Menu")</f>
        <v>⬅ Menu</v>
      </c>
    </row>
    <row r="2" spans="1:8" ht="23.5" x14ac:dyDescent="0.55000000000000004">
      <c r="B2" s="16" t="s">
        <v>1100</v>
      </c>
      <c r="C2" s="16"/>
      <c r="D2" s="16"/>
      <c r="E2" s="16"/>
      <c r="F2" s="16"/>
      <c r="G2" s="16"/>
      <c r="H2" s="16"/>
    </row>
    <row r="3" spans="1:8" x14ac:dyDescent="0.35">
      <c r="B3" s="17" t="s">
        <v>1101</v>
      </c>
      <c r="C3" s="17"/>
      <c r="D3" s="17"/>
      <c r="E3" s="17"/>
      <c r="F3" s="17"/>
      <c r="G3" s="17"/>
      <c r="H3" s="17"/>
    </row>
    <row r="5" spans="1:8" ht="18.5" x14ac:dyDescent="0.45">
      <c r="B5" s="18" t="s">
        <v>1102</v>
      </c>
      <c r="C5" s="18"/>
      <c r="D5" s="18"/>
      <c r="E5" s="18"/>
      <c r="F5" s="18"/>
      <c r="G5" s="18"/>
      <c r="H5" s="18"/>
    </row>
    <row r="7" spans="1:8" ht="18.5" x14ac:dyDescent="0.45">
      <c r="B7" s="19" t="s">
        <v>1103</v>
      </c>
      <c r="C7" s="4" t="s">
        <v>1104</v>
      </c>
      <c r="D7" s="20" t="s">
        <v>1105</v>
      </c>
    </row>
    <row r="8" spans="1:8" ht="18.5" x14ac:dyDescent="0.45">
      <c r="B8" s="19" t="s">
        <v>1106</v>
      </c>
      <c r="C8" s="4" t="s">
        <v>1107</v>
      </c>
      <c r="D8" s="20" t="s">
        <v>1108</v>
      </c>
    </row>
    <row r="9" spans="1:8" ht="18.5" x14ac:dyDescent="0.45">
      <c r="B9" s="19" t="s">
        <v>1109</v>
      </c>
      <c r="C9" s="4" t="s">
        <v>1110</v>
      </c>
      <c r="D9" s="20" t="s">
        <v>1111</v>
      </c>
    </row>
    <row r="11" spans="1:8" ht="18.5" x14ac:dyDescent="0.45">
      <c r="B11" s="21" t="s">
        <v>1112</v>
      </c>
      <c r="C11" s="18"/>
      <c r="D11" s="18"/>
      <c r="E11" s="18"/>
      <c r="F11" s="18"/>
      <c r="G11" s="18"/>
      <c r="H11" s="18"/>
    </row>
    <row r="13" spans="1:8" ht="18.5" x14ac:dyDescent="0.45">
      <c r="B13" s="19" t="s">
        <v>1103</v>
      </c>
      <c r="C13" s="4" t="s">
        <v>1113</v>
      </c>
      <c r="D13" s="20" t="s">
        <v>1114</v>
      </c>
    </row>
    <row r="14" spans="1:8" ht="18.5" x14ac:dyDescent="0.45">
      <c r="B14" s="19" t="s">
        <v>1106</v>
      </c>
      <c r="C14" s="4" t="s">
        <v>1115</v>
      </c>
      <c r="D14" s="20" t="s">
        <v>1116</v>
      </c>
    </row>
    <row r="15" spans="1:8" ht="18.5" x14ac:dyDescent="0.45">
      <c r="B15" s="19" t="s">
        <v>1109</v>
      </c>
      <c r="C15" s="4" t="s">
        <v>1117</v>
      </c>
      <c r="D15" s="20" t="s">
        <v>1118</v>
      </c>
    </row>
    <row r="16" spans="1:8" ht="18.5" x14ac:dyDescent="0.45">
      <c r="B16" s="19" t="s">
        <v>1119</v>
      </c>
      <c r="C16" s="4" t="s">
        <v>1120</v>
      </c>
      <c r="D16" s="20" t="s">
        <v>1121</v>
      </c>
    </row>
    <row r="17" spans="2:8" ht="18.5" x14ac:dyDescent="0.45">
      <c r="B17" s="19" t="s">
        <v>1122</v>
      </c>
      <c r="C17" s="4" t="s">
        <v>1123</v>
      </c>
      <c r="D17" s="20" t="s">
        <v>1124</v>
      </c>
    </row>
    <row r="19" spans="2:8" ht="18.5" x14ac:dyDescent="0.45">
      <c r="B19" s="21" t="s">
        <v>1125</v>
      </c>
      <c r="C19" s="18"/>
      <c r="D19" s="18"/>
      <c r="E19" s="18"/>
      <c r="F19" s="18"/>
      <c r="G19" s="18"/>
      <c r="H19" s="18"/>
    </row>
    <row r="21" spans="2:8" ht="18.5" x14ac:dyDescent="0.45">
      <c r="B21" s="19" t="s">
        <v>1103</v>
      </c>
      <c r="C21" s="4" t="s">
        <v>1126</v>
      </c>
      <c r="D21" s="20" t="s">
        <v>1127</v>
      </c>
    </row>
    <row r="22" spans="2:8" ht="18.5" x14ac:dyDescent="0.45">
      <c r="B22" s="19" t="s">
        <v>1106</v>
      </c>
      <c r="C22" s="4" t="s">
        <v>1128</v>
      </c>
      <c r="D22" s="20" t="s">
        <v>1129</v>
      </c>
    </row>
    <row r="23" spans="2:8" ht="18.5" x14ac:dyDescent="0.45">
      <c r="B23" s="19" t="s">
        <v>1109</v>
      </c>
      <c r="C23" s="4" t="s">
        <v>1130</v>
      </c>
      <c r="D23" s="20" t="s">
        <v>1131</v>
      </c>
    </row>
    <row r="24" spans="2:8" ht="18.5" x14ac:dyDescent="0.45">
      <c r="B24" s="19" t="s">
        <v>1119</v>
      </c>
      <c r="C24" s="4" t="s">
        <v>1132</v>
      </c>
      <c r="D24" s="20" t="s">
        <v>1133</v>
      </c>
    </row>
    <row r="26" spans="2:8" ht="18.5" x14ac:dyDescent="0.45">
      <c r="B26" s="21" t="s">
        <v>1134</v>
      </c>
      <c r="C26" s="18"/>
      <c r="D26" s="18"/>
      <c r="E26" s="18"/>
      <c r="F26" s="18"/>
      <c r="G26" s="18"/>
      <c r="H26" s="18"/>
    </row>
    <row r="28" spans="2:8" ht="18.5" x14ac:dyDescent="0.45">
      <c r="B28" s="19" t="s">
        <v>1103</v>
      </c>
      <c r="C28" s="4" t="s">
        <v>1135</v>
      </c>
      <c r="D28" s="20" t="s">
        <v>1136</v>
      </c>
    </row>
    <row r="29" spans="2:8" ht="18.5" x14ac:dyDescent="0.45">
      <c r="B29" s="19" t="s">
        <v>1106</v>
      </c>
      <c r="C29" s="4" t="s">
        <v>1137</v>
      </c>
      <c r="D29" s="20" t="s">
        <v>1138</v>
      </c>
    </row>
    <row r="30" spans="2:8" ht="18.5" x14ac:dyDescent="0.45">
      <c r="B30" s="19" t="s">
        <v>1109</v>
      </c>
      <c r="C30" s="4" t="s">
        <v>1139</v>
      </c>
      <c r="D30" s="20" t="s">
        <v>1140</v>
      </c>
    </row>
    <row r="31" spans="2:8" ht="18.5" x14ac:dyDescent="0.45">
      <c r="B31" s="19" t="s">
        <v>1119</v>
      </c>
      <c r="C31" s="4" t="s">
        <v>1141</v>
      </c>
      <c r="D31" s="20" t="s">
        <v>1142</v>
      </c>
    </row>
    <row r="32" spans="2:8" ht="18.5" x14ac:dyDescent="0.45">
      <c r="B32" s="19" t="s">
        <v>1122</v>
      </c>
      <c r="C32" s="4" t="s">
        <v>1143</v>
      </c>
      <c r="D32" s="20" t="s">
        <v>1144</v>
      </c>
    </row>
    <row r="33" spans="2:8" ht="18.5" x14ac:dyDescent="0.45">
      <c r="B33" s="19" t="s">
        <v>1145</v>
      </c>
      <c r="C33" s="4" t="s">
        <v>1146</v>
      </c>
      <c r="D33" s="20" t="s">
        <v>1147</v>
      </c>
    </row>
    <row r="35" spans="2:8" ht="16" x14ac:dyDescent="0.4">
      <c r="B35" s="22" t="s">
        <v>1148</v>
      </c>
      <c r="C35" s="23"/>
      <c r="D35" s="23"/>
      <c r="F35" s="23" t="s">
        <v>1160</v>
      </c>
      <c r="G35" s="23"/>
      <c r="H35" s="23"/>
    </row>
    <row r="37" spans="2:8" x14ac:dyDescent="0.35">
      <c r="B37" s="24" t="s">
        <v>659</v>
      </c>
      <c r="C37" s="24" t="s">
        <v>964</v>
      </c>
      <c r="D37" s="24" t="s">
        <v>1149</v>
      </c>
      <c r="F37" s="24" t="s">
        <v>734</v>
      </c>
      <c r="G37" s="24" t="s">
        <v>1161</v>
      </c>
      <c r="H37" s="24" t="s">
        <v>1162</v>
      </c>
    </row>
    <row r="38" spans="2:8" x14ac:dyDescent="0.35">
      <c r="B38" s="25" t="s">
        <v>347</v>
      </c>
      <c r="C38" s="26" t="s">
        <v>793</v>
      </c>
      <c r="D38" s="26" t="s">
        <v>1150</v>
      </c>
      <c r="F38" s="27" t="s">
        <v>1163</v>
      </c>
      <c r="G38" s="26" t="s">
        <v>1164</v>
      </c>
      <c r="H38" s="26" t="s">
        <v>1165</v>
      </c>
    </row>
    <row r="39" spans="2:8" x14ac:dyDescent="0.35">
      <c r="B39" s="25" t="s">
        <v>795</v>
      </c>
      <c r="C39" s="26" t="s">
        <v>796</v>
      </c>
      <c r="D39" s="26" t="s">
        <v>1151</v>
      </c>
      <c r="F39" s="28" t="s">
        <v>1166</v>
      </c>
      <c r="G39" s="26" t="s">
        <v>1167</v>
      </c>
      <c r="H39" s="26" t="s">
        <v>1168</v>
      </c>
    </row>
    <row r="40" spans="2:8" x14ac:dyDescent="0.35">
      <c r="B40" s="25" t="s">
        <v>406</v>
      </c>
      <c r="C40" s="26" t="s">
        <v>798</v>
      </c>
      <c r="D40" s="26" t="s">
        <v>1152</v>
      </c>
      <c r="F40" s="28" t="s">
        <v>1169</v>
      </c>
      <c r="G40" s="26" t="s">
        <v>1170</v>
      </c>
      <c r="H40" s="26" t="s">
        <v>1171</v>
      </c>
    </row>
    <row r="41" spans="2:8" x14ac:dyDescent="0.35">
      <c r="B41" s="25" t="s">
        <v>420</v>
      </c>
      <c r="C41" s="26" t="s">
        <v>800</v>
      </c>
      <c r="D41" s="26" t="s">
        <v>1153</v>
      </c>
      <c r="F41" s="28" t="s">
        <v>1172</v>
      </c>
      <c r="G41" s="26" t="s">
        <v>1173</v>
      </c>
      <c r="H41" s="26" t="s">
        <v>1174</v>
      </c>
    </row>
    <row r="42" spans="2:8" x14ac:dyDescent="0.35">
      <c r="B42" s="25" t="s">
        <v>802</v>
      </c>
      <c r="C42" s="26" t="s">
        <v>803</v>
      </c>
      <c r="D42" s="26" t="s">
        <v>1154</v>
      </c>
      <c r="F42" s="28" t="s">
        <v>1175</v>
      </c>
      <c r="G42" s="26" t="s">
        <v>1176</v>
      </c>
      <c r="H42" s="26" t="s">
        <v>1177</v>
      </c>
    </row>
    <row r="43" spans="2:8" x14ac:dyDescent="0.35">
      <c r="B43" s="25" t="s">
        <v>368</v>
      </c>
      <c r="C43" s="26" t="s">
        <v>805</v>
      </c>
      <c r="D43" s="26" t="s">
        <v>1155</v>
      </c>
    </row>
    <row r="44" spans="2:8" x14ac:dyDescent="0.35">
      <c r="B44" s="25" t="s">
        <v>807</v>
      </c>
      <c r="C44" s="26" t="s">
        <v>808</v>
      </c>
      <c r="D44" s="26" t="s">
        <v>1156</v>
      </c>
    </row>
    <row r="45" spans="2:8" x14ac:dyDescent="0.35">
      <c r="B45" s="25" t="s">
        <v>810</v>
      </c>
      <c r="C45" s="26" t="s">
        <v>811</v>
      </c>
      <c r="D45" s="26" t="s">
        <v>1157</v>
      </c>
    </row>
    <row r="46" spans="2:8" x14ac:dyDescent="0.35">
      <c r="B46" s="25" t="s">
        <v>813</v>
      </c>
      <c r="C46" s="26" t="s">
        <v>814</v>
      </c>
      <c r="D46" s="26" t="s">
        <v>1158</v>
      </c>
    </row>
    <row r="47" spans="2:8" x14ac:dyDescent="0.35">
      <c r="B47" s="25" t="s">
        <v>442</v>
      </c>
      <c r="C47" s="26" t="s">
        <v>816</v>
      </c>
      <c r="D47" s="26" t="s">
        <v>1159</v>
      </c>
    </row>
    <row r="49" spans="2:8" x14ac:dyDescent="0.35">
      <c r="B49" s="29" t="s">
        <v>1178</v>
      </c>
      <c r="C49" s="30"/>
      <c r="D49" s="30"/>
      <c r="E49" s="30"/>
      <c r="F49" s="30"/>
      <c r="G49" s="30"/>
      <c r="H49" s="30"/>
    </row>
    <row r="50" spans="2:8" x14ac:dyDescent="0.35">
      <c r="B50" s="29" t="s">
        <v>1179</v>
      </c>
      <c r="C50" s="30"/>
      <c r="D50" s="30"/>
      <c r="E50" s="30"/>
      <c r="F50" s="30"/>
      <c r="G50" s="30"/>
      <c r="H50" s="30"/>
    </row>
  </sheetData>
  <sheetProtection sheet="1" objects="1" scenarios="1"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8791D-0E88-4D6B-A3BE-EDBC3ED7B6BE}">
  <sheetPr codeName="Feuil5"/>
  <dimension ref="A1:F281"/>
  <sheetViews>
    <sheetView showGridLines="0" workbookViewId="0"/>
  </sheetViews>
  <sheetFormatPr baseColWidth="10" defaultRowHeight="14.5" x14ac:dyDescent="0.35"/>
  <cols>
    <col min="2" max="2" width="43.7265625" bestFit="1" customWidth="1"/>
    <col min="3" max="3" width="46.453125" bestFit="1" customWidth="1"/>
    <col min="4" max="4" width="7.1796875" bestFit="1" customWidth="1"/>
    <col min="5" max="5" width="5.453125" bestFit="1" customWidth="1"/>
    <col min="6" max="6" width="7.7265625" bestFit="1" customWidth="1"/>
  </cols>
  <sheetData>
    <row r="1" spans="1:6" x14ac:dyDescent="0.35">
      <c r="A1" s="15" t="str">
        <f>HYPERLINK("#'PAGE DE GARDE'!A1","⬅ Menu")</f>
        <v>⬅ Menu</v>
      </c>
    </row>
    <row r="2" spans="1:6" ht="18.5" x14ac:dyDescent="0.45">
      <c r="B2" s="18" t="s">
        <v>0</v>
      </c>
      <c r="C2" s="18"/>
      <c r="D2" s="18"/>
      <c r="E2" s="18"/>
      <c r="F2" s="18"/>
    </row>
    <row r="4" spans="1:6" x14ac:dyDescent="0.35">
      <c r="B4" s="31" t="s">
        <v>1</v>
      </c>
      <c r="C4" s="31" t="s">
        <v>2</v>
      </c>
      <c r="D4" s="31" t="s">
        <v>3</v>
      </c>
      <c r="E4" s="31" t="s">
        <v>4</v>
      </c>
      <c r="F4" s="31" t="s">
        <v>5</v>
      </c>
    </row>
    <row r="5" spans="1:6" x14ac:dyDescent="0.35">
      <c r="B5" s="32">
        <v>1011</v>
      </c>
      <c r="C5" t="s">
        <v>6</v>
      </c>
      <c r="D5" s="32">
        <v>1</v>
      </c>
      <c r="E5" s="32" t="s">
        <v>7</v>
      </c>
      <c r="F5" t="s">
        <v>8</v>
      </c>
    </row>
    <row r="6" spans="1:6" x14ac:dyDescent="0.35">
      <c r="B6" s="32">
        <v>1012</v>
      </c>
      <c r="C6" t="s">
        <v>9</v>
      </c>
      <c r="D6" s="32">
        <v>1</v>
      </c>
      <c r="E6" s="32" t="s">
        <v>7</v>
      </c>
      <c r="F6" t="s">
        <v>8</v>
      </c>
    </row>
    <row r="7" spans="1:6" x14ac:dyDescent="0.35">
      <c r="B7" s="32">
        <v>1020</v>
      </c>
      <c r="C7" t="s">
        <v>10</v>
      </c>
      <c r="D7" s="32">
        <v>1</v>
      </c>
      <c r="E7" s="32" t="s">
        <v>7</v>
      </c>
      <c r="F7" t="s">
        <v>8</v>
      </c>
    </row>
    <row r="8" spans="1:6" x14ac:dyDescent="0.35">
      <c r="B8" s="32">
        <v>1041</v>
      </c>
      <c r="C8" t="s">
        <v>11</v>
      </c>
      <c r="D8" s="32">
        <v>1</v>
      </c>
      <c r="E8" s="32" t="s">
        <v>7</v>
      </c>
      <c r="F8" t="s">
        <v>8</v>
      </c>
    </row>
    <row r="9" spans="1:6" x14ac:dyDescent="0.35">
      <c r="B9" s="32">
        <v>1042</v>
      </c>
      <c r="C9" t="s">
        <v>12</v>
      </c>
      <c r="D9" s="32">
        <v>1</v>
      </c>
      <c r="E9" s="32" t="s">
        <v>7</v>
      </c>
      <c r="F9" t="s">
        <v>8</v>
      </c>
    </row>
    <row r="10" spans="1:6" x14ac:dyDescent="0.35">
      <c r="B10" s="32">
        <v>1043</v>
      </c>
      <c r="C10" t="s">
        <v>13</v>
      </c>
      <c r="D10" s="32">
        <v>1</v>
      </c>
      <c r="E10" s="32" t="s">
        <v>7</v>
      </c>
      <c r="F10" t="s">
        <v>8</v>
      </c>
    </row>
    <row r="11" spans="1:6" x14ac:dyDescent="0.35">
      <c r="B11" s="32">
        <v>1051</v>
      </c>
      <c r="C11" t="s">
        <v>14</v>
      </c>
      <c r="D11" s="32">
        <v>1</v>
      </c>
      <c r="E11" s="32" t="s">
        <v>7</v>
      </c>
      <c r="F11" t="s">
        <v>8</v>
      </c>
    </row>
    <row r="12" spans="1:6" x14ac:dyDescent="0.35">
      <c r="B12" s="32">
        <v>1052</v>
      </c>
      <c r="C12" t="s">
        <v>15</v>
      </c>
      <c r="D12" s="32">
        <v>1</v>
      </c>
      <c r="E12" s="32" t="s">
        <v>7</v>
      </c>
      <c r="F12" t="s">
        <v>8</v>
      </c>
    </row>
    <row r="13" spans="1:6" x14ac:dyDescent="0.35">
      <c r="B13" s="32">
        <v>1061</v>
      </c>
      <c r="C13" t="s">
        <v>16</v>
      </c>
      <c r="D13" s="32">
        <v>1</v>
      </c>
      <c r="E13" s="32" t="s">
        <v>7</v>
      </c>
      <c r="F13" t="s">
        <v>8</v>
      </c>
    </row>
    <row r="14" spans="1:6" x14ac:dyDescent="0.35">
      <c r="B14" s="32">
        <v>1062</v>
      </c>
      <c r="C14" t="s">
        <v>17</v>
      </c>
      <c r="D14" s="32">
        <v>1</v>
      </c>
      <c r="E14" s="32" t="s">
        <v>7</v>
      </c>
      <c r="F14" t="s">
        <v>8</v>
      </c>
    </row>
    <row r="15" spans="1:6" x14ac:dyDescent="0.35">
      <c r="B15" s="32">
        <v>1063</v>
      </c>
      <c r="C15" t="s">
        <v>18</v>
      </c>
      <c r="D15" s="32">
        <v>1</v>
      </c>
      <c r="E15" s="32" t="s">
        <v>7</v>
      </c>
      <c r="F15" t="s">
        <v>8</v>
      </c>
    </row>
    <row r="16" spans="1:6" x14ac:dyDescent="0.35">
      <c r="B16" s="32">
        <v>1064</v>
      </c>
      <c r="C16" t="s">
        <v>19</v>
      </c>
      <c r="D16" s="32">
        <v>1</v>
      </c>
      <c r="E16" s="32" t="s">
        <v>7</v>
      </c>
      <c r="F16" t="s">
        <v>8</v>
      </c>
    </row>
    <row r="17" spans="2:6" x14ac:dyDescent="0.35">
      <c r="B17" s="32">
        <v>1101</v>
      </c>
      <c r="C17" t="s">
        <v>20</v>
      </c>
      <c r="D17" s="32">
        <v>1</v>
      </c>
      <c r="E17" s="32" t="s">
        <v>7</v>
      </c>
      <c r="F17" t="s">
        <v>8</v>
      </c>
    </row>
    <row r="18" spans="2:6" x14ac:dyDescent="0.35">
      <c r="B18" s="32">
        <v>1109</v>
      </c>
      <c r="C18" t="s">
        <v>21</v>
      </c>
      <c r="D18" s="32">
        <v>1</v>
      </c>
      <c r="E18" s="32" t="s">
        <v>22</v>
      </c>
      <c r="F18" t="s">
        <v>8</v>
      </c>
    </row>
    <row r="19" spans="2:6" x14ac:dyDescent="0.35">
      <c r="B19" s="32">
        <v>1201</v>
      </c>
      <c r="C19" t="s">
        <v>23</v>
      </c>
      <c r="D19" s="32">
        <v>1</v>
      </c>
      <c r="E19" s="32" t="s">
        <v>7</v>
      </c>
      <c r="F19" t="s">
        <v>8</v>
      </c>
    </row>
    <row r="20" spans="2:6" x14ac:dyDescent="0.35">
      <c r="B20" s="32">
        <v>1209</v>
      </c>
      <c r="C20" t="s">
        <v>24</v>
      </c>
      <c r="D20" s="32">
        <v>1</v>
      </c>
      <c r="E20" s="32" t="s">
        <v>22</v>
      </c>
      <c r="F20" t="s">
        <v>8</v>
      </c>
    </row>
    <row r="21" spans="2:6" x14ac:dyDescent="0.35">
      <c r="B21" s="32">
        <v>1301</v>
      </c>
      <c r="C21" t="s">
        <v>25</v>
      </c>
      <c r="D21" s="32">
        <v>1</v>
      </c>
      <c r="E21" s="32" t="s">
        <v>7</v>
      </c>
      <c r="F21" t="s">
        <v>8</v>
      </c>
    </row>
    <row r="22" spans="2:6" x14ac:dyDescent="0.35">
      <c r="B22" s="32">
        <v>1381</v>
      </c>
      <c r="C22" t="s">
        <v>26</v>
      </c>
      <c r="D22" s="32">
        <v>1</v>
      </c>
      <c r="E22" s="32" t="s">
        <v>7</v>
      </c>
      <c r="F22" t="s">
        <v>8</v>
      </c>
    </row>
    <row r="23" spans="2:6" x14ac:dyDescent="0.35">
      <c r="B23" s="32">
        <v>1391</v>
      </c>
      <c r="C23" t="s">
        <v>27</v>
      </c>
      <c r="D23" s="32">
        <v>1</v>
      </c>
      <c r="E23" s="32" t="s">
        <v>22</v>
      </c>
      <c r="F23" t="s">
        <v>8</v>
      </c>
    </row>
    <row r="24" spans="2:6" x14ac:dyDescent="0.35">
      <c r="B24" s="32">
        <v>1410</v>
      </c>
      <c r="C24" t="s">
        <v>28</v>
      </c>
      <c r="D24" s="32">
        <v>1</v>
      </c>
      <c r="E24" s="32" t="s">
        <v>7</v>
      </c>
      <c r="F24" t="s">
        <v>8</v>
      </c>
    </row>
    <row r="25" spans="2:6" x14ac:dyDescent="0.35">
      <c r="B25" s="32">
        <v>1420</v>
      </c>
      <c r="C25" t="s">
        <v>29</v>
      </c>
      <c r="D25" s="32">
        <v>1</v>
      </c>
      <c r="E25" s="32" t="s">
        <v>7</v>
      </c>
      <c r="F25" t="s">
        <v>8</v>
      </c>
    </row>
    <row r="26" spans="2:6" x14ac:dyDescent="0.35">
      <c r="B26" s="32">
        <v>1430</v>
      </c>
      <c r="C26" t="s">
        <v>30</v>
      </c>
      <c r="D26" s="32">
        <v>1</v>
      </c>
      <c r="E26" s="32" t="s">
        <v>7</v>
      </c>
      <c r="F26" t="s">
        <v>8</v>
      </c>
    </row>
    <row r="27" spans="2:6" x14ac:dyDescent="0.35">
      <c r="B27" s="32">
        <v>1461</v>
      </c>
      <c r="C27" t="s">
        <v>31</v>
      </c>
      <c r="D27" s="32">
        <v>1</v>
      </c>
      <c r="E27" s="32" t="s">
        <v>7</v>
      </c>
      <c r="F27" t="s">
        <v>8</v>
      </c>
    </row>
    <row r="28" spans="2:6" x14ac:dyDescent="0.35">
      <c r="B28" s="32">
        <v>1481</v>
      </c>
      <c r="C28" t="s">
        <v>32</v>
      </c>
      <c r="D28" s="32">
        <v>1</v>
      </c>
      <c r="E28" s="32" t="s">
        <v>7</v>
      </c>
      <c r="F28" t="s">
        <v>8</v>
      </c>
    </row>
    <row r="29" spans="2:6" x14ac:dyDescent="0.35">
      <c r="B29" s="32">
        <v>1485</v>
      </c>
      <c r="C29" t="s">
        <v>33</v>
      </c>
      <c r="D29" s="32">
        <v>1</v>
      </c>
      <c r="E29" s="32" t="s">
        <v>7</v>
      </c>
      <c r="F29" t="s">
        <v>8</v>
      </c>
    </row>
    <row r="30" spans="2:6" x14ac:dyDescent="0.35">
      <c r="B30" s="32">
        <v>1511</v>
      </c>
      <c r="C30" t="s">
        <v>34</v>
      </c>
      <c r="D30" s="32">
        <v>1</v>
      </c>
      <c r="E30" s="32" t="s">
        <v>7</v>
      </c>
      <c r="F30" t="s">
        <v>8</v>
      </c>
    </row>
    <row r="31" spans="2:6" x14ac:dyDescent="0.35">
      <c r="B31" s="32">
        <v>1512</v>
      </c>
      <c r="C31" t="s">
        <v>35</v>
      </c>
      <c r="D31" s="32">
        <v>1</v>
      </c>
      <c r="E31" s="32" t="s">
        <v>7</v>
      </c>
      <c r="F31" t="s">
        <v>8</v>
      </c>
    </row>
    <row r="32" spans="2:6" x14ac:dyDescent="0.35">
      <c r="B32" s="32">
        <v>1514</v>
      </c>
      <c r="C32" t="s">
        <v>36</v>
      </c>
      <c r="D32" s="32">
        <v>1</v>
      </c>
      <c r="E32" s="32" t="s">
        <v>7</v>
      </c>
      <c r="F32" t="s">
        <v>8</v>
      </c>
    </row>
    <row r="33" spans="2:6" x14ac:dyDescent="0.35">
      <c r="B33" s="32">
        <v>1515</v>
      </c>
      <c r="C33" t="s">
        <v>37</v>
      </c>
      <c r="D33" s="32">
        <v>1</v>
      </c>
      <c r="E33" s="32" t="s">
        <v>7</v>
      </c>
      <c r="F33" t="s">
        <v>8</v>
      </c>
    </row>
    <row r="34" spans="2:6" x14ac:dyDescent="0.35">
      <c r="B34" s="32">
        <v>1516</v>
      </c>
      <c r="C34" t="s">
        <v>38</v>
      </c>
      <c r="D34" s="32">
        <v>1</v>
      </c>
      <c r="E34" s="32" t="s">
        <v>7</v>
      </c>
      <c r="F34" t="s">
        <v>8</v>
      </c>
    </row>
    <row r="35" spans="2:6" x14ac:dyDescent="0.35">
      <c r="B35" s="32">
        <v>1518</v>
      </c>
      <c r="C35" t="s">
        <v>39</v>
      </c>
      <c r="D35" s="32">
        <v>1</v>
      </c>
      <c r="E35" s="32" t="s">
        <v>7</v>
      </c>
      <c r="F35" t="s">
        <v>8</v>
      </c>
    </row>
    <row r="36" spans="2:6" x14ac:dyDescent="0.35">
      <c r="B36" s="32">
        <v>1561</v>
      </c>
      <c r="C36" t="s">
        <v>40</v>
      </c>
      <c r="D36" s="32">
        <v>1</v>
      </c>
      <c r="E36" s="32" t="s">
        <v>7</v>
      </c>
      <c r="F36" t="s">
        <v>8</v>
      </c>
    </row>
    <row r="37" spans="2:6" x14ac:dyDescent="0.35">
      <c r="B37" s="32">
        <v>1571</v>
      </c>
      <c r="C37" t="s">
        <v>41</v>
      </c>
      <c r="D37" s="32">
        <v>1</v>
      </c>
      <c r="E37" s="32" t="s">
        <v>7</v>
      </c>
      <c r="F37" t="s">
        <v>8</v>
      </c>
    </row>
    <row r="38" spans="2:6" x14ac:dyDescent="0.35">
      <c r="B38" s="32">
        <v>1581</v>
      </c>
      <c r="C38" t="s">
        <v>42</v>
      </c>
      <c r="D38" s="32">
        <v>1</v>
      </c>
      <c r="E38" s="32" t="s">
        <v>7</v>
      </c>
      <c r="F38" t="s">
        <v>8</v>
      </c>
    </row>
    <row r="39" spans="2:6" x14ac:dyDescent="0.35">
      <c r="B39" s="32">
        <v>1661</v>
      </c>
      <c r="C39" t="s">
        <v>43</v>
      </c>
      <c r="D39" s="32">
        <v>1</v>
      </c>
      <c r="E39" s="32" t="s">
        <v>7</v>
      </c>
      <c r="F39" t="s">
        <v>8</v>
      </c>
    </row>
    <row r="40" spans="2:6" x14ac:dyDescent="0.35">
      <c r="B40" s="32">
        <v>2011</v>
      </c>
      <c r="C40" t="s">
        <v>44</v>
      </c>
      <c r="D40" s="32">
        <v>2</v>
      </c>
      <c r="E40" s="32" t="s">
        <v>22</v>
      </c>
      <c r="F40" t="s">
        <v>8</v>
      </c>
    </row>
    <row r="41" spans="2:6" x14ac:dyDescent="0.35">
      <c r="B41" s="32">
        <v>2012</v>
      </c>
      <c r="C41" t="s">
        <v>45</v>
      </c>
      <c r="D41" s="32">
        <v>2</v>
      </c>
      <c r="E41" s="32" t="s">
        <v>22</v>
      </c>
      <c r="F41" t="s">
        <v>8</v>
      </c>
    </row>
    <row r="42" spans="2:6" x14ac:dyDescent="0.35">
      <c r="B42" s="32">
        <v>2013</v>
      </c>
      <c r="C42" t="s">
        <v>46</v>
      </c>
      <c r="D42" s="32">
        <v>2</v>
      </c>
      <c r="E42" s="32" t="s">
        <v>22</v>
      </c>
      <c r="F42" t="s">
        <v>8</v>
      </c>
    </row>
    <row r="43" spans="2:6" x14ac:dyDescent="0.35">
      <c r="B43" s="32">
        <v>2015</v>
      </c>
      <c r="C43" t="s">
        <v>47</v>
      </c>
      <c r="D43" s="32">
        <v>2</v>
      </c>
      <c r="E43" s="32" t="s">
        <v>22</v>
      </c>
      <c r="F43" t="s">
        <v>8</v>
      </c>
    </row>
    <row r="44" spans="2:6" x14ac:dyDescent="0.35">
      <c r="B44" s="32">
        <v>2017</v>
      </c>
      <c r="C44" t="s">
        <v>48</v>
      </c>
      <c r="D44" s="32">
        <v>2</v>
      </c>
      <c r="E44" s="32" t="s">
        <v>22</v>
      </c>
      <c r="F44" t="s">
        <v>8</v>
      </c>
    </row>
    <row r="45" spans="2:6" x14ac:dyDescent="0.35">
      <c r="B45" s="32">
        <v>2018</v>
      </c>
      <c r="C45" t="s">
        <v>49</v>
      </c>
      <c r="D45" s="32">
        <v>2</v>
      </c>
      <c r="E45" s="32" t="s">
        <v>22</v>
      </c>
      <c r="F45" t="s">
        <v>8</v>
      </c>
    </row>
    <row r="46" spans="2:6" x14ac:dyDescent="0.35">
      <c r="B46" s="32">
        <v>2021</v>
      </c>
      <c r="C46" t="s">
        <v>50</v>
      </c>
      <c r="D46" s="32">
        <v>2</v>
      </c>
      <c r="E46" s="32" t="s">
        <v>22</v>
      </c>
      <c r="F46" t="s">
        <v>8</v>
      </c>
    </row>
    <row r="47" spans="2:6" x14ac:dyDescent="0.35">
      <c r="B47" s="32">
        <v>2111</v>
      </c>
      <c r="C47" t="s">
        <v>51</v>
      </c>
      <c r="D47" s="32">
        <v>2</v>
      </c>
      <c r="E47" s="32" t="s">
        <v>22</v>
      </c>
      <c r="F47" t="s">
        <v>8</v>
      </c>
    </row>
    <row r="48" spans="2:6" x14ac:dyDescent="0.35">
      <c r="B48" s="32">
        <v>2112</v>
      </c>
      <c r="C48" t="s">
        <v>52</v>
      </c>
      <c r="D48" s="32">
        <v>2</v>
      </c>
      <c r="E48" s="32" t="s">
        <v>22</v>
      </c>
      <c r="F48" t="s">
        <v>8</v>
      </c>
    </row>
    <row r="49" spans="2:6" x14ac:dyDescent="0.35">
      <c r="B49" s="32">
        <v>2113</v>
      </c>
      <c r="C49" t="s">
        <v>53</v>
      </c>
      <c r="D49" s="32">
        <v>2</v>
      </c>
      <c r="E49" s="32" t="s">
        <v>22</v>
      </c>
      <c r="F49" t="s">
        <v>8</v>
      </c>
    </row>
    <row r="50" spans="2:6" x14ac:dyDescent="0.35">
      <c r="B50" s="32">
        <v>2121</v>
      </c>
      <c r="C50" t="s">
        <v>54</v>
      </c>
      <c r="D50" s="32">
        <v>2</v>
      </c>
      <c r="E50" s="32" t="s">
        <v>22</v>
      </c>
      <c r="F50" t="s">
        <v>8</v>
      </c>
    </row>
    <row r="51" spans="2:6" x14ac:dyDescent="0.35">
      <c r="B51" s="32">
        <v>2122</v>
      </c>
      <c r="C51" t="s">
        <v>55</v>
      </c>
      <c r="D51" s="32">
        <v>2</v>
      </c>
      <c r="E51" s="32" t="s">
        <v>22</v>
      </c>
      <c r="F51" t="s">
        <v>8</v>
      </c>
    </row>
    <row r="52" spans="2:6" x14ac:dyDescent="0.35">
      <c r="B52" s="32">
        <v>2131</v>
      </c>
      <c r="C52" t="s">
        <v>56</v>
      </c>
      <c r="D52" s="32">
        <v>2</v>
      </c>
      <c r="E52" s="32" t="s">
        <v>22</v>
      </c>
      <c r="F52" t="s">
        <v>8</v>
      </c>
    </row>
    <row r="53" spans="2:6" x14ac:dyDescent="0.35">
      <c r="B53" s="32">
        <v>2132</v>
      </c>
      <c r="C53" t="s">
        <v>57</v>
      </c>
      <c r="D53" s="32">
        <v>2</v>
      </c>
      <c r="E53" s="32" t="s">
        <v>22</v>
      </c>
      <c r="F53" t="s">
        <v>8</v>
      </c>
    </row>
    <row r="54" spans="2:6" x14ac:dyDescent="0.35">
      <c r="B54" s="32">
        <v>2140</v>
      </c>
      <c r="C54" t="s">
        <v>58</v>
      </c>
      <c r="D54" s="32">
        <v>2</v>
      </c>
      <c r="E54" s="32" t="s">
        <v>22</v>
      </c>
      <c r="F54" t="s">
        <v>8</v>
      </c>
    </row>
    <row r="55" spans="2:6" x14ac:dyDescent="0.35">
      <c r="B55" s="32">
        <v>2180</v>
      </c>
      <c r="C55" t="s">
        <v>59</v>
      </c>
      <c r="D55" s="32">
        <v>2</v>
      </c>
      <c r="E55" s="32" t="s">
        <v>22</v>
      </c>
      <c r="F55" t="s">
        <v>8</v>
      </c>
    </row>
    <row r="56" spans="2:6" x14ac:dyDescent="0.35">
      <c r="B56" s="32">
        <v>2191</v>
      </c>
      <c r="C56" t="s">
        <v>60</v>
      </c>
      <c r="D56" s="32">
        <v>2</v>
      </c>
      <c r="E56" s="32" t="s">
        <v>22</v>
      </c>
      <c r="F56" t="s">
        <v>8</v>
      </c>
    </row>
    <row r="57" spans="2:6" x14ac:dyDescent="0.35">
      <c r="B57" s="32">
        <v>2193</v>
      </c>
      <c r="C57" t="s">
        <v>61</v>
      </c>
      <c r="D57" s="32">
        <v>2</v>
      </c>
      <c r="E57" s="32" t="s">
        <v>22</v>
      </c>
      <c r="F57" t="s">
        <v>8</v>
      </c>
    </row>
    <row r="58" spans="2:6" x14ac:dyDescent="0.35">
      <c r="B58" s="32">
        <v>2211</v>
      </c>
      <c r="C58" t="s">
        <v>62</v>
      </c>
      <c r="D58" s="32">
        <v>2</v>
      </c>
      <c r="E58" s="32" t="s">
        <v>22</v>
      </c>
      <c r="F58" t="s">
        <v>8</v>
      </c>
    </row>
    <row r="59" spans="2:6" x14ac:dyDescent="0.35">
      <c r="B59" s="32">
        <v>2212</v>
      </c>
      <c r="C59" t="s">
        <v>63</v>
      </c>
      <c r="D59" s="32">
        <v>2</v>
      </c>
      <c r="E59" s="32" t="s">
        <v>22</v>
      </c>
      <c r="F59" t="s">
        <v>8</v>
      </c>
    </row>
    <row r="60" spans="2:6" x14ac:dyDescent="0.35">
      <c r="B60" s="32">
        <v>2213</v>
      </c>
      <c r="C60" t="s">
        <v>64</v>
      </c>
      <c r="D60" s="32">
        <v>2</v>
      </c>
      <c r="E60" s="32" t="s">
        <v>22</v>
      </c>
      <c r="F60" t="s">
        <v>8</v>
      </c>
    </row>
    <row r="61" spans="2:6" x14ac:dyDescent="0.35">
      <c r="B61" s="32">
        <v>2214</v>
      </c>
      <c r="C61" t="s">
        <v>65</v>
      </c>
      <c r="D61" s="32">
        <v>2</v>
      </c>
      <c r="E61" s="32" t="s">
        <v>22</v>
      </c>
      <c r="F61" t="s">
        <v>8</v>
      </c>
    </row>
    <row r="62" spans="2:6" x14ac:dyDescent="0.35">
      <c r="B62" s="32">
        <v>2218</v>
      </c>
      <c r="C62" t="s">
        <v>66</v>
      </c>
      <c r="D62" s="32">
        <v>2</v>
      </c>
      <c r="E62" s="32" t="s">
        <v>22</v>
      </c>
      <c r="F62" t="s">
        <v>8</v>
      </c>
    </row>
    <row r="63" spans="2:6" x14ac:dyDescent="0.35">
      <c r="B63" s="32">
        <v>2220</v>
      </c>
      <c r="C63" t="s">
        <v>67</v>
      </c>
      <c r="D63" s="32">
        <v>2</v>
      </c>
      <c r="E63" s="32" t="s">
        <v>22</v>
      </c>
      <c r="F63" t="s">
        <v>8</v>
      </c>
    </row>
    <row r="64" spans="2:6" x14ac:dyDescent="0.35">
      <c r="B64" s="32">
        <v>2311</v>
      </c>
      <c r="C64" t="s">
        <v>68</v>
      </c>
      <c r="D64" s="32">
        <v>2</v>
      </c>
      <c r="E64" s="32" t="s">
        <v>22</v>
      </c>
      <c r="F64" t="s">
        <v>8</v>
      </c>
    </row>
    <row r="65" spans="2:6" x14ac:dyDescent="0.35">
      <c r="B65" s="32">
        <v>2312</v>
      </c>
      <c r="C65" t="s">
        <v>69</v>
      </c>
      <c r="D65" s="32">
        <v>2</v>
      </c>
      <c r="E65" s="32" t="s">
        <v>22</v>
      </c>
      <c r="F65" t="s">
        <v>8</v>
      </c>
    </row>
    <row r="66" spans="2:6" x14ac:dyDescent="0.35">
      <c r="B66" s="32">
        <v>2313</v>
      </c>
      <c r="C66" t="s">
        <v>70</v>
      </c>
      <c r="D66" s="32">
        <v>2</v>
      </c>
      <c r="E66" s="32" t="s">
        <v>22</v>
      </c>
      <c r="F66" t="s">
        <v>8</v>
      </c>
    </row>
    <row r="67" spans="2:6" x14ac:dyDescent="0.35">
      <c r="B67" s="32">
        <v>2315</v>
      </c>
      <c r="C67" t="s">
        <v>71</v>
      </c>
      <c r="D67" s="32">
        <v>2</v>
      </c>
      <c r="E67" s="32" t="s">
        <v>22</v>
      </c>
      <c r="F67" t="s">
        <v>8</v>
      </c>
    </row>
    <row r="68" spans="2:6" x14ac:dyDescent="0.35">
      <c r="B68" s="32">
        <v>2318</v>
      </c>
      <c r="C68" t="s">
        <v>72</v>
      </c>
      <c r="D68" s="32">
        <v>2</v>
      </c>
      <c r="E68" s="32" t="s">
        <v>22</v>
      </c>
      <c r="F68" t="s">
        <v>8</v>
      </c>
    </row>
    <row r="69" spans="2:6" x14ac:dyDescent="0.35">
      <c r="B69" s="32">
        <v>2321</v>
      </c>
      <c r="C69" t="s">
        <v>73</v>
      </c>
      <c r="D69" s="32">
        <v>2</v>
      </c>
      <c r="E69" s="32" t="s">
        <v>22</v>
      </c>
      <c r="F69" t="s">
        <v>8</v>
      </c>
    </row>
    <row r="70" spans="2:6" x14ac:dyDescent="0.35">
      <c r="B70" s="32">
        <v>2322</v>
      </c>
      <c r="C70" t="s">
        <v>74</v>
      </c>
      <c r="D70" s="32">
        <v>2</v>
      </c>
      <c r="E70" s="32" t="s">
        <v>22</v>
      </c>
      <c r="F70" t="s">
        <v>8</v>
      </c>
    </row>
    <row r="71" spans="2:6" x14ac:dyDescent="0.35">
      <c r="B71" s="32">
        <v>2323</v>
      </c>
      <c r="C71" t="s">
        <v>75</v>
      </c>
      <c r="D71" s="32">
        <v>2</v>
      </c>
      <c r="E71" s="32" t="s">
        <v>22</v>
      </c>
      <c r="F71" t="s">
        <v>8</v>
      </c>
    </row>
    <row r="72" spans="2:6" x14ac:dyDescent="0.35">
      <c r="B72" s="32">
        <v>2330</v>
      </c>
      <c r="C72" t="s">
        <v>76</v>
      </c>
      <c r="D72" s="32">
        <v>2</v>
      </c>
      <c r="E72" s="32" t="s">
        <v>22</v>
      </c>
      <c r="F72" t="s">
        <v>8</v>
      </c>
    </row>
    <row r="73" spans="2:6" x14ac:dyDescent="0.35">
      <c r="B73" s="32">
        <v>2391</v>
      </c>
      <c r="C73" t="s">
        <v>77</v>
      </c>
      <c r="D73" s="32">
        <v>2</v>
      </c>
      <c r="E73" s="32" t="s">
        <v>22</v>
      </c>
      <c r="F73" t="s">
        <v>8</v>
      </c>
    </row>
    <row r="74" spans="2:6" x14ac:dyDescent="0.35">
      <c r="B74" s="32">
        <v>2393</v>
      </c>
      <c r="C74" t="s">
        <v>78</v>
      </c>
      <c r="D74" s="32">
        <v>2</v>
      </c>
      <c r="E74" s="32" t="s">
        <v>22</v>
      </c>
      <c r="F74" t="s">
        <v>8</v>
      </c>
    </row>
    <row r="75" spans="2:6" x14ac:dyDescent="0.35">
      <c r="B75" s="32">
        <v>2411</v>
      </c>
      <c r="C75" t="s">
        <v>79</v>
      </c>
      <c r="D75" s="32">
        <v>2</v>
      </c>
      <c r="E75" s="32" t="s">
        <v>22</v>
      </c>
      <c r="F75" t="s">
        <v>8</v>
      </c>
    </row>
    <row r="76" spans="2:6" x14ac:dyDescent="0.35">
      <c r="B76" s="32">
        <v>2412</v>
      </c>
      <c r="C76" t="s">
        <v>80</v>
      </c>
      <c r="D76" s="32">
        <v>2</v>
      </c>
      <c r="E76" s="32" t="s">
        <v>22</v>
      </c>
      <c r="F76" t="s">
        <v>8</v>
      </c>
    </row>
    <row r="77" spans="2:6" x14ac:dyDescent="0.35">
      <c r="B77" s="32">
        <v>2441</v>
      </c>
      <c r="C77" t="s">
        <v>81</v>
      </c>
      <c r="D77" s="32">
        <v>2</v>
      </c>
      <c r="E77" s="32" t="s">
        <v>22</v>
      </c>
      <c r="F77" t="s">
        <v>8</v>
      </c>
    </row>
    <row r="78" spans="2:6" x14ac:dyDescent="0.35">
      <c r="B78" s="32">
        <v>2442</v>
      </c>
      <c r="C78" t="s">
        <v>82</v>
      </c>
      <c r="D78" s="32">
        <v>2</v>
      </c>
      <c r="E78" s="32" t="s">
        <v>22</v>
      </c>
      <c r="F78" t="s">
        <v>8</v>
      </c>
    </row>
    <row r="79" spans="2:6" x14ac:dyDescent="0.35">
      <c r="B79" s="32">
        <v>2444</v>
      </c>
      <c r="C79" t="s">
        <v>83</v>
      </c>
      <c r="D79" s="32">
        <v>2</v>
      </c>
      <c r="E79" s="32" t="s">
        <v>22</v>
      </c>
      <c r="F79" t="s">
        <v>8</v>
      </c>
    </row>
    <row r="80" spans="2:6" x14ac:dyDescent="0.35">
      <c r="B80" s="32">
        <v>2451</v>
      </c>
      <c r="C80" t="s">
        <v>84</v>
      </c>
      <c r="D80" s="32">
        <v>2</v>
      </c>
      <c r="E80" s="32" t="s">
        <v>22</v>
      </c>
      <c r="F80" t="s">
        <v>8</v>
      </c>
    </row>
    <row r="81" spans="2:6" x14ac:dyDescent="0.35">
      <c r="B81" s="32">
        <v>2452</v>
      </c>
      <c r="C81" t="s">
        <v>85</v>
      </c>
      <c r="D81" s="32">
        <v>2</v>
      </c>
      <c r="E81" s="32" t="s">
        <v>22</v>
      </c>
      <c r="F81" t="s">
        <v>8</v>
      </c>
    </row>
    <row r="82" spans="2:6" x14ac:dyDescent="0.35">
      <c r="B82" s="32">
        <v>2453</v>
      </c>
      <c r="C82" t="s">
        <v>86</v>
      </c>
      <c r="D82" s="32">
        <v>2</v>
      </c>
      <c r="E82" s="32" t="s">
        <v>22</v>
      </c>
      <c r="F82" t="s">
        <v>8</v>
      </c>
    </row>
    <row r="83" spans="2:6" x14ac:dyDescent="0.35">
      <c r="B83" s="32">
        <v>2454</v>
      </c>
      <c r="C83" t="s">
        <v>87</v>
      </c>
      <c r="D83" s="32">
        <v>2</v>
      </c>
      <c r="E83" s="32" t="s">
        <v>22</v>
      </c>
      <c r="F83" t="s">
        <v>8</v>
      </c>
    </row>
    <row r="84" spans="2:6" x14ac:dyDescent="0.35">
      <c r="B84" s="32">
        <v>2460</v>
      </c>
      <c r="C84" t="s">
        <v>88</v>
      </c>
      <c r="D84" s="32">
        <v>2</v>
      </c>
      <c r="E84" s="32" t="s">
        <v>22</v>
      </c>
      <c r="F84" t="s">
        <v>8</v>
      </c>
    </row>
    <row r="85" spans="2:6" x14ac:dyDescent="0.35">
      <c r="B85" s="32">
        <v>2480</v>
      </c>
      <c r="C85" t="s">
        <v>89</v>
      </c>
      <c r="D85" s="32">
        <v>2</v>
      </c>
      <c r="E85" s="32" t="s">
        <v>22</v>
      </c>
      <c r="F85" t="s">
        <v>8</v>
      </c>
    </row>
    <row r="86" spans="2:6" x14ac:dyDescent="0.35">
      <c r="B86" s="32">
        <v>2491</v>
      </c>
      <c r="C86" t="s">
        <v>90</v>
      </c>
      <c r="D86" s="32">
        <v>2</v>
      </c>
      <c r="E86" s="32" t="s">
        <v>22</v>
      </c>
      <c r="F86" t="s">
        <v>8</v>
      </c>
    </row>
    <row r="87" spans="2:6" x14ac:dyDescent="0.35">
      <c r="B87" s="32">
        <v>2493</v>
      </c>
      <c r="C87" t="s">
        <v>91</v>
      </c>
      <c r="D87" s="32">
        <v>2</v>
      </c>
      <c r="E87" s="32" t="s">
        <v>22</v>
      </c>
      <c r="F87" t="s">
        <v>8</v>
      </c>
    </row>
    <row r="88" spans="2:6" x14ac:dyDescent="0.35">
      <c r="B88" s="32">
        <v>2610</v>
      </c>
      <c r="C88" t="s">
        <v>92</v>
      </c>
      <c r="D88" s="32">
        <v>2</v>
      </c>
      <c r="E88" s="32" t="s">
        <v>22</v>
      </c>
      <c r="F88" t="s">
        <v>8</v>
      </c>
    </row>
    <row r="89" spans="2:6" x14ac:dyDescent="0.35">
      <c r="B89" s="32">
        <v>2620</v>
      </c>
      <c r="C89" t="s">
        <v>93</v>
      </c>
      <c r="D89" s="32">
        <v>2</v>
      </c>
      <c r="E89" s="32" t="s">
        <v>22</v>
      </c>
      <c r="F89" t="s">
        <v>8</v>
      </c>
    </row>
    <row r="90" spans="2:6" x14ac:dyDescent="0.35">
      <c r="B90" s="32">
        <v>2710</v>
      </c>
      <c r="C90" t="s">
        <v>94</v>
      </c>
      <c r="D90" s="32">
        <v>2</v>
      </c>
      <c r="E90" s="32" t="s">
        <v>22</v>
      </c>
      <c r="F90" t="s">
        <v>8</v>
      </c>
    </row>
    <row r="91" spans="2:6" x14ac:dyDescent="0.35">
      <c r="B91" s="32">
        <v>2720</v>
      </c>
      <c r="C91" t="s">
        <v>95</v>
      </c>
      <c r="D91" s="32">
        <v>2</v>
      </c>
      <c r="E91" s="32" t="s">
        <v>22</v>
      </c>
      <c r="F91" t="s">
        <v>8</v>
      </c>
    </row>
    <row r="92" spans="2:6" x14ac:dyDescent="0.35">
      <c r="B92" s="32">
        <v>2730</v>
      </c>
      <c r="C92" t="s">
        <v>96</v>
      </c>
      <c r="D92" s="32">
        <v>2</v>
      </c>
      <c r="E92" s="32" t="s">
        <v>22</v>
      </c>
      <c r="F92" t="s">
        <v>8</v>
      </c>
    </row>
    <row r="93" spans="2:6" x14ac:dyDescent="0.35">
      <c r="B93" s="32">
        <v>2750</v>
      </c>
      <c r="C93" t="s">
        <v>97</v>
      </c>
      <c r="D93" s="32">
        <v>2</v>
      </c>
      <c r="E93" s="32" t="s">
        <v>22</v>
      </c>
      <c r="F93" t="s">
        <v>8</v>
      </c>
    </row>
    <row r="94" spans="2:6" x14ac:dyDescent="0.35">
      <c r="B94" s="32">
        <v>2780</v>
      </c>
      <c r="C94" t="s">
        <v>98</v>
      </c>
      <c r="D94" s="32">
        <v>2</v>
      </c>
      <c r="E94" s="32" t="s">
        <v>22</v>
      </c>
      <c r="F94" t="s">
        <v>8</v>
      </c>
    </row>
    <row r="95" spans="2:6" x14ac:dyDescent="0.35">
      <c r="B95" s="32">
        <v>2811</v>
      </c>
      <c r="C95" t="s">
        <v>99</v>
      </c>
      <c r="D95" s="32">
        <v>2</v>
      </c>
      <c r="E95" s="32" t="s">
        <v>7</v>
      </c>
      <c r="F95" t="s">
        <v>8</v>
      </c>
    </row>
    <row r="96" spans="2:6" x14ac:dyDescent="0.35">
      <c r="B96" s="32">
        <v>2812</v>
      </c>
      <c r="C96" t="s">
        <v>100</v>
      </c>
      <c r="D96" s="32">
        <v>2</v>
      </c>
      <c r="E96" s="32" t="s">
        <v>7</v>
      </c>
      <c r="F96" t="s">
        <v>8</v>
      </c>
    </row>
    <row r="97" spans="2:6" x14ac:dyDescent="0.35">
      <c r="B97" s="32">
        <v>2817</v>
      </c>
      <c r="C97" t="s">
        <v>101</v>
      </c>
      <c r="D97" s="32">
        <v>2</v>
      </c>
      <c r="E97" s="32" t="s">
        <v>7</v>
      </c>
      <c r="F97" t="s">
        <v>8</v>
      </c>
    </row>
    <row r="98" spans="2:6" x14ac:dyDescent="0.35">
      <c r="B98" s="32">
        <v>2821</v>
      </c>
      <c r="C98" t="s">
        <v>102</v>
      </c>
      <c r="D98" s="32">
        <v>2</v>
      </c>
      <c r="E98" s="32" t="s">
        <v>7</v>
      </c>
      <c r="F98" t="s">
        <v>8</v>
      </c>
    </row>
    <row r="99" spans="2:6" x14ac:dyDescent="0.35">
      <c r="B99" s="32">
        <v>2831</v>
      </c>
      <c r="C99" t="s">
        <v>103</v>
      </c>
      <c r="D99" s="32">
        <v>2</v>
      </c>
      <c r="E99" s="32" t="s">
        <v>7</v>
      </c>
      <c r="F99" t="s">
        <v>8</v>
      </c>
    </row>
    <row r="100" spans="2:6" x14ac:dyDescent="0.35">
      <c r="B100" s="32">
        <v>2833</v>
      </c>
      <c r="C100" t="s">
        <v>104</v>
      </c>
      <c r="D100" s="32">
        <v>2</v>
      </c>
      <c r="E100" s="32" t="s">
        <v>7</v>
      </c>
      <c r="F100" t="s">
        <v>8</v>
      </c>
    </row>
    <row r="101" spans="2:6" x14ac:dyDescent="0.35">
      <c r="B101" s="32">
        <v>2835</v>
      </c>
      <c r="C101" t="s">
        <v>105</v>
      </c>
      <c r="D101" s="32">
        <v>2</v>
      </c>
      <c r="E101" s="32" t="s">
        <v>7</v>
      </c>
      <c r="F101" t="s">
        <v>8</v>
      </c>
    </row>
    <row r="102" spans="2:6" x14ac:dyDescent="0.35">
      <c r="B102" s="32">
        <v>2841</v>
      </c>
      <c r="C102" t="s">
        <v>106</v>
      </c>
      <c r="D102" s="32">
        <v>2</v>
      </c>
      <c r="E102" s="32" t="s">
        <v>7</v>
      </c>
      <c r="F102" t="s">
        <v>8</v>
      </c>
    </row>
    <row r="103" spans="2:6" x14ac:dyDescent="0.35">
      <c r="B103" s="32">
        <v>2842</v>
      </c>
      <c r="C103" t="s">
        <v>107</v>
      </c>
      <c r="D103" s="32">
        <v>2</v>
      </c>
      <c r="E103" s="32" t="s">
        <v>7</v>
      </c>
      <c r="F103" t="s">
        <v>8</v>
      </c>
    </row>
    <row r="104" spans="2:6" x14ac:dyDescent="0.35">
      <c r="B104" s="32">
        <v>2851</v>
      </c>
      <c r="C104" t="s">
        <v>108</v>
      </c>
      <c r="D104" s="32">
        <v>2</v>
      </c>
      <c r="E104" s="32" t="s">
        <v>7</v>
      </c>
      <c r="F104" t="s">
        <v>8</v>
      </c>
    </row>
    <row r="105" spans="2:6" x14ac:dyDescent="0.35">
      <c r="B105" s="32">
        <v>2861</v>
      </c>
      <c r="C105" t="s">
        <v>109</v>
      </c>
      <c r="D105" s="32">
        <v>2</v>
      </c>
      <c r="E105" s="32" t="s">
        <v>7</v>
      </c>
      <c r="F105" t="s">
        <v>8</v>
      </c>
    </row>
    <row r="106" spans="2:6" x14ac:dyDescent="0.35">
      <c r="B106" s="32">
        <v>2865</v>
      </c>
      <c r="C106" t="s">
        <v>110</v>
      </c>
      <c r="D106" s="32">
        <v>2</v>
      </c>
      <c r="E106" s="32" t="s">
        <v>7</v>
      </c>
      <c r="F106" t="s">
        <v>8</v>
      </c>
    </row>
    <row r="107" spans="2:6" x14ac:dyDescent="0.35">
      <c r="B107" s="32">
        <v>2866</v>
      </c>
      <c r="C107" t="s">
        <v>111</v>
      </c>
      <c r="D107" s="32">
        <v>2</v>
      </c>
      <c r="E107" s="32" t="s">
        <v>7</v>
      </c>
      <c r="F107" t="s">
        <v>8</v>
      </c>
    </row>
    <row r="108" spans="2:6" x14ac:dyDescent="0.35">
      <c r="B108" s="32">
        <v>2910</v>
      </c>
      <c r="C108" t="s">
        <v>112</v>
      </c>
      <c r="D108" s="32">
        <v>2</v>
      </c>
      <c r="E108" s="32" t="s">
        <v>7</v>
      </c>
      <c r="F108" t="s">
        <v>8</v>
      </c>
    </row>
    <row r="109" spans="2:6" x14ac:dyDescent="0.35">
      <c r="B109" s="32">
        <v>2931</v>
      </c>
      <c r="C109" t="s">
        <v>113</v>
      </c>
      <c r="D109" s="32">
        <v>2</v>
      </c>
      <c r="E109" s="32" t="s">
        <v>7</v>
      </c>
      <c r="F109" t="s">
        <v>8</v>
      </c>
    </row>
    <row r="110" spans="2:6" x14ac:dyDescent="0.35">
      <c r="B110" s="32">
        <v>2941</v>
      </c>
      <c r="C110" t="s">
        <v>114</v>
      </c>
      <c r="D110" s="32">
        <v>2</v>
      </c>
      <c r="E110" s="32" t="s">
        <v>7</v>
      </c>
      <c r="F110" t="s">
        <v>8</v>
      </c>
    </row>
    <row r="111" spans="2:6" x14ac:dyDescent="0.35">
      <c r="B111" s="32">
        <v>2942</v>
      </c>
      <c r="C111" t="s">
        <v>115</v>
      </c>
      <c r="D111" s="32">
        <v>2</v>
      </c>
      <c r="E111" s="32" t="s">
        <v>7</v>
      </c>
      <c r="F111" t="s">
        <v>8</v>
      </c>
    </row>
    <row r="112" spans="2:6" x14ac:dyDescent="0.35">
      <c r="B112" s="32">
        <v>2943</v>
      </c>
      <c r="C112" t="s">
        <v>116</v>
      </c>
      <c r="D112" s="32">
        <v>2</v>
      </c>
      <c r="E112" s="32" t="s">
        <v>7</v>
      </c>
      <c r="F112" t="s">
        <v>8</v>
      </c>
    </row>
    <row r="113" spans="2:6" x14ac:dyDescent="0.35">
      <c r="B113" s="32">
        <v>2951</v>
      </c>
      <c r="C113" t="s">
        <v>117</v>
      </c>
      <c r="D113" s="32">
        <v>2</v>
      </c>
      <c r="E113" s="32" t="s">
        <v>7</v>
      </c>
      <c r="F113" t="s">
        <v>8</v>
      </c>
    </row>
    <row r="114" spans="2:6" x14ac:dyDescent="0.35">
      <c r="B114" s="32">
        <v>2971</v>
      </c>
      <c r="C114" t="s">
        <v>118</v>
      </c>
      <c r="D114" s="32">
        <v>2</v>
      </c>
      <c r="E114" s="32" t="s">
        <v>7</v>
      </c>
      <c r="F114" t="s">
        <v>8</v>
      </c>
    </row>
    <row r="115" spans="2:6" x14ac:dyDescent="0.35">
      <c r="B115" s="32">
        <v>3110</v>
      </c>
      <c r="C115" t="s">
        <v>119</v>
      </c>
      <c r="D115" s="32">
        <v>3</v>
      </c>
      <c r="E115" s="32" t="s">
        <v>22</v>
      </c>
      <c r="F115" t="s">
        <v>8</v>
      </c>
    </row>
    <row r="116" spans="2:6" x14ac:dyDescent="0.35">
      <c r="B116" s="32">
        <v>3120</v>
      </c>
      <c r="C116" t="s">
        <v>120</v>
      </c>
      <c r="D116" s="32">
        <v>3</v>
      </c>
      <c r="E116" s="32" t="s">
        <v>22</v>
      </c>
      <c r="F116" t="s">
        <v>8</v>
      </c>
    </row>
    <row r="117" spans="2:6" x14ac:dyDescent="0.35">
      <c r="B117" s="32">
        <v>3180</v>
      </c>
      <c r="C117" t="s">
        <v>121</v>
      </c>
      <c r="D117" s="32">
        <v>3</v>
      </c>
      <c r="E117" s="32" t="s">
        <v>22</v>
      </c>
      <c r="F117" t="s">
        <v>8</v>
      </c>
    </row>
    <row r="118" spans="2:6" x14ac:dyDescent="0.35">
      <c r="B118" s="32">
        <v>3210</v>
      </c>
      <c r="C118" t="s">
        <v>122</v>
      </c>
      <c r="D118" s="32">
        <v>3</v>
      </c>
      <c r="E118" s="32" t="s">
        <v>22</v>
      </c>
      <c r="F118" t="s">
        <v>8</v>
      </c>
    </row>
    <row r="119" spans="2:6" x14ac:dyDescent="0.35">
      <c r="B119" s="32">
        <v>3220</v>
      </c>
      <c r="C119" t="s">
        <v>123</v>
      </c>
      <c r="D119" s="32">
        <v>3</v>
      </c>
      <c r="E119" s="32" t="s">
        <v>22</v>
      </c>
      <c r="F119" t="s">
        <v>8</v>
      </c>
    </row>
    <row r="120" spans="2:6" x14ac:dyDescent="0.35">
      <c r="B120" s="32">
        <v>3311</v>
      </c>
      <c r="C120" t="s">
        <v>124</v>
      </c>
      <c r="D120" s="32">
        <v>3</v>
      </c>
      <c r="E120" s="32" t="s">
        <v>22</v>
      </c>
      <c r="F120" t="s">
        <v>8</v>
      </c>
    </row>
    <row r="121" spans="2:6" x14ac:dyDescent="0.35">
      <c r="B121" s="32">
        <v>3312</v>
      </c>
      <c r="C121" t="s">
        <v>125</v>
      </c>
      <c r="D121" s="32">
        <v>3</v>
      </c>
      <c r="E121" s="32" t="s">
        <v>22</v>
      </c>
      <c r="F121" t="s">
        <v>8</v>
      </c>
    </row>
    <row r="122" spans="2:6" x14ac:dyDescent="0.35">
      <c r="B122" s="32">
        <v>3316</v>
      </c>
      <c r="C122" t="s">
        <v>126</v>
      </c>
      <c r="D122" s="32">
        <v>3</v>
      </c>
      <c r="E122" s="32" t="s">
        <v>22</v>
      </c>
      <c r="F122" t="s">
        <v>8</v>
      </c>
    </row>
    <row r="123" spans="2:6" x14ac:dyDescent="0.35">
      <c r="B123" s="32">
        <v>3341</v>
      </c>
      <c r="C123" t="s">
        <v>127</v>
      </c>
      <c r="D123" s="32">
        <v>3</v>
      </c>
      <c r="E123" s="32" t="s">
        <v>22</v>
      </c>
      <c r="F123" t="s">
        <v>8</v>
      </c>
    </row>
    <row r="124" spans="2:6" x14ac:dyDescent="0.35">
      <c r="B124" s="32">
        <v>3342</v>
      </c>
      <c r="C124" t="s">
        <v>88</v>
      </c>
      <c r="D124" s="32">
        <v>3</v>
      </c>
      <c r="E124" s="32" t="s">
        <v>22</v>
      </c>
      <c r="F124" t="s">
        <v>8</v>
      </c>
    </row>
    <row r="125" spans="2:6" x14ac:dyDescent="0.35">
      <c r="B125" s="32">
        <v>3510</v>
      </c>
      <c r="C125" t="s">
        <v>128</v>
      </c>
      <c r="D125" s="32">
        <v>3</v>
      </c>
      <c r="E125" s="32" t="s">
        <v>22</v>
      </c>
      <c r="F125" t="s">
        <v>8</v>
      </c>
    </row>
    <row r="126" spans="2:6" x14ac:dyDescent="0.35">
      <c r="B126" s="32">
        <v>3520</v>
      </c>
      <c r="C126" t="s">
        <v>129</v>
      </c>
      <c r="D126" s="32">
        <v>3</v>
      </c>
      <c r="E126" s="32" t="s">
        <v>22</v>
      </c>
      <c r="F126" t="s">
        <v>8</v>
      </c>
    </row>
    <row r="127" spans="2:6" x14ac:dyDescent="0.35">
      <c r="B127" s="32">
        <v>3610</v>
      </c>
      <c r="C127" t="s">
        <v>130</v>
      </c>
      <c r="D127" s="32">
        <v>3</v>
      </c>
      <c r="E127" s="32" t="s">
        <v>22</v>
      </c>
      <c r="F127" t="s">
        <v>8</v>
      </c>
    </row>
    <row r="128" spans="2:6" x14ac:dyDescent="0.35">
      <c r="B128" s="32">
        <v>3620</v>
      </c>
      <c r="C128" t="s">
        <v>131</v>
      </c>
      <c r="D128" s="32">
        <v>3</v>
      </c>
      <c r="E128" s="32" t="s">
        <v>22</v>
      </c>
      <c r="F128" t="s">
        <v>8</v>
      </c>
    </row>
    <row r="129" spans="2:6" x14ac:dyDescent="0.35">
      <c r="B129" s="32">
        <v>3630</v>
      </c>
      <c r="C129" t="s">
        <v>132</v>
      </c>
      <c r="D129" s="32">
        <v>3</v>
      </c>
      <c r="E129" s="32" t="s">
        <v>22</v>
      </c>
      <c r="F129" t="s">
        <v>8</v>
      </c>
    </row>
    <row r="130" spans="2:6" x14ac:dyDescent="0.35">
      <c r="B130" s="32">
        <v>3910</v>
      </c>
      <c r="C130" t="s">
        <v>133</v>
      </c>
      <c r="D130" s="32">
        <v>3</v>
      </c>
      <c r="E130" s="32" t="s">
        <v>7</v>
      </c>
      <c r="F130" t="s">
        <v>8</v>
      </c>
    </row>
    <row r="131" spans="2:6" x14ac:dyDescent="0.35">
      <c r="B131" s="32">
        <v>3920</v>
      </c>
      <c r="C131" t="s">
        <v>134</v>
      </c>
      <c r="D131" s="32">
        <v>3</v>
      </c>
      <c r="E131" s="32" t="s">
        <v>7</v>
      </c>
      <c r="F131" t="s">
        <v>8</v>
      </c>
    </row>
    <row r="132" spans="2:6" x14ac:dyDescent="0.35">
      <c r="B132" s="32">
        <v>3950</v>
      </c>
      <c r="C132" t="s">
        <v>135</v>
      </c>
      <c r="D132" s="32">
        <v>3</v>
      </c>
      <c r="E132" s="32" t="s">
        <v>7</v>
      </c>
      <c r="F132" t="s">
        <v>8</v>
      </c>
    </row>
    <row r="133" spans="2:6" x14ac:dyDescent="0.35">
      <c r="B133" s="32">
        <v>3960</v>
      </c>
      <c r="C133" t="s">
        <v>136</v>
      </c>
      <c r="D133" s="32">
        <v>3</v>
      </c>
      <c r="E133" s="32" t="s">
        <v>7</v>
      </c>
      <c r="F133" t="s">
        <v>8</v>
      </c>
    </row>
    <row r="134" spans="2:6" x14ac:dyDescent="0.35">
      <c r="B134" s="32">
        <v>4011</v>
      </c>
      <c r="C134" t="s">
        <v>137</v>
      </c>
      <c r="D134" s="32">
        <v>4</v>
      </c>
      <c r="E134" s="32" t="s">
        <v>7</v>
      </c>
      <c r="F134" t="s">
        <v>8</v>
      </c>
    </row>
    <row r="135" spans="2:6" x14ac:dyDescent="0.35">
      <c r="B135" s="32">
        <v>4012</v>
      </c>
      <c r="C135" t="s">
        <v>138</v>
      </c>
      <c r="D135" s="32">
        <v>4</v>
      </c>
      <c r="E135" s="32" t="s">
        <v>7</v>
      </c>
      <c r="F135" t="s">
        <v>8</v>
      </c>
    </row>
    <row r="136" spans="2:6" x14ac:dyDescent="0.35">
      <c r="B136" s="32">
        <v>4020</v>
      </c>
      <c r="C136" t="s">
        <v>139</v>
      </c>
      <c r="D136" s="32">
        <v>4</v>
      </c>
      <c r="E136" s="32" t="s">
        <v>7</v>
      </c>
      <c r="F136" t="s">
        <v>8</v>
      </c>
    </row>
    <row r="137" spans="2:6" x14ac:dyDescent="0.35">
      <c r="B137" s="32">
        <v>4030</v>
      </c>
      <c r="C137" t="s">
        <v>140</v>
      </c>
      <c r="D137" s="32">
        <v>4</v>
      </c>
      <c r="E137" s="32" t="s">
        <v>7</v>
      </c>
      <c r="F137" t="s">
        <v>8</v>
      </c>
    </row>
    <row r="138" spans="2:6" x14ac:dyDescent="0.35">
      <c r="B138" s="32">
        <v>4040</v>
      </c>
      <c r="C138" t="s">
        <v>141</v>
      </c>
      <c r="D138" s="32">
        <v>4</v>
      </c>
      <c r="E138" s="32" t="s">
        <v>7</v>
      </c>
      <c r="F138" t="s">
        <v>8</v>
      </c>
    </row>
    <row r="139" spans="2:6" x14ac:dyDescent="0.35">
      <c r="B139" s="32">
        <v>4080</v>
      </c>
      <c r="C139" t="s">
        <v>142</v>
      </c>
      <c r="D139" s="32">
        <v>4</v>
      </c>
      <c r="E139" s="32" t="s">
        <v>7</v>
      </c>
      <c r="F139" t="s">
        <v>8</v>
      </c>
    </row>
    <row r="140" spans="2:6" x14ac:dyDescent="0.35">
      <c r="B140" s="32">
        <v>4090</v>
      </c>
      <c r="C140" t="s">
        <v>143</v>
      </c>
      <c r="D140" s="32">
        <v>4</v>
      </c>
      <c r="E140" s="32" t="s">
        <v>22</v>
      </c>
      <c r="F140" t="s">
        <v>8</v>
      </c>
    </row>
    <row r="141" spans="2:6" x14ac:dyDescent="0.35">
      <c r="B141" s="32">
        <v>4111</v>
      </c>
      <c r="C141" t="s">
        <v>144</v>
      </c>
      <c r="D141" s="32">
        <v>4</v>
      </c>
      <c r="E141" s="32" t="s">
        <v>22</v>
      </c>
      <c r="F141" t="s">
        <v>8</v>
      </c>
    </row>
    <row r="142" spans="2:6" x14ac:dyDescent="0.35">
      <c r="B142" s="32">
        <v>4112</v>
      </c>
      <c r="C142" t="s">
        <v>145</v>
      </c>
      <c r="D142" s="32">
        <v>4</v>
      </c>
      <c r="E142" s="32" t="s">
        <v>22</v>
      </c>
      <c r="F142" t="s">
        <v>8</v>
      </c>
    </row>
    <row r="143" spans="2:6" x14ac:dyDescent="0.35">
      <c r="B143" s="32">
        <v>4120</v>
      </c>
      <c r="C143" t="s">
        <v>146</v>
      </c>
      <c r="D143" s="32">
        <v>4</v>
      </c>
      <c r="E143" s="32" t="s">
        <v>22</v>
      </c>
      <c r="F143" t="s">
        <v>8</v>
      </c>
    </row>
    <row r="144" spans="2:6" x14ac:dyDescent="0.35">
      <c r="B144" s="32">
        <v>4130</v>
      </c>
      <c r="C144" t="s">
        <v>147</v>
      </c>
      <c r="D144" s="32">
        <v>4</v>
      </c>
      <c r="E144" s="32" t="s">
        <v>22</v>
      </c>
      <c r="F144" t="s">
        <v>8</v>
      </c>
    </row>
    <row r="145" spans="2:6" x14ac:dyDescent="0.35">
      <c r="B145" s="32">
        <v>4160</v>
      </c>
      <c r="C145" t="s">
        <v>148</v>
      </c>
      <c r="D145" s="32">
        <v>4</v>
      </c>
      <c r="E145" s="32" t="s">
        <v>22</v>
      </c>
      <c r="F145" t="s">
        <v>8</v>
      </c>
    </row>
    <row r="146" spans="2:6" x14ac:dyDescent="0.35">
      <c r="B146" s="32">
        <v>4180</v>
      </c>
      <c r="C146" t="s">
        <v>149</v>
      </c>
      <c r="D146" s="32">
        <v>4</v>
      </c>
      <c r="E146" s="32" t="s">
        <v>22</v>
      </c>
      <c r="F146" t="s">
        <v>8</v>
      </c>
    </row>
    <row r="147" spans="2:6" x14ac:dyDescent="0.35">
      <c r="B147" s="32">
        <v>4190</v>
      </c>
      <c r="C147" t="s">
        <v>150</v>
      </c>
      <c r="D147" s="32">
        <v>4</v>
      </c>
      <c r="E147" s="32" t="s">
        <v>7</v>
      </c>
      <c r="F147" t="s">
        <v>8</v>
      </c>
    </row>
    <row r="148" spans="2:6" x14ac:dyDescent="0.35">
      <c r="B148" s="32">
        <v>4210</v>
      </c>
      <c r="C148" t="s">
        <v>151</v>
      </c>
      <c r="D148" s="32">
        <v>4</v>
      </c>
      <c r="E148" s="32" t="s">
        <v>22</v>
      </c>
      <c r="F148" t="s">
        <v>8</v>
      </c>
    </row>
    <row r="149" spans="2:6" x14ac:dyDescent="0.35">
      <c r="B149" s="32">
        <v>4220</v>
      </c>
      <c r="C149" t="s">
        <v>152</v>
      </c>
      <c r="D149" s="32">
        <v>4</v>
      </c>
      <c r="E149" s="32" t="s">
        <v>7</v>
      </c>
      <c r="F149" t="s">
        <v>8</v>
      </c>
    </row>
    <row r="150" spans="2:6" x14ac:dyDescent="0.35">
      <c r="B150" s="32">
        <v>4230</v>
      </c>
      <c r="C150" t="s">
        <v>153</v>
      </c>
      <c r="D150" s="32">
        <v>4</v>
      </c>
      <c r="E150" s="32" t="s">
        <v>7</v>
      </c>
      <c r="F150" t="s">
        <v>8</v>
      </c>
    </row>
    <row r="151" spans="2:6" x14ac:dyDescent="0.35">
      <c r="B151" s="32">
        <v>4280</v>
      </c>
      <c r="C151" t="s">
        <v>154</v>
      </c>
      <c r="D151" s="32">
        <v>4</v>
      </c>
      <c r="E151" s="32" t="s">
        <v>22</v>
      </c>
      <c r="F151" t="s">
        <v>8</v>
      </c>
    </row>
    <row r="152" spans="2:6" x14ac:dyDescent="0.35">
      <c r="B152" s="32">
        <v>4310</v>
      </c>
      <c r="C152" t="s">
        <v>155</v>
      </c>
      <c r="D152" s="32">
        <v>4</v>
      </c>
      <c r="E152" s="32" t="s">
        <v>7</v>
      </c>
      <c r="F152" t="s">
        <v>8</v>
      </c>
    </row>
    <row r="153" spans="2:6" x14ac:dyDescent="0.35">
      <c r="B153" s="32">
        <v>4320</v>
      </c>
      <c r="C153" t="s">
        <v>156</v>
      </c>
      <c r="D153" s="32">
        <v>4</v>
      </c>
      <c r="E153" s="32" t="s">
        <v>7</v>
      </c>
      <c r="F153" t="s">
        <v>8</v>
      </c>
    </row>
    <row r="154" spans="2:6" x14ac:dyDescent="0.35">
      <c r="B154" s="32">
        <v>4330</v>
      </c>
      <c r="C154" t="s">
        <v>157</v>
      </c>
      <c r="D154" s="32">
        <v>4</v>
      </c>
      <c r="E154" s="32" t="s">
        <v>7</v>
      </c>
      <c r="F154" t="s">
        <v>8</v>
      </c>
    </row>
    <row r="155" spans="2:6" x14ac:dyDescent="0.35">
      <c r="B155" s="32">
        <v>4380</v>
      </c>
      <c r="C155" t="s">
        <v>158</v>
      </c>
      <c r="D155" s="32">
        <v>4</v>
      </c>
      <c r="E155" s="32" t="s">
        <v>7</v>
      </c>
      <c r="F155" t="s">
        <v>8</v>
      </c>
    </row>
    <row r="156" spans="2:6" x14ac:dyDescent="0.35">
      <c r="B156" s="32">
        <v>4410</v>
      </c>
      <c r="C156" t="s">
        <v>159</v>
      </c>
      <c r="D156" s="32">
        <v>4</v>
      </c>
      <c r="E156" s="32" t="s">
        <v>7</v>
      </c>
      <c r="F156" t="s">
        <v>8</v>
      </c>
    </row>
    <row r="157" spans="2:6" x14ac:dyDescent="0.35">
      <c r="B157" s="32">
        <v>4420</v>
      </c>
      <c r="C157" t="s">
        <v>160</v>
      </c>
      <c r="D157" s="32">
        <v>4</v>
      </c>
      <c r="E157" s="32" t="s">
        <v>7</v>
      </c>
      <c r="F157" t="s">
        <v>8</v>
      </c>
    </row>
    <row r="158" spans="2:6" x14ac:dyDescent="0.35">
      <c r="B158" s="32">
        <v>4431</v>
      </c>
      <c r="C158" t="s">
        <v>161</v>
      </c>
      <c r="D158" s="32">
        <v>4</v>
      </c>
      <c r="E158" s="32" t="s">
        <v>7</v>
      </c>
      <c r="F158" t="s">
        <v>8</v>
      </c>
    </row>
    <row r="159" spans="2:6" x14ac:dyDescent="0.35">
      <c r="B159" s="32">
        <v>4432</v>
      </c>
      <c r="C159" t="s">
        <v>162</v>
      </c>
      <c r="D159" s="32">
        <v>4</v>
      </c>
      <c r="E159" s="32" t="s">
        <v>22</v>
      </c>
      <c r="F159" t="s">
        <v>8</v>
      </c>
    </row>
    <row r="160" spans="2:6" x14ac:dyDescent="0.35">
      <c r="B160" s="32">
        <v>4433</v>
      </c>
      <c r="C160" t="s">
        <v>163</v>
      </c>
      <c r="D160" s="32">
        <v>4</v>
      </c>
      <c r="E160" s="32" t="s">
        <v>22</v>
      </c>
      <c r="F160" t="s">
        <v>8</v>
      </c>
    </row>
    <row r="161" spans="2:6" x14ac:dyDescent="0.35">
      <c r="B161" s="32">
        <v>4436</v>
      </c>
      <c r="C161" t="s">
        <v>164</v>
      </c>
      <c r="D161" s="32">
        <v>4</v>
      </c>
      <c r="E161" s="32" t="s">
        <v>22</v>
      </c>
      <c r="F161" t="s">
        <v>8</v>
      </c>
    </row>
    <row r="162" spans="2:6" x14ac:dyDescent="0.35">
      <c r="B162" s="32">
        <v>4441</v>
      </c>
      <c r="C162" t="s">
        <v>165</v>
      </c>
      <c r="D162" s="32">
        <v>4</v>
      </c>
      <c r="E162" s="32" t="s">
        <v>7</v>
      </c>
      <c r="F162" t="s">
        <v>8</v>
      </c>
    </row>
    <row r="163" spans="2:6" x14ac:dyDescent="0.35">
      <c r="B163" s="32">
        <v>4451</v>
      </c>
      <c r="C163" t="s">
        <v>166</v>
      </c>
      <c r="D163" s="32">
        <v>4</v>
      </c>
      <c r="E163" s="32" t="s">
        <v>22</v>
      </c>
      <c r="F163" t="s">
        <v>8</v>
      </c>
    </row>
    <row r="164" spans="2:6" x14ac:dyDescent="0.35">
      <c r="B164" s="32">
        <v>4460</v>
      </c>
      <c r="C164" t="s">
        <v>167</v>
      </c>
      <c r="D164" s="32">
        <v>4</v>
      </c>
      <c r="E164" s="32" t="s">
        <v>7</v>
      </c>
      <c r="F164" t="s">
        <v>8</v>
      </c>
    </row>
    <row r="165" spans="2:6" x14ac:dyDescent="0.35">
      <c r="B165" s="32">
        <v>4520</v>
      </c>
      <c r="C165" t="s">
        <v>168</v>
      </c>
      <c r="D165" s="32">
        <v>4</v>
      </c>
      <c r="E165" s="32" t="s">
        <v>7</v>
      </c>
      <c r="F165" t="s">
        <v>8</v>
      </c>
    </row>
    <row r="166" spans="2:6" x14ac:dyDescent="0.35">
      <c r="B166" s="32">
        <v>4530</v>
      </c>
      <c r="C166" t="s">
        <v>169</v>
      </c>
      <c r="D166" s="32">
        <v>4</v>
      </c>
      <c r="E166" s="32" t="s">
        <v>7</v>
      </c>
      <c r="F166" t="s">
        <v>8</v>
      </c>
    </row>
    <row r="167" spans="2:6" x14ac:dyDescent="0.35">
      <c r="B167" s="32">
        <v>4710</v>
      </c>
      <c r="C167" t="s">
        <v>170</v>
      </c>
      <c r="D167" s="32">
        <v>4</v>
      </c>
      <c r="E167" s="32" t="s">
        <v>22</v>
      </c>
      <c r="F167" t="s">
        <v>8</v>
      </c>
    </row>
    <row r="168" spans="2:6" x14ac:dyDescent="0.35">
      <c r="B168" s="32">
        <v>4720</v>
      </c>
      <c r="C168" t="s">
        <v>171</v>
      </c>
      <c r="D168" s="32">
        <v>4</v>
      </c>
      <c r="E168" s="32" t="s">
        <v>7</v>
      </c>
      <c r="F168" t="s">
        <v>8</v>
      </c>
    </row>
    <row r="169" spans="2:6" x14ac:dyDescent="0.35">
      <c r="B169" s="32">
        <v>4781</v>
      </c>
      <c r="C169" t="s">
        <v>172</v>
      </c>
      <c r="D169" s="32">
        <v>4</v>
      </c>
      <c r="E169" s="32" t="s">
        <v>22</v>
      </c>
      <c r="F169" t="s">
        <v>8</v>
      </c>
    </row>
    <row r="170" spans="2:6" x14ac:dyDescent="0.35">
      <c r="B170" s="32">
        <v>4782</v>
      </c>
      <c r="C170" t="s">
        <v>173</v>
      </c>
      <c r="D170" s="32">
        <v>4</v>
      </c>
      <c r="E170" s="32" t="s">
        <v>7</v>
      </c>
      <c r="F170" t="s">
        <v>8</v>
      </c>
    </row>
    <row r="171" spans="2:6" x14ac:dyDescent="0.35">
      <c r="B171" s="32">
        <v>4820</v>
      </c>
      <c r="C171" t="s">
        <v>174</v>
      </c>
      <c r="D171" s="32">
        <v>4</v>
      </c>
      <c r="E171" s="32" t="s">
        <v>22</v>
      </c>
      <c r="F171" t="s">
        <v>8</v>
      </c>
    </row>
    <row r="172" spans="2:6" x14ac:dyDescent="0.35">
      <c r="B172" s="32">
        <v>4830</v>
      </c>
      <c r="C172" t="s">
        <v>175</v>
      </c>
      <c r="D172" s="32">
        <v>4</v>
      </c>
      <c r="E172" s="32" t="s">
        <v>7</v>
      </c>
      <c r="F172" t="s">
        <v>8</v>
      </c>
    </row>
    <row r="173" spans="2:6" x14ac:dyDescent="0.35">
      <c r="B173" s="32">
        <v>4910</v>
      </c>
      <c r="C173" t="s">
        <v>176</v>
      </c>
      <c r="D173" s="32">
        <v>4</v>
      </c>
      <c r="E173" s="32" t="s">
        <v>7</v>
      </c>
      <c r="F173" t="s">
        <v>8</v>
      </c>
    </row>
    <row r="174" spans="2:6" x14ac:dyDescent="0.35">
      <c r="B174" s="32">
        <v>4920</v>
      </c>
      <c r="C174" t="s">
        <v>177</v>
      </c>
      <c r="D174" s="32">
        <v>4</v>
      </c>
      <c r="E174" s="32" t="s">
        <v>7</v>
      </c>
      <c r="F174" t="s">
        <v>8</v>
      </c>
    </row>
    <row r="175" spans="2:6" x14ac:dyDescent="0.35">
      <c r="B175" s="32">
        <v>5210</v>
      </c>
      <c r="C175" t="s">
        <v>178</v>
      </c>
      <c r="D175" s="32">
        <v>5</v>
      </c>
      <c r="E175" s="32" t="s">
        <v>22</v>
      </c>
      <c r="F175" t="s">
        <v>8</v>
      </c>
    </row>
    <row r="176" spans="2:6" x14ac:dyDescent="0.35">
      <c r="B176" s="32">
        <v>5220</v>
      </c>
      <c r="C176" t="s">
        <v>179</v>
      </c>
      <c r="D176" s="32">
        <v>5</v>
      </c>
      <c r="E176" s="32" t="s">
        <v>22</v>
      </c>
      <c r="F176" t="s">
        <v>8</v>
      </c>
    </row>
    <row r="177" spans="2:6" x14ac:dyDescent="0.35">
      <c r="B177" s="32">
        <v>5230</v>
      </c>
      <c r="C177" t="s">
        <v>180</v>
      </c>
      <c r="D177" s="32">
        <v>5</v>
      </c>
      <c r="E177" s="32" t="s">
        <v>22</v>
      </c>
      <c r="F177" t="s">
        <v>8</v>
      </c>
    </row>
    <row r="178" spans="2:6" x14ac:dyDescent="0.35">
      <c r="B178" s="32">
        <v>5240</v>
      </c>
      <c r="C178" t="s">
        <v>181</v>
      </c>
      <c r="D178" s="32">
        <v>5</v>
      </c>
      <c r="E178" s="32" t="s">
        <v>22</v>
      </c>
      <c r="F178" t="s">
        <v>8</v>
      </c>
    </row>
    <row r="179" spans="2:6" x14ac:dyDescent="0.35">
      <c r="B179" s="32">
        <v>5310</v>
      </c>
      <c r="C179" t="s">
        <v>182</v>
      </c>
      <c r="D179" s="32">
        <v>5</v>
      </c>
      <c r="E179" s="32" t="s">
        <v>22</v>
      </c>
      <c r="F179" t="s">
        <v>8</v>
      </c>
    </row>
    <row r="180" spans="2:6" x14ac:dyDescent="0.35">
      <c r="B180" s="32">
        <v>5320</v>
      </c>
      <c r="C180" t="s">
        <v>183</v>
      </c>
      <c r="D180" s="32">
        <v>5</v>
      </c>
      <c r="E180" s="32" t="s">
        <v>22</v>
      </c>
      <c r="F180" t="s">
        <v>8</v>
      </c>
    </row>
    <row r="181" spans="2:6" x14ac:dyDescent="0.35">
      <c r="B181" s="32">
        <v>5410</v>
      </c>
      <c r="C181" t="s">
        <v>184</v>
      </c>
      <c r="D181" s="32">
        <v>5</v>
      </c>
      <c r="E181" s="32" t="s">
        <v>22</v>
      </c>
      <c r="F181" t="s">
        <v>8</v>
      </c>
    </row>
    <row r="182" spans="2:6" x14ac:dyDescent="0.35">
      <c r="B182" s="32">
        <v>5420</v>
      </c>
      <c r="C182" t="s">
        <v>185</v>
      </c>
      <c r="D182" s="32">
        <v>5</v>
      </c>
      <c r="E182" s="32" t="s">
        <v>22</v>
      </c>
      <c r="F182" t="s">
        <v>8</v>
      </c>
    </row>
    <row r="183" spans="2:6" x14ac:dyDescent="0.35">
      <c r="B183" s="32">
        <v>5510</v>
      </c>
      <c r="C183" t="s">
        <v>186</v>
      </c>
      <c r="D183" s="32">
        <v>5</v>
      </c>
      <c r="E183" s="32" t="s">
        <v>22</v>
      </c>
      <c r="F183" t="s">
        <v>8</v>
      </c>
    </row>
    <row r="184" spans="2:6" x14ac:dyDescent="0.35">
      <c r="B184" s="32">
        <v>5610</v>
      </c>
      <c r="C184" t="s">
        <v>187</v>
      </c>
      <c r="D184" s="32">
        <v>5</v>
      </c>
      <c r="E184" s="32" t="s">
        <v>22</v>
      </c>
      <c r="F184" t="s">
        <v>8</v>
      </c>
    </row>
    <row r="185" spans="2:6" x14ac:dyDescent="0.35">
      <c r="B185" s="32">
        <v>5620</v>
      </c>
      <c r="C185" t="s">
        <v>188</v>
      </c>
      <c r="D185" s="32">
        <v>5</v>
      </c>
      <c r="E185" s="32" t="s">
        <v>22</v>
      </c>
      <c r="F185" t="s">
        <v>8</v>
      </c>
    </row>
    <row r="186" spans="2:6" x14ac:dyDescent="0.35">
      <c r="B186" s="32">
        <v>5710</v>
      </c>
      <c r="C186" t="s">
        <v>189</v>
      </c>
      <c r="D186" s="32">
        <v>5</v>
      </c>
      <c r="E186" s="32" t="s">
        <v>22</v>
      </c>
      <c r="F186" t="s">
        <v>8</v>
      </c>
    </row>
    <row r="187" spans="2:6" x14ac:dyDescent="0.35">
      <c r="B187" s="32">
        <v>5720</v>
      </c>
      <c r="C187" t="s">
        <v>190</v>
      </c>
      <c r="D187" s="32">
        <v>5</v>
      </c>
      <c r="E187" s="32" t="s">
        <v>22</v>
      </c>
      <c r="F187" t="s">
        <v>8</v>
      </c>
    </row>
    <row r="188" spans="2:6" x14ac:dyDescent="0.35">
      <c r="B188" s="32">
        <v>5810</v>
      </c>
      <c r="C188" t="s">
        <v>191</v>
      </c>
      <c r="D188" s="32">
        <v>5</v>
      </c>
      <c r="E188" s="32" t="s">
        <v>22</v>
      </c>
      <c r="F188" t="s">
        <v>8</v>
      </c>
    </row>
    <row r="189" spans="2:6" x14ac:dyDescent="0.35">
      <c r="B189" s="32">
        <v>5910</v>
      </c>
      <c r="C189" t="s">
        <v>192</v>
      </c>
      <c r="D189" s="32">
        <v>5</v>
      </c>
      <c r="E189" s="32" t="s">
        <v>7</v>
      </c>
      <c r="F189" t="s">
        <v>8</v>
      </c>
    </row>
    <row r="190" spans="2:6" x14ac:dyDescent="0.35">
      <c r="B190" s="32">
        <v>5920</v>
      </c>
      <c r="C190" t="s">
        <v>193</v>
      </c>
      <c r="D190" s="32">
        <v>5</v>
      </c>
      <c r="E190" s="32" t="s">
        <v>7</v>
      </c>
      <c r="F190" t="s">
        <v>8</v>
      </c>
    </row>
    <row r="191" spans="2:6" x14ac:dyDescent="0.35">
      <c r="B191" s="32">
        <v>5930</v>
      </c>
      <c r="C191" t="s">
        <v>194</v>
      </c>
      <c r="D191" s="32">
        <v>5</v>
      </c>
      <c r="E191" s="32" t="s">
        <v>7</v>
      </c>
      <c r="F191" t="s">
        <v>8</v>
      </c>
    </row>
    <row r="192" spans="2:6" x14ac:dyDescent="0.35">
      <c r="B192" s="32">
        <v>5940</v>
      </c>
      <c r="C192" t="s">
        <v>195</v>
      </c>
      <c r="D192" s="32">
        <v>5</v>
      </c>
      <c r="E192" s="32" t="s">
        <v>7</v>
      </c>
      <c r="F192" t="s">
        <v>8</v>
      </c>
    </row>
    <row r="193" spans="2:6" x14ac:dyDescent="0.35">
      <c r="B193" s="32">
        <v>5950</v>
      </c>
      <c r="C193" t="s">
        <v>196</v>
      </c>
      <c r="D193" s="32">
        <v>5</v>
      </c>
      <c r="E193" s="32" t="s">
        <v>7</v>
      </c>
      <c r="F193" t="s">
        <v>8</v>
      </c>
    </row>
    <row r="194" spans="2:6" x14ac:dyDescent="0.35">
      <c r="B194" s="32">
        <v>5990</v>
      </c>
      <c r="C194" t="s">
        <v>197</v>
      </c>
      <c r="D194" s="32">
        <v>5</v>
      </c>
      <c r="E194" s="32" t="s">
        <v>7</v>
      </c>
      <c r="F194" t="s">
        <v>8</v>
      </c>
    </row>
    <row r="195" spans="2:6" x14ac:dyDescent="0.35">
      <c r="B195" s="32">
        <v>6010</v>
      </c>
      <c r="C195" t="s">
        <v>198</v>
      </c>
      <c r="D195" s="32">
        <v>6</v>
      </c>
      <c r="E195" s="32" t="s">
        <v>22</v>
      </c>
      <c r="F195" t="s">
        <v>199</v>
      </c>
    </row>
    <row r="196" spans="2:6" x14ac:dyDescent="0.35">
      <c r="B196" s="32">
        <v>6020</v>
      </c>
      <c r="C196" t="s">
        <v>200</v>
      </c>
      <c r="D196" s="32">
        <v>6</v>
      </c>
      <c r="E196" s="32" t="s">
        <v>22</v>
      </c>
      <c r="F196" t="s">
        <v>199</v>
      </c>
    </row>
    <row r="197" spans="2:6" x14ac:dyDescent="0.35">
      <c r="B197" s="32">
        <v>6030</v>
      </c>
      <c r="C197" t="s">
        <v>201</v>
      </c>
      <c r="D197" s="32">
        <v>6</v>
      </c>
      <c r="E197" s="32" t="s">
        <v>22</v>
      </c>
      <c r="F197" t="s">
        <v>199</v>
      </c>
    </row>
    <row r="198" spans="2:6" x14ac:dyDescent="0.35">
      <c r="B198" s="32">
        <v>6040</v>
      </c>
      <c r="C198" t="s">
        <v>202</v>
      </c>
      <c r="D198" s="32">
        <v>6</v>
      </c>
      <c r="E198" s="32" t="s">
        <v>22</v>
      </c>
      <c r="F198" t="s">
        <v>199</v>
      </c>
    </row>
    <row r="199" spans="2:6" x14ac:dyDescent="0.35">
      <c r="B199" s="32">
        <v>6050</v>
      </c>
      <c r="C199" t="s">
        <v>203</v>
      </c>
      <c r="D199" s="32">
        <v>6</v>
      </c>
      <c r="E199" s="32" t="s">
        <v>22</v>
      </c>
      <c r="F199" t="s">
        <v>199</v>
      </c>
    </row>
    <row r="200" spans="2:6" x14ac:dyDescent="0.35">
      <c r="B200" s="32">
        <v>6080</v>
      </c>
      <c r="C200" t="s">
        <v>204</v>
      </c>
      <c r="D200" s="32">
        <v>6</v>
      </c>
      <c r="E200" s="32" t="s">
        <v>22</v>
      </c>
      <c r="F200" t="s">
        <v>199</v>
      </c>
    </row>
    <row r="201" spans="2:6" x14ac:dyDescent="0.35">
      <c r="B201" s="32">
        <v>6110</v>
      </c>
      <c r="C201" t="s">
        <v>205</v>
      </c>
      <c r="D201" s="32">
        <v>6</v>
      </c>
      <c r="E201" s="32" t="s">
        <v>22</v>
      </c>
      <c r="F201" t="s">
        <v>199</v>
      </c>
    </row>
    <row r="202" spans="2:6" x14ac:dyDescent="0.35">
      <c r="B202" s="32">
        <v>6120</v>
      </c>
      <c r="C202" t="s">
        <v>206</v>
      </c>
      <c r="D202" s="32">
        <v>6</v>
      </c>
      <c r="E202" s="32" t="s">
        <v>22</v>
      </c>
      <c r="F202" t="s">
        <v>199</v>
      </c>
    </row>
    <row r="203" spans="2:6" x14ac:dyDescent="0.35">
      <c r="B203" s="32">
        <v>6130</v>
      </c>
      <c r="C203" t="s">
        <v>207</v>
      </c>
      <c r="D203" s="32">
        <v>6</v>
      </c>
      <c r="E203" s="32" t="s">
        <v>22</v>
      </c>
      <c r="F203" t="s">
        <v>199</v>
      </c>
    </row>
    <row r="204" spans="2:6" x14ac:dyDescent="0.35">
      <c r="B204" s="32">
        <v>6140</v>
      </c>
      <c r="C204" t="s">
        <v>208</v>
      </c>
      <c r="D204" s="32">
        <v>6</v>
      </c>
      <c r="E204" s="32" t="s">
        <v>22</v>
      </c>
      <c r="F204" t="s">
        <v>199</v>
      </c>
    </row>
    <row r="205" spans="2:6" x14ac:dyDescent="0.35">
      <c r="B205" s="32">
        <v>6210</v>
      </c>
      <c r="C205" t="s">
        <v>209</v>
      </c>
      <c r="D205" s="32">
        <v>6</v>
      </c>
      <c r="E205" s="32" t="s">
        <v>22</v>
      </c>
      <c r="F205" t="s">
        <v>199</v>
      </c>
    </row>
    <row r="206" spans="2:6" x14ac:dyDescent="0.35">
      <c r="B206" s="32">
        <v>6220</v>
      </c>
      <c r="C206" t="s">
        <v>210</v>
      </c>
      <c r="D206" s="32">
        <v>6</v>
      </c>
      <c r="E206" s="32" t="s">
        <v>22</v>
      </c>
      <c r="F206" t="s">
        <v>199</v>
      </c>
    </row>
    <row r="207" spans="2:6" x14ac:dyDescent="0.35">
      <c r="B207" s="32">
        <v>6230</v>
      </c>
      <c r="C207" t="s">
        <v>211</v>
      </c>
      <c r="D207" s="32">
        <v>6</v>
      </c>
      <c r="E207" s="32" t="s">
        <v>22</v>
      </c>
      <c r="F207" t="s">
        <v>199</v>
      </c>
    </row>
    <row r="208" spans="2:6" x14ac:dyDescent="0.35">
      <c r="B208" s="32">
        <v>6240</v>
      </c>
      <c r="C208" t="s">
        <v>212</v>
      </c>
      <c r="D208" s="32">
        <v>6</v>
      </c>
      <c r="E208" s="32" t="s">
        <v>22</v>
      </c>
      <c r="F208" t="s">
        <v>199</v>
      </c>
    </row>
    <row r="209" spans="2:6" x14ac:dyDescent="0.35">
      <c r="B209" s="32">
        <v>6250</v>
      </c>
      <c r="C209" t="s">
        <v>213</v>
      </c>
      <c r="D209" s="32">
        <v>6</v>
      </c>
      <c r="E209" s="32" t="s">
        <v>22</v>
      </c>
      <c r="F209" t="s">
        <v>199</v>
      </c>
    </row>
    <row r="210" spans="2:6" x14ac:dyDescent="0.35">
      <c r="B210" s="32">
        <v>6260</v>
      </c>
      <c r="C210" t="s">
        <v>214</v>
      </c>
      <c r="D210" s="32">
        <v>6</v>
      </c>
      <c r="E210" s="32" t="s">
        <v>22</v>
      </c>
      <c r="F210" t="s">
        <v>199</v>
      </c>
    </row>
    <row r="211" spans="2:6" x14ac:dyDescent="0.35">
      <c r="B211" s="32">
        <v>6270</v>
      </c>
      <c r="C211" t="s">
        <v>215</v>
      </c>
      <c r="D211" s="32">
        <v>6</v>
      </c>
      <c r="E211" s="32" t="s">
        <v>22</v>
      </c>
      <c r="F211" t="s">
        <v>199</v>
      </c>
    </row>
    <row r="212" spans="2:6" x14ac:dyDescent="0.35">
      <c r="B212" s="32">
        <v>6280</v>
      </c>
      <c r="C212" t="s">
        <v>216</v>
      </c>
      <c r="D212" s="32">
        <v>6</v>
      </c>
      <c r="E212" s="32" t="s">
        <v>22</v>
      </c>
      <c r="F212" t="s">
        <v>199</v>
      </c>
    </row>
    <row r="213" spans="2:6" x14ac:dyDescent="0.35">
      <c r="B213" s="32">
        <v>6310</v>
      </c>
      <c r="C213" t="s">
        <v>217</v>
      </c>
      <c r="D213" s="32">
        <v>6</v>
      </c>
      <c r="E213" s="32" t="s">
        <v>22</v>
      </c>
      <c r="F213" t="s">
        <v>199</v>
      </c>
    </row>
    <row r="214" spans="2:6" x14ac:dyDescent="0.35">
      <c r="B214" s="32">
        <v>6320</v>
      </c>
      <c r="C214" t="s">
        <v>218</v>
      </c>
      <c r="D214" s="32">
        <v>6</v>
      </c>
      <c r="E214" s="32" t="s">
        <v>22</v>
      </c>
      <c r="F214" t="s">
        <v>199</v>
      </c>
    </row>
    <row r="215" spans="2:6" x14ac:dyDescent="0.35">
      <c r="B215" s="32">
        <v>6330</v>
      </c>
      <c r="C215" t="s">
        <v>219</v>
      </c>
      <c r="D215" s="32">
        <v>6</v>
      </c>
      <c r="E215" s="32" t="s">
        <v>22</v>
      </c>
      <c r="F215" t="s">
        <v>199</v>
      </c>
    </row>
    <row r="216" spans="2:6" x14ac:dyDescent="0.35">
      <c r="B216" s="32">
        <v>6340</v>
      </c>
      <c r="C216" t="s">
        <v>220</v>
      </c>
      <c r="D216" s="32">
        <v>6</v>
      </c>
      <c r="E216" s="32" t="s">
        <v>22</v>
      </c>
      <c r="F216" t="s">
        <v>199</v>
      </c>
    </row>
    <row r="217" spans="2:6" x14ac:dyDescent="0.35">
      <c r="B217" s="32">
        <v>6350</v>
      </c>
      <c r="C217" t="s">
        <v>221</v>
      </c>
      <c r="D217" s="32">
        <v>6</v>
      </c>
      <c r="E217" s="32" t="s">
        <v>22</v>
      </c>
      <c r="F217" t="s">
        <v>199</v>
      </c>
    </row>
    <row r="218" spans="2:6" x14ac:dyDescent="0.35">
      <c r="B218" s="32">
        <v>6380</v>
      </c>
      <c r="C218" t="s">
        <v>222</v>
      </c>
      <c r="D218" s="32">
        <v>6</v>
      </c>
      <c r="E218" s="32" t="s">
        <v>22</v>
      </c>
      <c r="F218" t="s">
        <v>199</v>
      </c>
    </row>
    <row r="219" spans="2:6" x14ac:dyDescent="0.35">
      <c r="B219" s="32">
        <v>6410</v>
      </c>
      <c r="C219" t="s">
        <v>223</v>
      </c>
      <c r="D219" s="32">
        <v>6</v>
      </c>
      <c r="E219" s="32" t="s">
        <v>22</v>
      </c>
      <c r="F219" t="s">
        <v>199</v>
      </c>
    </row>
    <row r="220" spans="2:6" x14ac:dyDescent="0.35">
      <c r="B220" s="32">
        <v>6460</v>
      </c>
      <c r="C220" t="s">
        <v>224</v>
      </c>
      <c r="D220" s="32">
        <v>6</v>
      </c>
      <c r="E220" s="32" t="s">
        <v>22</v>
      </c>
      <c r="F220" t="s">
        <v>199</v>
      </c>
    </row>
    <row r="221" spans="2:6" x14ac:dyDescent="0.35">
      <c r="B221" s="32">
        <v>6470</v>
      </c>
      <c r="C221" t="s">
        <v>225</v>
      </c>
      <c r="D221" s="32">
        <v>6</v>
      </c>
      <c r="E221" s="32" t="s">
        <v>22</v>
      </c>
      <c r="F221" t="s">
        <v>199</v>
      </c>
    </row>
    <row r="222" spans="2:6" x14ac:dyDescent="0.35">
      <c r="B222" s="32">
        <v>6480</v>
      </c>
      <c r="C222" t="s">
        <v>226</v>
      </c>
      <c r="D222" s="32">
        <v>6</v>
      </c>
      <c r="E222" s="32" t="s">
        <v>22</v>
      </c>
      <c r="F222" t="s">
        <v>199</v>
      </c>
    </row>
    <row r="223" spans="2:6" x14ac:dyDescent="0.35">
      <c r="B223" s="32">
        <v>6510</v>
      </c>
      <c r="C223" t="s">
        <v>227</v>
      </c>
      <c r="D223" s="32">
        <v>6</v>
      </c>
      <c r="E223" s="32" t="s">
        <v>22</v>
      </c>
      <c r="F223" t="s">
        <v>199</v>
      </c>
    </row>
    <row r="224" spans="2:6" x14ac:dyDescent="0.35">
      <c r="B224" s="32">
        <v>6520</v>
      </c>
      <c r="C224" t="s">
        <v>228</v>
      </c>
      <c r="D224" s="32">
        <v>6</v>
      </c>
      <c r="E224" s="32" t="s">
        <v>22</v>
      </c>
      <c r="F224" t="s">
        <v>199</v>
      </c>
    </row>
    <row r="225" spans="2:6" x14ac:dyDescent="0.35">
      <c r="B225" s="32">
        <v>6610</v>
      </c>
      <c r="C225" t="s">
        <v>229</v>
      </c>
      <c r="D225" s="32">
        <v>6</v>
      </c>
      <c r="E225" s="32" t="s">
        <v>22</v>
      </c>
      <c r="F225" t="s">
        <v>199</v>
      </c>
    </row>
    <row r="226" spans="2:6" x14ac:dyDescent="0.35">
      <c r="B226" s="32">
        <v>6620</v>
      </c>
      <c r="C226" t="s">
        <v>230</v>
      </c>
      <c r="D226" s="32">
        <v>6</v>
      </c>
      <c r="E226" s="32" t="s">
        <v>22</v>
      </c>
      <c r="F226" t="s">
        <v>199</v>
      </c>
    </row>
    <row r="227" spans="2:6" x14ac:dyDescent="0.35">
      <c r="B227" s="32">
        <v>6630</v>
      </c>
      <c r="C227" t="s">
        <v>231</v>
      </c>
      <c r="D227" s="32">
        <v>6</v>
      </c>
      <c r="E227" s="32" t="s">
        <v>22</v>
      </c>
      <c r="F227" t="s">
        <v>199</v>
      </c>
    </row>
    <row r="228" spans="2:6" x14ac:dyDescent="0.35">
      <c r="B228" s="32">
        <v>6640</v>
      </c>
      <c r="C228" t="s">
        <v>232</v>
      </c>
      <c r="D228" s="32">
        <v>6</v>
      </c>
      <c r="E228" s="32" t="s">
        <v>22</v>
      </c>
      <c r="F228" t="s">
        <v>199</v>
      </c>
    </row>
    <row r="229" spans="2:6" x14ac:dyDescent="0.35">
      <c r="B229" s="32">
        <v>6650</v>
      </c>
      <c r="C229" t="s">
        <v>233</v>
      </c>
      <c r="D229" s="32">
        <v>6</v>
      </c>
      <c r="E229" s="32" t="s">
        <v>22</v>
      </c>
      <c r="F229" t="s">
        <v>199</v>
      </c>
    </row>
    <row r="230" spans="2:6" x14ac:dyDescent="0.35">
      <c r="B230" s="32">
        <v>6660</v>
      </c>
      <c r="C230" t="s">
        <v>234</v>
      </c>
      <c r="D230" s="32">
        <v>6</v>
      </c>
      <c r="E230" s="32" t="s">
        <v>22</v>
      </c>
      <c r="F230" t="s">
        <v>199</v>
      </c>
    </row>
    <row r="231" spans="2:6" x14ac:dyDescent="0.35">
      <c r="B231" s="32">
        <v>6710</v>
      </c>
      <c r="C231" t="s">
        <v>235</v>
      </c>
      <c r="D231" s="32">
        <v>6</v>
      </c>
      <c r="E231" s="32" t="s">
        <v>22</v>
      </c>
      <c r="F231" t="s">
        <v>199</v>
      </c>
    </row>
    <row r="232" spans="2:6" x14ac:dyDescent="0.35">
      <c r="B232" s="32">
        <v>6810</v>
      </c>
      <c r="C232" t="s">
        <v>236</v>
      </c>
      <c r="D232" s="32">
        <v>6</v>
      </c>
      <c r="E232" s="32" t="s">
        <v>22</v>
      </c>
      <c r="F232" t="s">
        <v>199</v>
      </c>
    </row>
    <row r="233" spans="2:6" x14ac:dyDescent="0.35">
      <c r="B233" s="32">
        <v>6811</v>
      </c>
      <c r="C233" t="s">
        <v>237</v>
      </c>
      <c r="D233" s="32">
        <v>6</v>
      </c>
      <c r="E233" s="32" t="s">
        <v>22</v>
      </c>
      <c r="F233" t="s">
        <v>199</v>
      </c>
    </row>
    <row r="234" spans="2:6" x14ac:dyDescent="0.35">
      <c r="B234" s="32">
        <v>6812</v>
      </c>
      <c r="C234" t="s">
        <v>238</v>
      </c>
      <c r="D234" s="32">
        <v>6</v>
      </c>
      <c r="E234" s="32" t="s">
        <v>22</v>
      </c>
      <c r="F234" t="s">
        <v>199</v>
      </c>
    </row>
    <row r="235" spans="2:6" x14ac:dyDescent="0.35">
      <c r="B235" s="32">
        <v>6813</v>
      </c>
      <c r="C235" t="s">
        <v>239</v>
      </c>
      <c r="D235" s="32">
        <v>6</v>
      </c>
      <c r="E235" s="32" t="s">
        <v>22</v>
      </c>
      <c r="F235" t="s">
        <v>199</v>
      </c>
    </row>
    <row r="236" spans="2:6" x14ac:dyDescent="0.35">
      <c r="B236" s="32">
        <v>6910</v>
      </c>
      <c r="C236" t="s">
        <v>240</v>
      </c>
      <c r="D236" s="32">
        <v>6</v>
      </c>
      <c r="E236" s="32" t="s">
        <v>22</v>
      </c>
      <c r="F236" t="s">
        <v>199</v>
      </c>
    </row>
    <row r="237" spans="2:6" x14ac:dyDescent="0.35">
      <c r="B237" s="32">
        <v>6920</v>
      </c>
      <c r="C237" t="s">
        <v>241</v>
      </c>
      <c r="D237" s="32">
        <v>6</v>
      </c>
      <c r="E237" s="32" t="s">
        <v>22</v>
      </c>
      <c r="F237" t="s">
        <v>199</v>
      </c>
    </row>
    <row r="238" spans="2:6" x14ac:dyDescent="0.35">
      <c r="B238" s="32">
        <v>6710</v>
      </c>
      <c r="C238" t="s">
        <v>242</v>
      </c>
      <c r="D238" s="32">
        <v>6</v>
      </c>
      <c r="E238" s="32" t="s">
        <v>22</v>
      </c>
      <c r="F238" t="s">
        <v>199</v>
      </c>
    </row>
    <row r="239" spans="2:6" x14ac:dyDescent="0.35">
      <c r="B239" s="32">
        <v>6720</v>
      </c>
      <c r="C239" t="s">
        <v>243</v>
      </c>
      <c r="D239" s="32">
        <v>6</v>
      </c>
      <c r="E239" s="32" t="s">
        <v>22</v>
      </c>
      <c r="F239" t="s">
        <v>199</v>
      </c>
    </row>
    <row r="240" spans="2:6" x14ac:dyDescent="0.35">
      <c r="B240" s="32">
        <v>6730</v>
      </c>
      <c r="C240" t="s">
        <v>244</v>
      </c>
      <c r="D240" s="32">
        <v>6</v>
      </c>
      <c r="E240" s="32" t="s">
        <v>22</v>
      </c>
      <c r="F240" t="s">
        <v>199</v>
      </c>
    </row>
    <row r="241" spans="2:6" x14ac:dyDescent="0.35">
      <c r="B241" s="32">
        <v>6740</v>
      </c>
      <c r="C241" t="s">
        <v>245</v>
      </c>
      <c r="D241" s="32">
        <v>6</v>
      </c>
      <c r="E241" s="32" t="s">
        <v>22</v>
      </c>
      <c r="F241" t="s">
        <v>199</v>
      </c>
    </row>
    <row r="242" spans="2:6" x14ac:dyDescent="0.35">
      <c r="B242" s="32">
        <v>6750</v>
      </c>
      <c r="C242" t="s">
        <v>246</v>
      </c>
      <c r="D242" s="32">
        <v>6</v>
      </c>
      <c r="E242" s="32" t="s">
        <v>22</v>
      </c>
      <c r="F242" t="s">
        <v>199</v>
      </c>
    </row>
    <row r="243" spans="2:6" x14ac:dyDescent="0.35">
      <c r="B243" s="32">
        <v>6760</v>
      </c>
      <c r="C243" t="s">
        <v>247</v>
      </c>
      <c r="D243" s="32">
        <v>6</v>
      </c>
      <c r="E243" s="32" t="s">
        <v>22</v>
      </c>
      <c r="F243" t="s">
        <v>199</v>
      </c>
    </row>
    <row r="244" spans="2:6" x14ac:dyDescent="0.35">
      <c r="B244" s="32">
        <v>6770</v>
      </c>
      <c r="C244" t="s">
        <v>248</v>
      </c>
      <c r="D244" s="32">
        <v>6</v>
      </c>
      <c r="E244" s="32" t="s">
        <v>22</v>
      </c>
      <c r="F244" t="s">
        <v>199</v>
      </c>
    </row>
    <row r="245" spans="2:6" x14ac:dyDescent="0.35">
      <c r="B245" s="32">
        <v>6780</v>
      </c>
      <c r="C245" t="s">
        <v>249</v>
      </c>
      <c r="D245" s="32">
        <v>6</v>
      </c>
      <c r="E245" s="32" t="s">
        <v>22</v>
      </c>
      <c r="F245" t="s">
        <v>199</v>
      </c>
    </row>
    <row r="246" spans="2:6" x14ac:dyDescent="0.35">
      <c r="B246" s="32">
        <v>8310</v>
      </c>
      <c r="C246" t="s">
        <v>250</v>
      </c>
      <c r="D246" s="32">
        <v>8</v>
      </c>
      <c r="E246" s="32" t="s">
        <v>22</v>
      </c>
      <c r="F246" t="s">
        <v>199</v>
      </c>
    </row>
    <row r="247" spans="2:6" x14ac:dyDescent="0.35">
      <c r="B247" s="32">
        <v>8510</v>
      </c>
      <c r="C247" t="s">
        <v>251</v>
      </c>
      <c r="D247" s="32">
        <v>8</v>
      </c>
      <c r="E247" s="32" t="s">
        <v>22</v>
      </c>
      <c r="F247" t="s">
        <v>199</v>
      </c>
    </row>
    <row r="248" spans="2:6" x14ac:dyDescent="0.35">
      <c r="B248" s="32">
        <v>8910</v>
      </c>
      <c r="C248" t="s">
        <v>252</v>
      </c>
      <c r="D248" s="32">
        <v>8</v>
      </c>
      <c r="E248" s="32" t="s">
        <v>22</v>
      </c>
      <c r="F248" t="s">
        <v>199</v>
      </c>
    </row>
    <row r="249" spans="2:6" x14ac:dyDescent="0.35">
      <c r="B249" s="32">
        <v>7010</v>
      </c>
      <c r="C249" t="s">
        <v>253</v>
      </c>
      <c r="D249" s="32">
        <v>7</v>
      </c>
      <c r="E249" s="32" t="s">
        <v>7</v>
      </c>
      <c r="F249" t="s">
        <v>199</v>
      </c>
    </row>
    <row r="250" spans="2:6" x14ac:dyDescent="0.35">
      <c r="B250" s="32">
        <v>7020</v>
      </c>
      <c r="C250" t="s">
        <v>254</v>
      </c>
      <c r="D250" s="32">
        <v>7</v>
      </c>
      <c r="E250" s="32" t="s">
        <v>7</v>
      </c>
      <c r="F250" t="s">
        <v>199</v>
      </c>
    </row>
    <row r="251" spans="2:6" x14ac:dyDescent="0.35">
      <c r="B251" s="32">
        <v>7030</v>
      </c>
      <c r="C251" t="s">
        <v>255</v>
      </c>
      <c r="D251" s="32">
        <v>7</v>
      </c>
      <c r="E251" s="32" t="s">
        <v>7</v>
      </c>
      <c r="F251" t="s">
        <v>199</v>
      </c>
    </row>
    <row r="252" spans="2:6" x14ac:dyDescent="0.35">
      <c r="B252" s="32">
        <v>7040</v>
      </c>
      <c r="C252" t="s">
        <v>256</v>
      </c>
      <c r="D252" s="32">
        <v>7</v>
      </c>
      <c r="E252" s="32" t="s">
        <v>7</v>
      </c>
      <c r="F252" t="s">
        <v>199</v>
      </c>
    </row>
    <row r="253" spans="2:6" x14ac:dyDescent="0.35">
      <c r="B253" s="32">
        <v>7050</v>
      </c>
      <c r="C253" t="s">
        <v>257</v>
      </c>
      <c r="D253" s="32">
        <v>7</v>
      </c>
      <c r="E253" s="32" t="s">
        <v>7</v>
      </c>
      <c r="F253" t="s">
        <v>199</v>
      </c>
    </row>
    <row r="254" spans="2:6" x14ac:dyDescent="0.35">
      <c r="B254" s="32">
        <v>7060</v>
      </c>
      <c r="C254" t="s">
        <v>258</v>
      </c>
      <c r="D254" s="32">
        <v>7</v>
      </c>
      <c r="E254" s="32" t="s">
        <v>7</v>
      </c>
      <c r="F254" t="s">
        <v>199</v>
      </c>
    </row>
    <row r="255" spans="2:6" x14ac:dyDescent="0.35">
      <c r="B255" s="32">
        <v>7070</v>
      </c>
      <c r="C255" t="s">
        <v>259</v>
      </c>
      <c r="D255" s="32">
        <v>7</v>
      </c>
      <c r="E255" s="32" t="s">
        <v>7</v>
      </c>
      <c r="F255" t="s">
        <v>199</v>
      </c>
    </row>
    <row r="256" spans="2:6" x14ac:dyDescent="0.35">
      <c r="B256" s="32">
        <v>7110</v>
      </c>
      <c r="C256" t="s">
        <v>260</v>
      </c>
      <c r="D256" s="32">
        <v>7</v>
      </c>
      <c r="E256" s="32" t="s">
        <v>7</v>
      </c>
      <c r="F256" t="s">
        <v>199</v>
      </c>
    </row>
    <row r="257" spans="2:6" x14ac:dyDescent="0.35">
      <c r="B257" s="32">
        <v>7120</v>
      </c>
      <c r="C257" t="s">
        <v>261</v>
      </c>
      <c r="D257" s="32">
        <v>7</v>
      </c>
      <c r="E257" s="32" t="s">
        <v>7</v>
      </c>
      <c r="F257" t="s">
        <v>199</v>
      </c>
    </row>
    <row r="258" spans="2:6" x14ac:dyDescent="0.35">
      <c r="B258" s="32">
        <v>7130</v>
      </c>
      <c r="C258" t="s">
        <v>262</v>
      </c>
      <c r="D258" s="32">
        <v>7</v>
      </c>
      <c r="E258" s="32" t="s">
        <v>7</v>
      </c>
      <c r="F258" t="s">
        <v>199</v>
      </c>
    </row>
    <row r="259" spans="2:6" x14ac:dyDescent="0.35">
      <c r="B259" s="32">
        <v>7140</v>
      </c>
      <c r="C259" t="s">
        <v>263</v>
      </c>
      <c r="D259" s="32">
        <v>7</v>
      </c>
      <c r="E259" s="32" t="s">
        <v>7</v>
      </c>
      <c r="F259" t="s">
        <v>199</v>
      </c>
    </row>
    <row r="260" spans="2:6" x14ac:dyDescent="0.35">
      <c r="B260" s="32">
        <v>7210</v>
      </c>
      <c r="C260" t="s">
        <v>264</v>
      </c>
      <c r="D260" s="32">
        <v>7</v>
      </c>
      <c r="E260" s="32" t="s">
        <v>7</v>
      </c>
      <c r="F260" t="s">
        <v>199</v>
      </c>
    </row>
    <row r="261" spans="2:6" x14ac:dyDescent="0.35">
      <c r="B261" s="32">
        <v>7220</v>
      </c>
      <c r="C261" t="s">
        <v>265</v>
      </c>
      <c r="D261" s="32">
        <v>7</v>
      </c>
      <c r="E261" s="32" t="s">
        <v>7</v>
      </c>
      <c r="F261" t="s">
        <v>199</v>
      </c>
    </row>
    <row r="262" spans="2:6" x14ac:dyDescent="0.35">
      <c r="B262" s="32">
        <v>7310</v>
      </c>
      <c r="C262" t="s">
        <v>266</v>
      </c>
      <c r="D262" s="32">
        <v>7</v>
      </c>
      <c r="E262" s="32" t="s">
        <v>7</v>
      </c>
      <c r="F262" t="s">
        <v>199</v>
      </c>
    </row>
    <row r="263" spans="2:6" x14ac:dyDescent="0.35">
      <c r="B263" s="32">
        <v>7320</v>
      </c>
      <c r="C263" t="s">
        <v>267</v>
      </c>
      <c r="D263" s="32">
        <v>7</v>
      </c>
      <c r="E263" s="32" t="s">
        <v>7</v>
      </c>
      <c r="F263" t="s">
        <v>199</v>
      </c>
    </row>
    <row r="264" spans="2:6" x14ac:dyDescent="0.35">
      <c r="B264" s="32">
        <v>7410</v>
      </c>
      <c r="C264" t="s">
        <v>268</v>
      </c>
      <c r="D264" s="32">
        <v>7</v>
      </c>
      <c r="E264" s="32" t="s">
        <v>7</v>
      </c>
      <c r="F264" t="s">
        <v>199</v>
      </c>
    </row>
    <row r="265" spans="2:6" x14ac:dyDescent="0.35">
      <c r="B265" s="32">
        <v>7510</v>
      </c>
      <c r="C265" t="s">
        <v>269</v>
      </c>
      <c r="D265" s="32">
        <v>7</v>
      </c>
      <c r="E265" s="32" t="s">
        <v>7</v>
      </c>
      <c r="F265" t="s">
        <v>199</v>
      </c>
    </row>
    <row r="266" spans="2:6" x14ac:dyDescent="0.35">
      <c r="B266" s="32">
        <v>7520</v>
      </c>
      <c r="C266" t="s">
        <v>270</v>
      </c>
      <c r="D266" s="32">
        <v>7</v>
      </c>
      <c r="E266" s="32" t="s">
        <v>7</v>
      </c>
      <c r="F266" t="s">
        <v>199</v>
      </c>
    </row>
    <row r="267" spans="2:6" x14ac:dyDescent="0.35">
      <c r="B267" s="32">
        <v>7530</v>
      </c>
      <c r="C267" t="s">
        <v>271</v>
      </c>
      <c r="D267" s="32">
        <v>7</v>
      </c>
      <c r="E267" s="32" t="s">
        <v>7</v>
      </c>
      <c r="F267" t="s">
        <v>199</v>
      </c>
    </row>
    <row r="268" spans="2:6" x14ac:dyDescent="0.35">
      <c r="B268" s="32">
        <v>7540</v>
      </c>
      <c r="C268" t="s">
        <v>272</v>
      </c>
      <c r="D268" s="32">
        <v>7</v>
      </c>
      <c r="E268" s="32" t="s">
        <v>7</v>
      </c>
      <c r="F268" t="s">
        <v>199</v>
      </c>
    </row>
    <row r="269" spans="2:6" x14ac:dyDescent="0.35">
      <c r="B269" s="32">
        <v>7550</v>
      </c>
      <c r="C269" t="s">
        <v>273</v>
      </c>
      <c r="D269" s="32">
        <v>7</v>
      </c>
      <c r="E269" s="32" t="s">
        <v>7</v>
      </c>
      <c r="F269" t="s">
        <v>199</v>
      </c>
    </row>
    <row r="270" spans="2:6" x14ac:dyDescent="0.35">
      <c r="B270" s="32">
        <v>7560</v>
      </c>
      <c r="C270" t="s">
        <v>274</v>
      </c>
      <c r="D270" s="32">
        <v>7</v>
      </c>
      <c r="E270" s="32" t="s">
        <v>7</v>
      </c>
      <c r="F270" t="s">
        <v>199</v>
      </c>
    </row>
    <row r="271" spans="2:6" x14ac:dyDescent="0.35">
      <c r="B271" s="32">
        <v>7570</v>
      </c>
      <c r="C271" t="s">
        <v>275</v>
      </c>
      <c r="D271" s="32">
        <v>7</v>
      </c>
      <c r="E271" s="32" t="s">
        <v>7</v>
      </c>
      <c r="F271" t="s">
        <v>199</v>
      </c>
    </row>
    <row r="272" spans="2:6" x14ac:dyDescent="0.35">
      <c r="B272" s="32">
        <v>7580</v>
      </c>
      <c r="C272" t="s">
        <v>276</v>
      </c>
      <c r="D272" s="32">
        <v>7</v>
      </c>
      <c r="E272" s="32" t="s">
        <v>7</v>
      </c>
      <c r="F272" t="s">
        <v>199</v>
      </c>
    </row>
    <row r="273" spans="2:6" x14ac:dyDescent="0.35">
      <c r="B273" s="32">
        <v>7710</v>
      </c>
      <c r="C273" t="s">
        <v>277</v>
      </c>
      <c r="D273" s="32">
        <v>7</v>
      </c>
      <c r="E273" s="32" t="s">
        <v>7</v>
      </c>
      <c r="F273" t="s">
        <v>199</v>
      </c>
    </row>
    <row r="274" spans="2:6" x14ac:dyDescent="0.35">
      <c r="B274" s="32">
        <v>7720</v>
      </c>
      <c r="C274" t="s">
        <v>278</v>
      </c>
      <c r="D274" s="32">
        <v>7</v>
      </c>
      <c r="E274" s="32" t="s">
        <v>7</v>
      </c>
      <c r="F274" t="s">
        <v>199</v>
      </c>
    </row>
    <row r="275" spans="2:6" x14ac:dyDescent="0.35">
      <c r="B275" s="32">
        <v>7810</v>
      </c>
      <c r="C275" t="s">
        <v>279</v>
      </c>
      <c r="D275" s="32">
        <v>7</v>
      </c>
      <c r="E275" s="32" t="s">
        <v>7</v>
      </c>
      <c r="F275" t="s">
        <v>199</v>
      </c>
    </row>
    <row r="276" spans="2:6" x14ac:dyDescent="0.35">
      <c r="B276" s="32">
        <v>8210</v>
      </c>
      <c r="C276" t="s">
        <v>280</v>
      </c>
      <c r="D276" s="32">
        <v>8</v>
      </c>
      <c r="E276" s="32" t="s">
        <v>7</v>
      </c>
      <c r="F276" t="s">
        <v>199</v>
      </c>
    </row>
    <row r="277" spans="2:6" x14ac:dyDescent="0.35">
      <c r="B277" s="32">
        <v>8410</v>
      </c>
      <c r="C277" t="s">
        <v>281</v>
      </c>
      <c r="D277" s="32">
        <v>8</v>
      </c>
      <c r="E277" s="32" t="s">
        <v>7</v>
      </c>
      <c r="F277" t="s">
        <v>199</v>
      </c>
    </row>
    <row r="278" spans="2:6" x14ac:dyDescent="0.35">
      <c r="B278" s="32">
        <v>8610</v>
      </c>
      <c r="C278" t="s">
        <v>282</v>
      </c>
      <c r="D278" s="32">
        <v>8</v>
      </c>
      <c r="E278" s="32" t="s">
        <v>7</v>
      </c>
      <c r="F278" t="s">
        <v>199</v>
      </c>
    </row>
    <row r="279" spans="2:6" x14ac:dyDescent="0.35">
      <c r="B279" s="32">
        <v>8310</v>
      </c>
      <c r="C279" t="s">
        <v>1210</v>
      </c>
      <c r="D279" s="32">
        <v>8</v>
      </c>
      <c r="E279" s="32" t="s">
        <v>22</v>
      </c>
      <c r="F279" t="s">
        <v>199</v>
      </c>
    </row>
    <row r="280" spans="2:6" x14ac:dyDescent="0.35">
      <c r="B280" s="32">
        <v>8510</v>
      </c>
      <c r="C280" t="s">
        <v>250</v>
      </c>
      <c r="D280" s="32">
        <v>8</v>
      </c>
      <c r="E280" s="32" t="s">
        <v>22</v>
      </c>
      <c r="F280" t="s">
        <v>199</v>
      </c>
    </row>
    <row r="281" spans="2:6" x14ac:dyDescent="0.35">
      <c r="B281" s="32">
        <v>8910</v>
      </c>
      <c r="C281" t="s">
        <v>566</v>
      </c>
      <c r="D281" s="32">
        <v>8</v>
      </c>
      <c r="E281" s="32" t="s">
        <v>22</v>
      </c>
      <c r="F281" t="s">
        <v>199</v>
      </c>
    </row>
  </sheetData>
  <sheetProtection sheet="1" objects="1" scenarios="1"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54098-DD96-4EC2-B351-6A71A20F853D}">
  <dimension ref="A1:M35"/>
  <sheetViews>
    <sheetView workbookViewId="0">
      <selection activeCell="J5" sqref="J5"/>
    </sheetView>
  </sheetViews>
  <sheetFormatPr baseColWidth="10" defaultRowHeight="14.5" x14ac:dyDescent="0.35"/>
  <cols>
    <col min="1" max="1" width="7.7265625" bestFit="1" customWidth="1"/>
    <col min="2" max="2" width="82.81640625" bestFit="1" customWidth="1"/>
    <col min="3" max="3" width="16.81640625" bestFit="1" customWidth="1"/>
    <col min="4" max="4" width="10.26953125" bestFit="1" customWidth="1"/>
    <col min="5" max="5" width="12.81640625" bestFit="1" customWidth="1"/>
    <col min="6" max="6" width="14.7265625" bestFit="1" customWidth="1"/>
    <col min="7" max="7" width="12.81640625" bestFit="1" customWidth="1"/>
    <col min="8" max="8" width="13.26953125" bestFit="1" customWidth="1"/>
    <col min="9" max="9" width="5.1796875" bestFit="1" customWidth="1"/>
    <col min="10" max="10" width="25.7265625" bestFit="1" customWidth="1"/>
    <col min="11" max="11" width="8.81640625" bestFit="1" customWidth="1"/>
    <col min="12" max="12" width="10.26953125" bestFit="1" customWidth="1"/>
    <col min="13" max="13" width="8.81640625" bestFit="1" customWidth="1"/>
  </cols>
  <sheetData>
    <row r="1" spans="1:13" x14ac:dyDescent="0.35">
      <c r="A1" s="15" t="str">
        <f>HYPERLINK("#'PAGE DE GARDE'!A1","⬅ Menu")</f>
        <v>⬅ Menu</v>
      </c>
      <c r="B1" s="33" t="s">
        <v>1201</v>
      </c>
      <c r="E1" s="34" t="str">
        <f>HYPERLINK("#'Journal'!A1","Journal ▶")</f>
        <v>Journal ▶</v>
      </c>
    </row>
    <row r="2" spans="1:13" ht="21" x14ac:dyDescent="0.5">
      <c r="B2" s="35" t="s">
        <v>1180</v>
      </c>
      <c r="C2" s="35"/>
      <c r="D2" s="35"/>
      <c r="E2" s="35"/>
      <c r="F2" s="35"/>
      <c r="G2" s="35"/>
      <c r="H2" s="35"/>
      <c r="J2" s="36" t="s">
        <v>1182</v>
      </c>
      <c r="K2" s="36"/>
      <c r="L2" s="36"/>
      <c r="M2" s="36"/>
    </row>
    <row r="3" spans="1:13" x14ac:dyDescent="0.35">
      <c r="B3" s="37" t="s">
        <v>1181</v>
      </c>
      <c r="C3" s="37"/>
      <c r="D3" s="37"/>
      <c r="E3" s="37"/>
      <c r="F3" s="37"/>
      <c r="G3" s="37"/>
      <c r="H3" s="37"/>
      <c r="J3" s="24" t="s">
        <v>3</v>
      </c>
      <c r="K3" s="24" t="s">
        <v>5</v>
      </c>
      <c r="L3" s="24" t="s">
        <v>1183</v>
      </c>
      <c r="M3" s="24" t="s">
        <v>1184</v>
      </c>
    </row>
    <row r="4" spans="1:13" x14ac:dyDescent="0.35">
      <c r="J4" s="38">
        <v>46027</v>
      </c>
      <c r="K4" s="39" t="s">
        <v>337</v>
      </c>
      <c r="L4" s="40" t="s">
        <v>1185</v>
      </c>
      <c r="M4" s="41" t="s">
        <v>1186</v>
      </c>
    </row>
    <row r="5" spans="1:13" ht="16" x14ac:dyDescent="0.4">
      <c r="B5" s="36" t="s">
        <v>1189</v>
      </c>
      <c r="C5" s="36"/>
      <c r="D5" s="36"/>
      <c r="E5" s="36"/>
      <c r="F5" s="36"/>
      <c r="G5" s="36"/>
      <c r="H5" s="36"/>
      <c r="J5" s="38">
        <v>46027</v>
      </c>
      <c r="K5" s="39" t="s">
        <v>419</v>
      </c>
      <c r="L5" s="41" t="s">
        <v>1186</v>
      </c>
      <c r="M5" s="40" t="s">
        <v>1185</v>
      </c>
    </row>
    <row r="6" spans="1:13" x14ac:dyDescent="0.35">
      <c r="B6" s="31" t="s">
        <v>284</v>
      </c>
      <c r="C6" s="31" t="s">
        <v>285</v>
      </c>
      <c r="D6" s="31" t="s">
        <v>286</v>
      </c>
      <c r="E6" s="31" t="s">
        <v>1</v>
      </c>
      <c r="F6" s="31" t="s">
        <v>287</v>
      </c>
      <c r="G6" s="31" t="s">
        <v>776</v>
      </c>
      <c r="H6" s="31" t="s">
        <v>1190</v>
      </c>
      <c r="J6" s="39">
        <v>6</v>
      </c>
      <c r="K6" s="39" t="s">
        <v>1187</v>
      </c>
      <c r="L6" s="40" t="s">
        <v>1185</v>
      </c>
      <c r="M6" s="41" t="s">
        <v>1186</v>
      </c>
    </row>
    <row r="7" spans="1:13" x14ac:dyDescent="0.35">
      <c r="B7" s="60"/>
      <c r="C7" s="61"/>
      <c r="D7" s="61"/>
      <c r="E7" s="61"/>
      <c r="F7" s="61"/>
      <c r="G7" s="62"/>
      <c r="H7" s="61" t="s">
        <v>1191</v>
      </c>
      <c r="J7" s="39">
        <v>7</v>
      </c>
      <c r="K7" s="39" t="s">
        <v>1188</v>
      </c>
      <c r="L7" s="41" t="s">
        <v>1186</v>
      </c>
      <c r="M7" s="40" t="s">
        <v>1185</v>
      </c>
    </row>
    <row r="9" spans="1:13" ht="16" x14ac:dyDescent="0.4">
      <c r="B9" s="36" t="s">
        <v>1192</v>
      </c>
      <c r="C9" s="36"/>
      <c r="D9" s="36"/>
      <c r="E9" s="36"/>
      <c r="F9" s="36"/>
      <c r="G9" s="36"/>
      <c r="H9" s="36"/>
      <c r="I9" s="36"/>
      <c r="J9" s="36"/>
      <c r="K9" s="36"/>
      <c r="L9" s="36"/>
    </row>
    <row r="10" spans="1:13" x14ac:dyDescent="0.35">
      <c r="B10" s="24" t="s">
        <v>661</v>
      </c>
      <c r="C10" s="24" t="s">
        <v>284</v>
      </c>
      <c r="D10" s="24" t="s">
        <v>285</v>
      </c>
      <c r="E10" s="24" t="s">
        <v>286</v>
      </c>
      <c r="F10" s="24" t="s">
        <v>1</v>
      </c>
      <c r="G10" s="24" t="s">
        <v>818</v>
      </c>
      <c r="H10" s="24" t="s">
        <v>287</v>
      </c>
      <c r="I10" s="24" t="s">
        <v>288</v>
      </c>
      <c r="J10" s="24" t="s">
        <v>289</v>
      </c>
      <c r="K10" s="24" t="s">
        <v>4</v>
      </c>
      <c r="L10" s="24" t="s">
        <v>734</v>
      </c>
    </row>
    <row r="11" spans="1:13" x14ac:dyDescent="0.35">
      <c r="B11" s="39">
        <v>1</v>
      </c>
      <c r="C11" s="39" t="str">
        <f>IF($B$7="","",$B$7)</f>
        <v/>
      </c>
      <c r="D11" s="39" t="str">
        <f>IF($C$7="","",$C$7)</f>
        <v/>
      </c>
      <c r="E11" s="39" t="str">
        <f>IF($D$7="","",$D$7)</f>
        <v/>
      </c>
      <c r="F11" s="39" t="str">
        <f>IF($E$7="","",$E$7)</f>
        <v/>
      </c>
      <c r="G11" s="39" t="str">
        <f>IF($E$7="","",IFERROR(VLOOKUP($E$7,'Plan Comptable'!$B$5:$C$278,2,FALSE),"Compte inconnu"))</f>
        <v/>
      </c>
      <c r="H11" s="39" t="str">
        <f>IF($F$7="","",$F$7)</f>
        <v/>
      </c>
      <c r="I11" s="43" t="str">
        <f>IF(OR($E$7="",$G$7=""),"",IF(OR(AND($H$7="Augmentation",K11="D"),AND($H$7="Diminution",K11="C")),$G$7,""))</f>
        <v/>
      </c>
      <c r="J11" s="44" t="str">
        <f>IF(OR($E$7="",$G$7=""),"",IF(OR(AND($H$7="Augmentation",K11="C"),AND($H$7="Diminution",K11="D")),$G$7,""))</f>
        <v/>
      </c>
      <c r="K11" s="39" t="str">
        <f>IF($E$7="","",IFERROR(VLOOKUP($E$7,'Plan Comptable'!$B$5:$E$278,4,FALSE),"?"))</f>
        <v/>
      </c>
      <c r="L11" s="39" t="str">
        <f>IF($E$7="","",IF(K11="?","⚠ Compte","✓"))</f>
        <v/>
      </c>
    </row>
    <row r="12" spans="1:13" x14ac:dyDescent="0.35">
      <c r="B12" s="39">
        <v>2</v>
      </c>
      <c r="C12" s="39" t="str">
        <f>IF(OR($B$7="",$B$15=""),"",$B$7)</f>
        <v/>
      </c>
      <c r="D12" s="39" t="str">
        <f>IF(OR($C$7="",$B$15=""),"",$C$7)</f>
        <v/>
      </c>
      <c r="E12" s="39" t="str">
        <f>IF(OR($D$7="",$B$15=""),"",$D$7)</f>
        <v/>
      </c>
      <c r="F12" s="39" t="str">
        <f>IF($B$15="","",$B$15)</f>
        <v/>
      </c>
      <c r="G12" s="39" t="str">
        <f>IF($B$15="","",IFERROR(VLOOKUP($B$15,'Plan Comptable'!$B$5:$C$278,2,FALSE),"Compte inconnu"))</f>
        <v/>
      </c>
      <c r="H12" s="39" t="str">
        <f>IF(OR($F$7="",$B$15=""),"",$F$7)</f>
        <v/>
      </c>
      <c r="I12" s="43" t="str">
        <f>IF(OR($B$15="",$G$7=""),"",IF(J11&lt;&gt;"",$G$7,""))</f>
        <v/>
      </c>
      <c r="J12" s="44" t="str">
        <f>IF(OR($B$15="",$G$7=""),"",IF(I11&lt;&gt;"",$G$7,""))</f>
        <v/>
      </c>
      <c r="K12" s="39" t="str">
        <f>IF($B$15="","",IFERROR(VLOOKUP($B$15,'Plan Comptable'!$B$5:$E$278,4,FALSE),"?"))</f>
        <v/>
      </c>
      <c r="L12" s="39" t="str">
        <f>IF($B$15="","",IF(K12="?","⚠ Compte","✓"))</f>
        <v/>
      </c>
    </row>
    <row r="13" spans="1:13" ht="16" x14ac:dyDescent="0.4">
      <c r="B13" s="23" t="s">
        <v>1193</v>
      </c>
      <c r="C13" s="23"/>
      <c r="D13" s="23"/>
      <c r="E13" s="23"/>
      <c r="F13" s="23"/>
      <c r="G13" s="23"/>
      <c r="H13" s="23"/>
    </row>
    <row r="14" spans="1:13" x14ac:dyDescent="0.35">
      <c r="B14" s="45" t="s">
        <v>1194</v>
      </c>
      <c r="C14" s="45"/>
      <c r="D14" s="45"/>
      <c r="E14" s="45" t="s">
        <v>818</v>
      </c>
      <c r="F14" s="45"/>
      <c r="G14" s="45"/>
    </row>
    <row r="15" spans="1:13" x14ac:dyDescent="0.35">
      <c r="B15" s="61"/>
      <c r="C15" s="42"/>
      <c r="D15" s="42"/>
      <c r="E15" s="46" t="str">
        <f>IF(B15="","",IFERROR(VLOOKUP(B15,'Plan Comptable'!$B$5:$C$278,2,FALSE),"Compte inconnu"))</f>
        <v/>
      </c>
      <c r="F15" s="46"/>
      <c r="G15" s="46"/>
    </row>
    <row r="17" spans="2:12" ht="16" x14ac:dyDescent="0.4">
      <c r="B17" s="47" t="s">
        <v>1195</v>
      </c>
      <c r="C17" s="47"/>
      <c r="D17" s="47"/>
      <c r="E17" s="47"/>
      <c r="F17" s="47"/>
    </row>
    <row r="18" spans="2:12" x14ac:dyDescent="0.35">
      <c r="B18" s="48" t="s">
        <v>1029</v>
      </c>
      <c r="C18" s="49" t="str">
        <f>IF($E$7="","",SUM(I11:I12))</f>
        <v/>
      </c>
      <c r="D18" s="48" t="s">
        <v>1030</v>
      </c>
      <c r="E18" s="50" t="str">
        <f>IF($E$7="","",SUM(J11:J12))</f>
        <v/>
      </c>
      <c r="F18" s="48" t="str">
        <f>IF($E$7="","",IF(ABS(C18-E18)&lt;0.01,"✓ ÉQUILIBRÉ","⚠ DÉSÉQUILIBRÉ"))</f>
        <v/>
      </c>
    </row>
    <row r="19" spans="2:12" ht="16" x14ac:dyDescent="0.4">
      <c r="B19" s="51" t="s">
        <v>1203</v>
      </c>
      <c r="C19" s="51"/>
      <c r="D19" s="51"/>
      <c r="E19" s="51"/>
      <c r="F19" s="51"/>
      <c r="G19" s="51"/>
      <c r="H19" s="51"/>
    </row>
    <row r="20" spans="2:12" x14ac:dyDescent="0.35">
      <c r="B20" s="48" t="s">
        <v>1032</v>
      </c>
      <c r="C20" s="48" t="str">
        <f>IF(OR($E$7="",$G$7=""),"⚠ Saisie incomplète",IF(F18="✓ ÉQUILIBRÉ","✓ Prêt à transférer","⚠ Écriture déséquilibrée"))</f>
        <v>⚠ Saisie incomplète</v>
      </c>
      <c r="D20" s="48"/>
      <c r="E20" s="48"/>
    </row>
    <row r="21" spans="2:12" x14ac:dyDescent="0.35">
      <c r="B21" s="26" t="s">
        <v>1204</v>
      </c>
      <c r="C21" s="52" cm="1">
        <f t="array" ref="C21">MATCH(TRUE,INDEX(Journal!B6:B507="",0),0)+5</f>
        <v>6</v>
      </c>
    </row>
    <row r="23" spans="2:12" x14ac:dyDescent="0.35">
      <c r="B23" s="53" t="str">
        <f>"📤 DONNÉES À TRANSFÉRER (copier B24:L25 → Journal ligne "&amp;C21&amp;")"</f>
        <v>📤 DONNÉES À TRANSFÉRER (copier B24:L25 → Journal ligne 6)</v>
      </c>
      <c r="C23" s="53"/>
      <c r="D23" s="53"/>
      <c r="E23" s="53"/>
      <c r="F23" s="53"/>
      <c r="G23" s="53"/>
      <c r="H23" s="53"/>
      <c r="I23" s="53"/>
      <c r="J23" s="53"/>
      <c r="K23" s="53"/>
      <c r="L23" s="53"/>
    </row>
    <row r="24" spans="2:12" x14ac:dyDescent="0.35">
      <c r="B24" s="54" t="s">
        <v>284</v>
      </c>
      <c r="C24" s="54" t="s">
        <v>285</v>
      </c>
      <c r="D24" s="54" t="s">
        <v>286</v>
      </c>
      <c r="E24" s="54" t="s">
        <v>1</v>
      </c>
      <c r="F24" s="54" t="s">
        <v>287</v>
      </c>
      <c r="G24" s="54" t="s">
        <v>288</v>
      </c>
      <c r="H24" s="54" t="s">
        <v>289</v>
      </c>
    </row>
    <row r="25" spans="2:12" x14ac:dyDescent="0.35">
      <c r="B25" s="55" t="str">
        <f>IF($E$7="","",C11)</f>
        <v/>
      </c>
      <c r="C25" s="44" t="str">
        <f>IF($E$7="","",D11)</f>
        <v/>
      </c>
      <c r="D25" s="44" t="str">
        <f>IF($E$7="","",E11)</f>
        <v/>
      </c>
      <c r="E25" s="44" t="str">
        <f>IF($E$7="","",F11)</f>
        <v/>
      </c>
      <c r="F25" s="44" t="str">
        <f>IF($E$7="","",H11)</f>
        <v/>
      </c>
      <c r="G25" s="56" t="str">
        <f>IF($E$7="","",I11)</f>
        <v/>
      </c>
      <c r="H25" s="56" t="str">
        <f>IF($E$7="","",J11)</f>
        <v/>
      </c>
    </row>
    <row r="26" spans="2:12" x14ac:dyDescent="0.35">
      <c r="B26" s="55" t="str">
        <f>IF(OR($E$7="",$B$15=""),"",C12)</f>
        <v/>
      </c>
      <c r="C26" s="44" t="str">
        <f>IF(OR($E$7="",$B$15=""),"",D12)</f>
        <v/>
      </c>
      <c r="D26" s="44" t="str">
        <f>IF(OR($E$7="",$B$15=""),"",E12)</f>
        <v/>
      </c>
      <c r="E26" s="44" t="str">
        <f>IF(OR($E$7="",$B$15=""),"",F12)</f>
        <v/>
      </c>
      <c r="F26" s="44" t="str">
        <f>IF(OR($E$7="",$B$15=""),"",H12)</f>
        <v/>
      </c>
      <c r="G26" s="56" t="str">
        <f>IF(OR($E$7="",$B$15=""),"",I12)</f>
        <v/>
      </c>
      <c r="H26" s="56" t="str">
        <f>IF(OR($E$7="",$B$15=""),"",J12)</f>
        <v/>
      </c>
    </row>
    <row r="28" spans="2:12" x14ac:dyDescent="0.35">
      <c r="B28" s="52" t="s">
        <v>1205</v>
      </c>
      <c r="C28" s="52"/>
      <c r="D28" s="52"/>
      <c r="E28" s="52"/>
      <c r="F28" s="52"/>
      <c r="G28" s="52"/>
      <c r="H28" s="52"/>
    </row>
    <row r="29" spans="2:12" x14ac:dyDescent="0.35">
      <c r="B29" s="57" t="s">
        <v>1206</v>
      </c>
      <c r="C29" s="57"/>
      <c r="D29" s="57"/>
      <c r="E29" s="57"/>
      <c r="F29" s="57"/>
      <c r="G29" s="57"/>
      <c r="H29" s="57"/>
    </row>
    <row r="30" spans="2:12" x14ac:dyDescent="0.35">
      <c r="B30" s="57" t="s">
        <v>1207</v>
      </c>
      <c r="C30" s="57"/>
      <c r="D30" s="57"/>
      <c r="E30" s="57"/>
      <c r="F30" s="57"/>
      <c r="G30" s="57"/>
      <c r="H30" s="57"/>
    </row>
    <row r="31" spans="2:12" x14ac:dyDescent="0.35">
      <c r="B31" s="57" t="s">
        <v>1208</v>
      </c>
      <c r="C31" s="57"/>
      <c r="D31" s="57"/>
      <c r="E31" s="57"/>
      <c r="F31" s="57"/>
      <c r="G31" s="57"/>
      <c r="H31" s="57"/>
    </row>
    <row r="32" spans="2:12" x14ac:dyDescent="0.35">
      <c r="B32" s="57" t="str">
        <f>"4. Collez en B"&amp;C21&amp;" (Collage spécial → Valeurs)"</f>
        <v>4. Collez en B6 (Collage spécial → Valeurs)</v>
      </c>
      <c r="C32" s="57"/>
      <c r="D32" s="57"/>
      <c r="E32" s="57"/>
      <c r="F32" s="57"/>
      <c r="G32" s="57"/>
      <c r="H32" s="57"/>
    </row>
    <row r="33" spans="2:8" x14ac:dyDescent="0.35">
      <c r="B33" s="57" t="s">
        <v>1209</v>
      </c>
      <c r="C33" s="57"/>
      <c r="D33" s="57"/>
      <c r="E33" s="57"/>
      <c r="F33" s="57"/>
      <c r="G33" s="57"/>
      <c r="H33" s="57"/>
    </row>
    <row r="35" spans="2:8" x14ac:dyDescent="0.35">
      <c r="B35" s="58" t="str">
        <f>HYPERLINK("#Journal!B"&amp;C21,"📓 Aller au Journal (ligne "&amp;C21&amp;")")</f>
        <v>📓 Aller au Journal (ligne 6)</v>
      </c>
      <c r="D35" s="59" t="str">
        <f>HYPERLINK("#'Saisie Rapide'!B7","🔄 Nouvelle saisie")</f>
        <v>🔄 Nouvelle saisie</v>
      </c>
    </row>
  </sheetData>
  <sheetProtection sheet="1" objects="1" scenarios="1" sort="0" autoFilter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F1CB0-06CB-4FDA-ACA5-032BDF6A90AF}">
  <sheetPr codeName="Feuil7"/>
  <dimension ref="A1:S509"/>
  <sheetViews>
    <sheetView showGridLines="0" zoomScale="89" workbookViewId="0">
      <pane ySplit="5" topLeftCell="A509" activePane="bottomLeft" state="frozen"/>
      <selection pane="bottomLeft" activeCell="G525" sqref="G525"/>
    </sheetView>
  </sheetViews>
  <sheetFormatPr baseColWidth="10" defaultRowHeight="14.5" x14ac:dyDescent="0.35"/>
  <cols>
    <col min="1" max="1" width="14.1796875" bestFit="1" customWidth="1"/>
    <col min="2" max="2" width="38.453125" bestFit="1" customWidth="1"/>
    <col min="3" max="3" width="9.81640625" hidden="1" customWidth="1"/>
    <col min="4" max="4" width="11.26953125" hidden="1" customWidth="1"/>
    <col min="5" max="6" width="13.26953125" bestFit="1" customWidth="1"/>
    <col min="7" max="7" width="15.54296875" bestFit="1" customWidth="1"/>
    <col min="8" max="8" width="11.7265625" hidden="1" customWidth="1"/>
    <col min="9" max="9" width="19.453125" bestFit="1" customWidth="1"/>
    <col min="10" max="10" width="19.26953125" bestFit="1" customWidth="1"/>
    <col min="11" max="11" width="10.54296875" bestFit="1" customWidth="1"/>
    <col min="12" max="12" width="11.26953125" bestFit="1" customWidth="1"/>
    <col min="13" max="13" width="11.1796875" bestFit="1" customWidth="1"/>
    <col min="14" max="14" width="13.26953125" hidden="1" customWidth="1"/>
    <col min="15" max="15" width="13.81640625" hidden="1" customWidth="1"/>
    <col min="16" max="16" width="15.7265625" hidden="1" customWidth="1"/>
    <col min="17" max="17" width="13.54296875" hidden="1" customWidth="1"/>
    <col min="18" max="18" width="11" bestFit="1" customWidth="1"/>
    <col min="19" max="19" width="13" bestFit="1" customWidth="1"/>
  </cols>
  <sheetData>
    <row r="1" spans="1:19" x14ac:dyDescent="0.35">
      <c r="A1" s="15" t="str">
        <f>HYPERLINK("#'PAGE DE GARDE'!A1","⬅ Menu")</f>
        <v>⬅ Menu</v>
      </c>
      <c r="B1" s="33" t="s">
        <v>1201</v>
      </c>
      <c r="C1" s="63" t="str">
        <f>HYPERLINK("#'Saisie Rapide'!A1","◀ Saisie Rapide")</f>
        <v>◀ Saisie Rapide</v>
      </c>
      <c r="E1" s="34" t="str">
        <f>HYPERLINK("#'Grand Livre'!A1","Grand Livre ▶")</f>
        <v>Grand Livre ▶</v>
      </c>
    </row>
    <row r="2" spans="1:19" ht="18.5" x14ac:dyDescent="0.45">
      <c r="B2" s="18" t="s">
        <v>283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</row>
    <row r="3" spans="1:19" x14ac:dyDescent="0.35">
      <c r="A3" s="53" t="s">
        <v>1066</v>
      </c>
      <c r="B3" s="40" t="s">
        <v>1067</v>
      </c>
      <c r="C3" s="64" t="s">
        <v>1068</v>
      </c>
      <c r="D3" s="65">
        <f>IF(OR($B$3="Tous",$B$3=1,$B$3="T1",$B$3="S1"),COUNTIF(C6:C508,1),"-")</f>
        <v>0</v>
      </c>
      <c r="E3" s="64" t="s">
        <v>1069</v>
      </c>
      <c r="F3" s="65">
        <f>IF(OR($B$3="Tous",$B$3=2,$B$3="T1",$B$3="S1"),COUNTIF(C6:C508,2),"-")</f>
        <v>0</v>
      </c>
      <c r="G3" s="64" t="s">
        <v>1070</v>
      </c>
      <c r="H3" s="65">
        <f>IF(OR($B$3="Tous",$B$3=3,$B$3="T1",$B$3="S1"),COUNTIF(C6:C508,3),"-")</f>
        <v>0</v>
      </c>
      <c r="I3" s="64" t="s">
        <v>1071</v>
      </c>
      <c r="J3" s="65">
        <f>IF(OR($B$3="Tous",$B$3=4,$B$3="T2",$B$3="S1"),COUNTIF(C6:C508,4),"-")</f>
        <v>0</v>
      </c>
      <c r="K3" s="64" t="s">
        <v>1072</v>
      </c>
      <c r="L3" s="65">
        <f>IF(OR($B$3="Tous",$B$3=5,$B$3="T2",$B$3="S1"),COUNTIF(C6:C508,5),"-")</f>
        <v>0</v>
      </c>
      <c r="M3" s="64" t="s">
        <v>1073</v>
      </c>
      <c r="N3" s="65">
        <f>IF(OR($B$3="Tous",$B$3=6,$B$3="T2",$B$3="S1"),COUNTIF(C6:C508,6),"-")</f>
        <v>0</v>
      </c>
      <c r="O3" s="64" t="s">
        <v>1074</v>
      </c>
      <c r="P3" s="65" cm="1">
        <f t="array" ref="P3">IF(OR($B$3="Tous",AND($B$3&gt;=7,$B$3&lt;=12),$B$3="T3",$B$3="T4",$B$3="S2"),SUM(COUNTIF(C6:C508,{7,8,9,10,11,12})),"-")</f>
        <v>0</v>
      </c>
      <c r="Q3" s="66"/>
      <c r="R3" s="66"/>
      <c r="S3" s="66"/>
    </row>
    <row r="4" spans="1:19" ht="18.5" x14ac:dyDescent="0.45">
      <c r="A4" s="67" t="s">
        <v>1027</v>
      </c>
      <c r="B4" s="67"/>
      <c r="C4" s="68" t="s">
        <v>1028</v>
      </c>
      <c r="D4" s="69">
        <f>COUNTA(B6:B507)</f>
        <v>0</v>
      </c>
      <c r="E4" s="70"/>
      <c r="F4" s="68" t="s">
        <v>1029</v>
      </c>
      <c r="G4" s="69">
        <f>SUM(K6:K507)</f>
        <v>0</v>
      </c>
      <c r="H4" s="68" t="s">
        <v>1030</v>
      </c>
      <c r="I4" s="69">
        <f>SUM(L6:L507)</f>
        <v>0</v>
      </c>
      <c r="J4" s="68" t="s">
        <v>1031</v>
      </c>
      <c r="K4" s="69">
        <f>G4-I4</f>
        <v>0</v>
      </c>
      <c r="L4" s="68" t="s">
        <v>1032</v>
      </c>
      <c r="M4" s="68" t="str">
        <f>IF(ABS(K4)&lt;1,"✓ ÉQUILIBRÉ","⚠ DÉSÉQUILIBRÉ")</f>
        <v>✓ ÉQUILIBRÉ</v>
      </c>
      <c r="N4" s="71"/>
      <c r="O4" s="71" t="s">
        <v>1033</v>
      </c>
      <c r="P4" s="72">
        <f>COUNTIF(M6:M508,"⚠*")</f>
        <v>0</v>
      </c>
      <c r="Q4" s="73"/>
    </row>
    <row r="5" spans="1:19" x14ac:dyDescent="0.35">
      <c r="A5" s="74" t="s">
        <v>845</v>
      </c>
      <c r="B5" s="31" t="s">
        <v>284</v>
      </c>
      <c r="C5" s="74" t="s">
        <v>1022</v>
      </c>
      <c r="D5" s="74" t="s">
        <v>1023</v>
      </c>
      <c r="E5" s="31" t="s">
        <v>285</v>
      </c>
      <c r="F5" s="31" t="s">
        <v>286</v>
      </c>
      <c r="G5" s="31" t="s">
        <v>1</v>
      </c>
      <c r="H5" s="74" t="s">
        <v>3</v>
      </c>
      <c r="I5" s="74" t="s">
        <v>818</v>
      </c>
      <c r="J5" s="31" t="s">
        <v>287</v>
      </c>
      <c r="K5" s="31" t="s">
        <v>288</v>
      </c>
      <c r="L5" s="31" t="s">
        <v>289</v>
      </c>
      <c r="M5" s="31" t="s">
        <v>734</v>
      </c>
      <c r="N5" s="74" t="s">
        <v>819</v>
      </c>
      <c r="O5" s="74" t="s">
        <v>1024</v>
      </c>
      <c r="P5" s="74" t="s">
        <v>1025</v>
      </c>
      <c r="Q5" s="74" t="s">
        <v>1026</v>
      </c>
      <c r="R5" s="31" t="s">
        <v>660</v>
      </c>
      <c r="S5" s="31" t="s">
        <v>1039</v>
      </c>
    </row>
    <row r="6" spans="1:19" x14ac:dyDescent="0.35">
      <c r="A6" s="75" t="str">
        <f>IF(B6="","",ROW()-4)</f>
        <v/>
      </c>
      <c r="B6" s="81"/>
      <c r="C6" s="75" t="str">
        <f>IF(B6="","",MONTH(B6))</f>
        <v/>
      </c>
      <c r="D6" s="75" t="str">
        <f>IF(B6="","",YEAR(B6))</f>
        <v/>
      </c>
      <c r="E6" s="14"/>
      <c r="F6" s="14"/>
      <c r="G6" s="14"/>
      <c r="H6" s="75" t="str">
        <f>IF(G6="","",LEFT(G6,1))</f>
        <v/>
      </c>
      <c r="I6" s="77" t="str">
        <f>IF(G6="","",IFERROR(VLOOKUP(G6,'Plan Comptable'!$B$5:$C$278,2,FALSE),"Compte inconnu"))</f>
        <v/>
      </c>
      <c r="J6" s="83"/>
      <c r="K6" s="83"/>
      <c r="L6" s="14"/>
      <c r="M6" s="32" t="str">
        <f t="shared" ref="M6:M69" si="0">IF(B6="","",IF(AND(OR(K6="",L6=""),K6&lt;&gt;L6),"",IF(AND(K6&lt;&gt;"",L6&lt;&gt;"",ABS(K6-L6)&gt;=0.01),"⚠ D/C",IF(AND(E6&lt;&gt;"",F6&lt;&gt;"",COUNTIFS($F$6:$F$508,F6,$E$6:$E$508,E6)&gt;1),"⚠ DBL",IF(AND(E6&lt;&gt;"",ABS(SUMIF($E$6:$E$507,E6,$K$6:$K$507)-SUMIF($E$6:$E$507,E6,$L$6:$L$507))&gt;=0.01),"⚠ PÈC",IF(AND(DebutExercice&lt;&gt;"",FinExercice&lt;&gt;"",OR(B6&lt;DebutExercice,B6&gt;FinExercice)),"⚠ DATE","✓"))))))</f>
        <v/>
      </c>
      <c r="N6" s="77" t="str">
        <f>IF(OR(E6="",F6=""),"",IF(COUNTIFS($F$6:$F$508,F6,$E$6:$E$508,E6)&gt;1,"DOUBLON",""))</f>
        <v/>
      </c>
      <c r="O6" s="75" t="str">
        <f>IF(E6="","",IF(ABS(SUMIF($E$6:$E$507,E6,$K$6:$K$507)-SUMIF($E$6:$E$507,E6,$L$6:$L$507))&lt;0.01,"✓","⚠"))</f>
        <v/>
      </c>
      <c r="P6" s="79" t="str">
        <f>IF(B6="","",SUM($K$6:K6)-SUM($L$6:L6))</f>
        <v/>
      </c>
      <c r="Q6" s="75" t="str">
        <f t="shared" ref="Q6:Q69" si="1">IF(B6="","",IF(OR(DebutExercice="",FinExercice=""),"?",IF(AND(B6&gt;=DebutExercice,B6&lt;=FinExercice),"✓","⚠ Hors")))</f>
        <v/>
      </c>
      <c r="R6" s="84"/>
      <c r="S6" s="84"/>
    </row>
    <row r="7" spans="1:19" x14ac:dyDescent="0.35">
      <c r="A7" s="75" t="str">
        <f t="shared" ref="A7:A70" si="2">IF(B7="","",ROW()-4)</f>
        <v/>
      </c>
      <c r="B7" s="81"/>
      <c r="C7" s="75" t="str">
        <f t="shared" ref="C7:C70" si="3">IF(B7="","",MONTH(B7))</f>
        <v/>
      </c>
      <c r="D7" s="75" t="str">
        <f t="shared" ref="D7:D70" si="4">IF(B7="","",YEAR(B7))</f>
        <v/>
      </c>
      <c r="E7" s="14"/>
      <c r="F7" s="14"/>
      <c r="G7" s="14"/>
      <c r="H7" s="75" t="str">
        <f t="shared" ref="H7:H70" si="5">IF(G7="","",LEFT(G7,1))</f>
        <v/>
      </c>
      <c r="I7" s="77" t="str">
        <f>IF(G7="","",IFERROR(VLOOKUP(G7,'Plan Comptable'!$B$5:$C$278,2,FALSE),"Compte inconnu"))</f>
        <v/>
      </c>
      <c r="J7" s="83"/>
      <c r="K7" s="83"/>
      <c r="L7" s="14"/>
      <c r="M7" s="32" t="str">
        <f t="shared" si="0"/>
        <v/>
      </c>
      <c r="N7" s="77" t="str">
        <f t="shared" ref="N7:N70" si="6">IF(OR(E7="",F7=""),"",IF(COUNTIFS($F$6:$F$508,F7,$E$6:$E$508,E7)&gt;1,"DOUBLON",""))</f>
        <v/>
      </c>
      <c r="O7" s="75" t="str">
        <f t="shared" ref="O7:O70" si="7">IF(E7="","",IF(ABS(SUMIF($E$6:$E$507,E7,$K$6:$K$507)-SUMIF($E$6:$E$507,E7,$L$6:$L$507))&lt;0.01,"✓","⚠"))</f>
        <v/>
      </c>
      <c r="P7" s="79" t="str">
        <f>IF(B7="","",SUM($K$6:K7)-SUM($L$6:L7))</f>
        <v/>
      </c>
      <c r="Q7" s="75" t="str">
        <f t="shared" si="1"/>
        <v/>
      </c>
      <c r="R7" s="84"/>
      <c r="S7" s="84"/>
    </row>
    <row r="8" spans="1:19" x14ac:dyDescent="0.35">
      <c r="A8" s="75" t="str">
        <f t="shared" si="2"/>
        <v/>
      </c>
      <c r="B8" s="81"/>
      <c r="C8" s="75" t="str">
        <f t="shared" si="3"/>
        <v/>
      </c>
      <c r="D8" s="75" t="str">
        <f t="shared" si="4"/>
        <v/>
      </c>
      <c r="E8" s="14"/>
      <c r="F8" s="14"/>
      <c r="G8" s="14"/>
      <c r="H8" s="75" t="str">
        <f t="shared" si="5"/>
        <v/>
      </c>
      <c r="I8" s="77" t="str">
        <f>IF(G8="","",IFERROR(VLOOKUP(G8,'Plan Comptable'!$B$5:$C$278,2,FALSE),"Compte inconnu"))</f>
        <v/>
      </c>
      <c r="J8" s="83"/>
      <c r="K8" s="83"/>
      <c r="L8" s="14"/>
      <c r="M8" s="32" t="str">
        <f t="shared" si="0"/>
        <v/>
      </c>
      <c r="N8" s="77" t="str">
        <f t="shared" si="6"/>
        <v/>
      </c>
      <c r="O8" s="75" t="str">
        <f t="shared" si="7"/>
        <v/>
      </c>
      <c r="P8" s="79" t="str">
        <f>IF(B8="","",SUM($K$6:K8)-SUM($L$6:L8))</f>
        <v/>
      </c>
      <c r="Q8" s="75" t="str">
        <f t="shared" si="1"/>
        <v/>
      </c>
      <c r="R8" s="84"/>
      <c r="S8" s="84"/>
    </row>
    <row r="9" spans="1:19" x14ac:dyDescent="0.35">
      <c r="A9" s="75" t="str">
        <f t="shared" si="2"/>
        <v/>
      </c>
      <c r="B9" s="81"/>
      <c r="C9" s="75" t="str">
        <f t="shared" si="3"/>
        <v/>
      </c>
      <c r="D9" s="75" t="str">
        <f t="shared" si="4"/>
        <v/>
      </c>
      <c r="E9" s="14"/>
      <c r="F9" s="14"/>
      <c r="G9" s="14"/>
      <c r="H9" s="75" t="str">
        <f t="shared" si="5"/>
        <v/>
      </c>
      <c r="I9" s="77" t="str">
        <f>IF(G9="","",IFERROR(VLOOKUP(G9,'Plan Comptable'!$B$5:$C$278,2,FALSE),"Compte inconnu"))</f>
        <v/>
      </c>
      <c r="J9" s="83"/>
      <c r="K9" s="83"/>
      <c r="L9" s="14"/>
      <c r="M9" s="32" t="str">
        <f t="shared" si="0"/>
        <v/>
      </c>
      <c r="N9" s="77" t="str">
        <f t="shared" si="6"/>
        <v/>
      </c>
      <c r="O9" s="75" t="str">
        <f t="shared" si="7"/>
        <v/>
      </c>
      <c r="P9" s="79" t="str">
        <f>IF(B9="","",SUM($K$6:K9)-SUM($L$6:L9))</f>
        <v/>
      </c>
      <c r="Q9" s="75" t="str">
        <f t="shared" si="1"/>
        <v/>
      </c>
      <c r="R9" s="84"/>
      <c r="S9" s="84"/>
    </row>
    <row r="10" spans="1:19" x14ac:dyDescent="0.35">
      <c r="A10" s="75" t="str">
        <f t="shared" si="2"/>
        <v/>
      </c>
      <c r="B10" s="81"/>
      <c r="C10" s="75" t="str">
        <f t="shared" si="3"/>
        <v/>
      </c>
      <c r="D10" s="75" t="str">
        <f t="shared" si="4"/>
        <v/>
      </c>
      <c r="E10" s="14"/>
      <c r="F10" s="14"/>
      <c r="G10" s="14"/>
      <c r="H10" s="75" t="str">
        <f t="shared" si="5"/>
        <v/>
      </c>
      <c r="I10" s="77" t="str">
        <f>IF(G10="","",IFERROR(VLOOKUP(G10,'Plan Comptable'!$B$5:$C$278,2,FALSE),"Compte inconnu"))</f>
        <v/>
      </c>
      <c r="J10" s="83"/>
      <c r="K10" s="83"/>
      <c r="L10" s="14"/>
      <c r="M10" s="32" t="str">
        <f t="shared" si="0"/>
        <v/>
      </c>
      <c r="N10" s="77" t="str">
        <f t="shared" si="6"/>
        <v/>
      </c>
      <c r="O10" s="75" t="str">
        <f t="shared" si="7"/>
        <v/>
      </c>
      <c r="P10" s="79" t="str">
        <f>IF(B10="","",SUM($K$6:K10)-SUM($L$6:L10))</f>
        <v/>
      </c>
      <c r="Q10" s="75" t="str">
        <f t="shared" si="1"/>
        <v/>
      </c>
      <c r="R10" s="84"/>
      <c r="S10" s="84"/>
    </row>
    <row r="11" spans="1:19" x14ac:dyDescent="0.35">
      <c r="A11" s="75" t="str">
        <f t="shared" si="2"/>
        <v/>
      </c>
      <c r="B11" s="81"/>
      <c r="C11" s="75" t="str">
        <f t="shared" si="3"/>
        <v/>
      </c>
      <c r="D11" s="75" t="str">
        <f t="shared" si="4"/>
        <v/>
      </c>
      <c r="E11" s="14"/>
      <c r="F11" s="14"/>
      <c r="G11" s="14"/>
      <c r="H11" s="75" t="str">
        <f t="shared" si="5"/>
        <v/>
      </c>
      <c r="I11" s="77" t="str">
        <f>IF(G11="","",IFERROR(VLOOKUP(G11,'Plan Comptable'!$B$5:$C$278,2,FALSE),"Compte inconnu"))</f>
        <v/>
      </c>
      <c r="J11" s="83"/>
      <c r="K11" s="83"/>
      <c r="L11" s="14"/>
      <c r="M11" s="32" t="str">
        <f t="shared" si="0"/>
        <v/>
      </c>
      <c r="N11" s="77" t="str">
        <f t="shared" si="6"/>
        <v/>
      </c>
      <c r="O11" s="75" t="str">
        <f t="shared" si="7"/>
        <v/>
      </c>
      <c r="P11" s="79" t="str">
        <f>IF(B11="","",SUM($K$6:K11)-SUM($L$6:L11))</f>
        <v/>
      </c>
      <c r="Q11" s="75" t="str">
        <f t="shared" si="1"/>
        <v/>
      </c>
      <c r="R11" s="84"/>
      <c r="S11" s="84"/>
    </row>
    <row r="12" spans="1:19" x14ac:dyDescent="0.35">
      <c r="A12" s="75" t="str">
        <f t="shared" si="2"/>
        <v/>
      </c>
      <c r="B12" s="81"/>
      <c r="C12" s="75" t="str">
        <f t="shared" si="3"/>
        <v/>
      </c>
      <c r="D12" s="75" t="str">
        <f t="shared" si="4"/>
        <v/>
      </c>
      <c r="E12" s="14"/>
      <c r="F12" s="14"/>
      <c r="G12" s="14"/>
      <c r="H12" s="75" t="str">
        <f t="shared" si="5"/>
        <v/>
      </c>
      <c r="I12" s="77" t="str">
        <f>IF(G12="","",IFERROR(VLOOKUP(G12,'Plan Comptable'!$B$5:$C$278,2,FALSE),"Compte inconnu"))</f>
        <v/>
      </c>
      <c r="J12" s="83"/>
      <c r="K12" s="83"/>
      <c r="L12" s="14"/>
      <c r="M12" s="32" t="str">
        <f t="shared" si="0"/>
        <v/>
      </c>
      <c r="N12" s="77" t="str">
        <f t="shared" si="6"/>
        <v/>
      </c>
      <c r="O12" s="75" t="str">
        <f t="shared" si="7"/>
        <v/>
      </c>
      <c r="P12" s="79" t="str">
        <f>IF(B12="","",SUM($K$6:K12)-SUM($L$6:L12))</f>
        <v/>
      </c>
      <c r="Q12" s="75" t="str">
        <f t="shared" si="1"/>
        <v/>
      </c>
      <c r="R12" s="84"/>
      <c r="S12" s="84"/>
    </row>
    <row r="13" spans="1:19" x14ac:dyDescent="0.35">
      <c r="A13" s="75" t="str">
        <f t="shared" si="2"/>
        <v/>
      </c>
      <c r="B13" s="81"/>
      <c r="C13" s="75" t="str">
        <f t="shared" si="3"/>
        <v/>
      </c>
      <c r="D13" s="75" t="str">
        <f t="shared" si="4"/>
        <v/>
      </c>
      <c r="E13" s="14"/>
      <c r="F13" s="14"/>
      <c r="G13" s="14"/>
      <c r="H13" s="75" t="str">
        <f t="shared" si="5"/>
        <v/>
      </c>
      <c r="I13" s="77" t="str">
        <f>IF(G13="","",IFERROR(VLOOKUP(G13,'Plan Comptable'!$B$5:$C$278,2,FALSE),"Compte inconnu"))</f>
        <v/>
      </c>
      <c r="J13" s="83"/>
      <c r="K13" s="83"/>
      <c r="L13" s="14"/>
      <c r="M13" s="32" t="str">
        <f t="shared" si="0"/>
        <v/>
      </c>
      <c r="N13" s="77" t="str">
        <f t="shared" si="6"/>
        <v/>
      </c>
      <c r="O13" s="75" t="str">
        <f t="shared" si="7"/>
        <v/>
      </c>
      <c r="P13" s="79" t="str">
        <f>IF(B13="","",SUM($K$6:K13)-SUM($L$6:L13))</f>
        <v/>
      </c>
      <c r="Q13" s="75" t="str">
        <f t="shared" si="1"/>
        <v/>
      </c>
      <c r="R13" s="84"/>
      <c r="S13" s="84"/>
    </row>
    <row r="14" spans="1:19" x14ac:dyDescent="0.35">
      <c r="A14" s="75" t="str">
        <f t="shared" si="2"/>
        <v/>
      </c>
      <c r="B14" s="81"/>
      <c r="C14" s="75" t="str">
        <f t="shared" si="3"/>
        <v/>
      </c>
      <c r="D14" s="75" t="str">
        <f t="shared" si="4"/>
        <v/>
      </c>
      <c r="E14" s="14"/>
      <c r="F14" s="14"/>
      <c r="G14" s="14"/>
      <c r="H14" s="75" t="str">
        <f t="shared" si="5"/>
        <v/>
      </c>
      <c r="I14" s="77" t="str">
        <f>IF(G14="","",IFERROR(VLOOKUP(G14,'Plan Comptable'!$B$5:$C$278,2,FALSE),"Compte inconnu"))</f>
        <v/>
      </c>
      <c r="J14" s="83"/>
      <c r="K14" s="83"/>
      <c r="L14" s="14"/>
      <c r="M14" s="32" t="str">
        <f t="shared" si="0"/>
        <v/>
      </c>
      <c r="N14" s="77" t="str">
        <f t="shared" si="6"/>
        <v/>
      </c>
      <c r="O14" s="75" t="str">
        <f t="shared" si="7"/>
        <v/>
      </c>
      <c r="P14" s="79" t="str">
        <f>IF(B14="","",SUM($K$6:K14)-SUM($L$6:L14))</f>
        <v/>
      </c>
      <c r="Q14" s="75" t="str">
        <f t="shared" si="1"/>
        <v/>
      </c>
      <c r="R14" s="84"/>
      <c r="S14" s="84"/>
    </row>
    <row r="15" spans="1:19" x14ac:dyDescent="0.35">
      <c r="A15" s="75" t="str">
        <f t="shared" si="2"/>
        <v/>
      </c>
      <c r="B15" s="81"/>
      <c r="C15" s="75" t="str">
        <f t="shared" si="3"/>
        <v/>
      </c>
      <c r="D15" s="75" t="str">
        <f t="shared" si="4"/>
        <v/>
      </c>
      <c r="E15" s="14"/>
      <c r="F15" s="14"/>
      <c r="G15" s="14"/>
      <c r="H15" s="75" t="str">
        <f t="shared" si="5"/>
        <v/>
      </c>
      <c r="I15" s="77" t="str">
        <f>IF(G15="","",IFERROR(VLOOKUP(G15,'Plan Comptable'!$B$5:$C$278,2,FALSE),"Compte inconnu"))</f>
        <v/>
      </c>
      <c r="J15" s="83"/>
      <c r="K15" s="83"/>
      <c r="L15" s="14"/>
      <c r="M15" s="32" t="str">
        <f t="shared" si="0"/>
        <v/>
      </c>
      <c r="N15" s="77" t="str">
        <f t="shared" si="6"/>
        <v/>
      </c>
      <c r="O15" s="75" t="str">
        <f t="shared" si="7"/>
        <v/>
      </c>
      <c r="P15" s="79" t="str">
        <f>IF(B15="","",SUM($K$6:K15)-SUM($L$6:L15))</f>
        <v/>
      </c>
      <c r="Q15" s="75" t="str">
        <f t="shared" si="1"/>
        <v/>
      </c>
      <c r="R15" s="84"/>
      <c r="S15" s="84"/>
    </row>
    <row r="16" spans="1:19" x14ac:dyDescent="0.35">
      <c r="A16" s="75" t="str">
        <f t="shared" si="2"/>
        <v/>
      </c>
      <c r="B16" s="81"/>
      <c r="C16" s="75" t="str">
        <f t="shared" si="3"/>
        <v/>
      </c>
      <c r="D16" s="75" t="str">
        <f t="shared" si="4"/>
        <v/>
      </c>
      <c r="E16" s="14"/>
      <c r="F16" s="14"/>
      <c r="G16" s="14"/>
      <c r="H16" s="75" t="str">
        <f t="shared" si="5"/>
        <v/>
      </c>
      <c r="I16" s="77" t="str">
        <f>IF(G16="","",IFERROR(VLOOKUP(G16,'Plan Comptable'!$B$5:$C$278,2,FALSE),"Compte inconnu"))</f>
        <v/>
      </c>
      <c r="J16" s="83"/>
      <c r="K16" s="83"/>
      <c r="L16" s="14"/>
      <c r="M16" s="32" t="str">
        <f t="shared" si="0"/>
        <v/>
      </c>
      <c r="N16" s="77" t="str">
        <f t="shared" si="6"/>
        <v/>
      </c>
      <c r="O16" s="75" t="str">
        <f t="shared" si="7"/>
        <v/>
      </c>
      <c r="P16" s="79" t="str">
        <f>IF(B16="","",SUM($K$6:K16)-SUM($L$6:L16))</f>
        <v/>
      </c>
      <c r="Q16" s="75" t="str">
        <f t="shared" si="1"/>
        <v/>
      </c>
      <c r="R16" s="84"/>
      <c r="S16" s="84"/>
    </row>
    <row r="17" spans="1:19" x14ac:dyDescent="0.35">
      <c r="A17" s="75" t="str">
        <f t="shared" si="2"/>
        <v/>
      </c>
      <c r="B17" s="81"/>
      <c r="C17" s="75" t="str">
        <f t="shared" si="3"/>
        <v/>
      </c>
      <c r="D17" s="75" t="str">
        <f t="shared" si="4"/>
        <v/>
      </c>
      <c r="E17" s="14"/>
      <c r="F17" s="14"/>
      <c r="G17" s="14"/>
      <c r="H17" s="75" t="str">
        <f t="shared" si="5"/>
        <v/>
      </c>
      <c r="I17" s="77" t="str">
        <f>IF(G17="","",IFERROR(VLOOKUP(G17,'Plan Comptable'!$B$5:$C$278,2,FALSE),"Compte inconnu"))</f>
        <v/>
      </c>
      <c r="J17" s="83"/>
      <c r="K17" s="83"/>
      <c r="L17" s="14"/>
      <c r="M17" s="32" t="str">
        <f t="shared" si="0"/>
        <v/>
      </c>
      <c r="N17" s="77" t="str">
        <f t="shared" si="6"/>
        <v/>
      </c>
      <c r="O17" s="75" t="str">
        <f t="shared" si="7"/>
        <v/>
      </c>
      <c r="P17" s="79" t="str">
        <f>IF(B17="","",SUM($K$6:K17)-SUM($L$6:L17))</f>
        <v/>
      </c>
      <c r="Q17" s="75" t="str">
        <f t="shared" si="1"/>
        <v/>
      </c>
      <c r="R17" s="84"/>
      <c r="S17" s="84"/>
    </row>
    <row r="18" spans="1:19" x14ac:dyDescent="0.35">
      <c r="A18" s="75" t="str">
        <f t="shared" si="2"/>
        <v/>
      </c>
      <c r="B18" s="81"/>
      <c r="C18" s="75" t="str">
        <f t="shared" si="3"/>
        <v/>
      </c>
      <c r="D18" s="75" t="str">
        <f t="shared" si="4"/>
        <v/>
      </c>
      <c r="E18" s="14"/>
      <c r="F18" s="14"/>
      <c r="G18" s="14"/>
      <c r="H18" s="75" t="str">
        <f t="shared" si="5"/>
        <v/>
      </c>
      <c r="I18" s="77" t="str">
        <f>IF(G18="","",IFERROR(VLOOKUP(G18,'Plan Comptable'!$B$5:$C$278,2,FALSE),"Compte inconnu"))</f>
        <v/>
      </c>
      <c r="J18" s="83"/>
      <c r="K18" s="83"/>
      <c r="L18" s="14"/>
      <c r="M18" s="32" t="str">
        <f t="shared" si="0"/>
        <v/>
      </c>
      <c r="N18" s="77" t="str">
        <f t="shared" si="6"/>
        <v/>
      </c>
      <c r="O18" s="75" t="str">
        <f t="shared" si="7"/>
        <v/>
      </c>
      <c r="P18" s="79" t="str">
        <f>IF(B18="","",SUM($K$6:K18)-SUM($L$6:L18))</f>
        <v/>
      </c>
      <c r="Q18" s="75" t="str">
        <f t="shared" si="1"/>
        <v/>
      </c>
      <c r="R18" s="84"/>
      <c r="S18" s="84"/>
    </row>
    <row r="19" spans="1:19" x14ac:dyDescent="0.35">
      <c r="A19" s="75" t="str">
        <f t="shared" si="2"/>
        <v/>
      </c>
      <c r="B19" s="81"/>
      <c r="C19" s="75" t="str">
        <f t="shared" si="3"/>
        <v/>
      </c>
      <c r="D19" s="75" t="str">
        <f t="shared" si="4"/>
        <v/>
      </c>
      <c r="E19" s="14"/>
      <c r="F19" s="14"/>
      <c r="G19" s="14"/>
      <c r="H19" s="75" t="str">
        <f t="shared" si="5"/>
        <v/>
      </c>
      <c r="I19" s="77" t="str">
        <f>IF(G19="","",IFERROR(VLOOKUP(G19,'Plan Comptable'!$B$5:$C$278,2,FALSE),"Compte inconnu"))</f>
        <v/>
      </c>
      <c r="J19" s="83"/>
      <c r="K19" s="83"/>
      <c r="L19" s="14"/>
      <c r="M19" s="32" t="str">
        <f t="shared" si="0"/>
        <v/>
      </c>
      <c r="N19" s="77" t="str">
        <f t="shared" si="6"/>
        <v/>
      </c>
      <c r="O19" s="75" t="str">
        <f t="shared" si="7"/>
        <v/>
      </c>
      <c r="P19" s="79" t="str">
        <f>IF(B19="","",SUM($K$6:K19)-SUM($L$6:L19))</f>
        <v/>
      </c>
      <c r="Q19" s="75" t="str">
        <f t="shared" si="1"/>
        <v/>
      </c>
      <c r="R19" s="84"/>
      <c r="S19" s="84"/>
    </row>
    <row r="20" spans="1:19" x14ac:dyDescent="0.35">
      <c r="A20" s="75" t="str">
        <f t="shared" si="2"/>
        <v/>
      </c>
      <c r="B20" s="81"/>
      <c r="C20" s="75" t="str">
        <f t="shared" si="3"/>
        <v/>
      </c>
      <c r="D20" s="75" t="str">
        <f t="shared" si="4"/>
        <v/>
      </c>
      <c r="E20" s="14"/>
      <c r="F20" s="14"/>
      <c r="G20" s="14"/>
      <c r="H20" s="75" t="str">
        <f t="shared" si="5"/>
        <v/>
      </c>
      <c r="I20" s="77" t="str">
        <f>IF(G20="","",IFERROR(VLOOKUP(G20,'Plan Comptable'!$B$5:$C$278,2,FALSE),"Compte inconnu"))</f>
        <v/>
      </c>
      <c r="J20" s="83"/>
      <c r="K20" s="83"/>
      <c r="L20" s="14"/>
      <c r="M20" s="32" t="str">
        <f t="shared" si="0"/>
        <v/>
      </c>
      <c r="N20" s="77" t="str">
        <f t="shared" si="6"/>
        <v/>
      </c>
      <c r="O20" s="75" t="str">
        <f t="shared" si="7"/>
        <v/>
      </c>
      <c r="P20" s="79" t="str">
        <f>IF(B20="","",SUM($K$6:K20)-SUM($L$6:L20))</f>
        <v/>
      </c>
      <c r="Q20" s="75" t="str">
        <f t="shared" si="1"/>
        <v/>
      </c>
      <c r="R20" s="84"/>
      <c r="S20" s="84"/>
    </row>
    <row r="21" spans="1:19" x14ac:dyDescent="0.35">
      <c r="A21" s="75" t="str">
        <f t="shared" si="2"/>
        <v/>
      </c>
      <c r="B21" s="81"/>
      <c r="C21" s="75" t="str">
        <f t="shared" si="3"/>
        <v/>
      </c>
      <c r="D21" s="75" t="str">
        <f t="shared" si="4"/>
        <v/>
      </c>
      <c r="E21" s="14"/>
      <c r="F21" s="14"/>
      <c r="G21" s="14"/>
      <c r="H21" s="75" t="str">
        <f t="shared" si="5"/>
        <v/>
      </c>
      <c r="I21" s="77" t="str">
        <f>IF(G21="","",IFERROR(VLOOKUP(G21,'Plan Comptable'!$B$5:$C$278,2,FALSE),"Compte inconnu"))</f>
        <v/>
      </c>
      <c r="J21" s="83"/>
      <c r="K21" s="83"/>
      <c r="L21" s="14"/>
      <c r="M21" s="32" t="str">
        <f t="shared" si="0"/>
        <v/>
      </c>
      <c r="N21" s="77" t="str">
        <f t="shared" si="6"/>
        <v/>
      </c>
      <c r="O21" s="75" t="str">
        <f t="shared" si="7"/>
        <v/>
      </c>
      <c r="P21" s="79" t="str">
        <f>IF(B21="","",SUM($K$6:K21)-SUM($L$6:L21))</f>
        <v/>
      </c>
      <c r="Q21" s="75" t="str">
        <f t="shared" si="1"/>
        <v/>
      </c>
      <c r="R21" s="84"/>
      <c r="S21" s="84"/>
    </row>
    <row r="22" spans="1:19" x14ac:dyDescent="0.35">
      <c r="A22" s="75" t="str">
        <f t="shared" si="2"/>
        <v/>
      </c>
      <c r="B22" s="81"/>
      <c r="C22" s="75" t="str">
        <f t="shared" si="3"/>
        <v/>
      </c>
      <c r="D22" s="75" t="str">
        <f t="shared" si="4"/>
        <v/>
      </c>
      <c r="E22" s="14"/>
      <c r="F22" s="14"/>
      <c r="G22" s="14"/>
      <c r="H22" s="75" t="str">
        <f t="shared" si="5"/>
        <v/>
      </c>
      <c r="I22" s="77" t="str">
        <f>IF(G22="","",IFERROR(VLOOKUP(G22,'Plan Comptable'!$B$5:$C$278,2,FALSE),"Compte inconnu"))</f>
        <v/>
      </c>
      <c r="J22" s="83"/>
      <c r="K22" s="83"/>
      <c r="L22" s="14"/>
      <c r="M22" s="32" t="str">
        <f t="shared" si="0"/>
        <v/>
      </c>
      <c r="N22" s="77" t="str">
        <f t="shared" si="6"/>
        <v/>
      </c>
      <c r="O22" s="75" t="str">
        <f t="shared" si="7"/>
        <v/>
      </c>
      <c r="P22" s="79" t="str">
        <f>IF(B22="","",SUM($K$6:K22)-SUM($L$6:L22))</f>
        <v/>
      </c>
      <c r="Q22" s="75" t="str">
        <f t="shared" si="1"/>
        <v/>
      </c>
      <c r="R22" s="84"/>
      <c r="S22" s="84"/>
    </row>
    <row r="23" spans="1:19" x14ac:dyDescent="0.35">
      <c r="A23" s="75" t="str">
        <f t="shared" si="2"/>
        <v/>
      </c>
      <c r="B23" s="81"/>
      <c r="C23" s="75" t="str">
        <f t="shared" si="3"/>
        <v/>
      </c>
      <c r="D23" s="75" t="str">
        <f t="shared" si="4"/>
        <v/>
      </c>
      <c r="E23" s="14"/>
      <c r="F23" s="14"/>
      <c r="G23" s="14"/>
      <c r="H23" s="75" t="str">
        <f t="shared" si="5"/>
        <v/>
      </c>
      <c r="I23" s="77" t="str">
        <f>IF(G23="","",IFERROR(VLOOKUP(G23,'Plan Comptable'!$B$5:$C$278,2,FALSE),"Compte inconnu"))</f>
        <v/>
      </c>
      <c r="J23" s="83"/>
      <c r="K23" s="83"/>
      <c r="L23" s="14"/>
      <c r="M23" s="32" t="str">
        <f t="shared" si="0"/>
        <v/>
      </c>
      <c r="N23" s="77" t="str">
        <f t="shared" si="6"/>
        <v/>
      </c>
      <c r="O23" s="75" t="str">
        <f t="shared" si="7"/>
        <v/>
      </c>
      <c r="P23" s="79" t="str">
        <f>IF(B23="","",SUM($K$6:K23)-SUM($L$6:L23))</f>
        <v/>
      </c>
      <c r="Q23" s="75" t="str">
        <f t="shared" si="1"/>
        <v/>
      </c>
      <c r="R23" s="84"/>
      <c r="S23" s="84"/>
    </row>
    <row r="24" spans="1:19" x14ac:dyDescent="0.35">
      <c r="A24" s="75" t="str">
        <f t="shared" si="2"/>
        <v/>
      </c>
      <c r="B24" s="81"/>
      <c r="C24" s="75" t="str">
        <f t="shared" si="3"/>
        <v/>
      </c>
      <c r="D24" s="75" t="str">
        <f t="shared" si="4"/>
        <v/>
      </c>
      <c r="E24" s="14"/>
      <c r="F24" s="14"/>
      <c r="G24" s="14"/>
      <c r="H24" s="75" t="str">
        <f t="shared" si="5"/>
        <v/>
      </c>
      <c r="I24" s="77" t="str">
        <f>IF(G24="","",IFERROR(VLOOKUP(G24,'Plan Comptable'!$B$5:$C$278,2,FALSE),"Compte inconnu"))</f>
        <v/>
      </c>
      <c r="J24" s="83"/>
      <c r="K24" s="83"/>
      <c r="L24" s="14"/>
      <c r="M24" s="32" t="str">
        <f t="shared" si="0"/>
        <v/>
      </c>
      <c r="N24" s="77" t="str">
        <f t="shared" si="6"/>
        <v/>
      </c>
      <c r="O24" s="75" t="str">
        <f t="shared" si="7"/>
        <v/>
      </c>
      <c r="P24" s="79" t="str">
        <f>IF(B24="","",SUM($K$6:K24)-SUM($L$6:L24))</f>
        <v/>
      </c>
      <c r="Q24" s="75" t="str">
        <f t="shared" si="1"/>
        <v/>
      </c>
      <c r="R24" s="84"/>
      <c r="S24" s="84"/>
    </row>
    <row r="25" spans="1:19" x14ac:dyDescent="0.35">
      <c r="A25" s="75" t="str">
        <f t="shared" si="2"/>
        <v/>
      </c>
      <c r="B25" s="81"/>
      <c r="C25" s="75" t="str">
        <f t="shared" si="3"/>
        <v/>
      </c>
      <c r="D25" s="75" t="str">
        <f t="shared" si="4"/>
        <v/>
      </c>
      <c r="E25" s="14"/>
      <c r="F25" s="14"/>
      <c r="G25" s="14"/>
      <c r="H25" s="75" t="str">
        <f t="shared" si="5"/>
        <v/>
      </c>
      <c r="I25" s="77" t="str">
        <f>IF(G25="","",IFERROR(VLOOKUP(G25,'Plan Comptable'!$B$5:$C$278,2,FALSE),"Compte inconnu"))</f>
        <v/>
      </c>
      <c r="J25" s="83"/>
      <c r="K25" s="83"/>
      <c r="L25" s="14"/>
      <c r="M25" s="32" t="str">
        <f t="shared" si="0"/>
        <v/>
      </c>
      <c r="N25" s="77" t="str">
        <f t="shared" si="6"/>
        <v/>
      </c>
      <c r="O25" s="75" t="str">
        <f t="shared" si="7"/>
        <v/>
      </c>
      <c r="P25" s="79" t="str">
        <f>IF(B25="","",SUM($K$6:K25)-SUM($L$6:L25))</f>
        <v/>
      </c>
      <c r="Q25" s="75" t="str">
        <f t="shared" si="1"/>
        <v/>
      </c>
      <c r="R25" s="84"/>
      <c r="S25" s="84"/>
    </row>
    <row r="26" spans="1:19" x14ac:dyDescent="0.35">
      <c r="A26" s="75" t="str">
        <f t="shared" si="2"/>
        <v/>
      </c>
      <c r="B26" s="81"/>
      <c r="C26" s="75" t="str">
        <f t="shared" si="3"/>
        <v/>
      </c>
      <c r="D26" s="75" t="str">
        <f t="shared" si="4"/>
        <v/>
      </c>
      <c r="E26" s="14"/>
      <c r="F26" s="14"/>
      <c r="G26" s="14"/>
      <c r="H26" s="75" t="str">
        <f t="shared" si="5"/>
        <v/>
      </c>
      <c r="I26" s="77" t="str">
        <f>IF(G26="","",IFERROR(VLOOKUP(G26,'Plan Comptable'!$B$5:$C$278,2,FALSE),"Compte inconnu"))</f>
        <v/>
      </c>
      <c r="J26" s="83"/>
      <c r="K26" s="83"/>
      <c r="L26" s="14"/>
      <c r="M26" s="32" t="str">
        <f t="shared" si="0"/>
        <v/>
      </c>
      <c r="N26" s="77" t="str">
        <f t="shared" si="6"/>
        <v/>
      </c>
      <c r="O26" s="75" t="str">
        <f t="shared" si="7"/>
        <v/>
      </c>
      <c r="P26" s="79" t="str">
        <f>IF(B26="","",SUM($K$6:K26)-SUM($L$6:L26))</f>
        <v/>
      </c>
      <c r="Q26" s="75" t="str">
        <f t="shared" si="1"/>
        <v/>
      </c>
      <c r="R26" s="84"/>
      <c r="S26" s="84"/>
    </row>
    <row r="27" spans="1:19" x14ac:dyDescent="0.35">
      <c r="A27" s="75" t="str">
        <f t="shared" si="2"/>
        <v/>
      </c>
      <c r="B27" s="81"/>
      <c r="C27" s="75" t="str">
        <f t="shared" si="3"/>
        <v/>
      </c>
      <c r="D27" s="75" t="str">
        <f t="shared" si="4"/>
        <v/>
      </c>
      <c r="E27" s="14"/>
      <c r="F27" s="14"/>
      <c r="G27" s="14"/>
      <c r="H27" s="75" t="str">
        <f t="shared" si="5"/>
        <v/>
      </c>
      <c r="I27" s="77" t="str">
        <f>IF(G27="","",IFERROR(VLOOKUP(G27,'Plan Comptable'!$B$5:$C$278,2,FALSE),"Compte inconnu"))</f>
        <v/>
      </c>
      <c r="J27" s="83"/>
      <c r="K27" s="83"/>
      <c r="L27" s="14"/>
      <c r="M27" s="32" t="str">
        <f t="shared" si="0"/>
        <v/>
      </c>
      <c r="N27" s="77" t="str">
        <f t="shared" si="6"/>
        <v/>
      </c>
      <c r="O27" s="75" t="str">
        <f t="shared" si="7"/>
        <v/>
      </c>
      <c r="P27" s="79" t="str">
        <f>IF(B27="","",SUM($K$6:K27)-SUM($L$6:L27))</f>
        <v/>
      </c>
      <c r="Q27" s="75" t="str">
        <f t="shared" si="1"/>
        <v/>
      </c>
      <c r="R27" s="84"/>
      <c r="S27" s="84"/>
    </row>
    <row r="28" spans="1:19" x14ac:dyDescent="0.35">
      <c r="A28" s="75" t="str">
        <f t="shared" si="2"/>
        <v/>
      </c>
      <c r="B28" s="81"/>
      <c r="C28" s="75" t="str">
        <f t="shared" si="3"/>
        <v/>
      </c>
      <c r="D28" s="75" t="str">
        <f t="shared" si="4"/>
        <v/>
      </c>
      <c r="E28" s="14"/>
      <c r="F28" s="14"/>
      <c r="G28" s="14"/>
      <c r="H28" s="75" t="str">
        <f t="shared" si="5"/>
        <v/>
      </c>
      <c r="I28" s="77" t="str">
        <f>IF(G28="","",IFERROR(VLOOKUP(G28,'Plan Comptable'!$B$5:$C$278,2,FALSE),"Compte inconnu"))</f>
        <v/>
      </c>
      <c r="J28" s="83"/>
      <c r="K28" s="83"/>
      <c r="L28" s="14"/>
      <c r="M28" s="32" t="str">
        <f t="shared" si="0"/>
        <v/>
      </c>
      <c r="N28" s="77" t="str">
        <f t="shared" si="6"/>
        <v/>
      </c>
      <c r="O28" s="75" t="str">
        <f t="shared" si="7"/>
        <v/>
      </c>
      <c r="P28" s="79" t="str">
        <f>IF(B28="","",SUM($K$6:K28)-SUM($L$6:L28))</f>
        <v/>
      </c>
      <c r="Q28" s="75" t="str">
        <f t="shared" si="1"/>
        <v/>
      </c>
      <c r="R28" s="84"/>
      <c r="S28" s="84"/>
    </row>
    <row r="29" spans="1:19" x14ac:dyDescent="0.35">
      <c r="A29" s="75" t="str">
        <f t="shared" si="2"/>
        <v/>
      </c>
      <c r="B29" s="81"/>
      <c r="C29" s="75" t="str">
        <f t="shared" si="3"/>
        <v/>
      </c>
      <c r="D29" s="75" t="str">
        <f t="shared" si="4"/>
        <v/>
      </c>
      <c r="E29" s="14"/>
      <c r="F29" s="14"/>
      <c r="G29" s="14"/>
      <c r="H29" s="75" t="str">
        <f t="shared" si="5"/>
        <v/>
      </c>
      <c r="I29" s="77" t="str">
        <f>IF(G29="","",IFERROR(VLOOKUP(G29,'Plan Comptable'!$B$5:$C$278,2,FALSE),"Compte inconnu"))</f>
        <v/>
      </c>
      <c r="J29" s="83"/>
      <c r="K29" s="83"/>
      <c r="L29" s="14"/>
      <c r="M29" s="32" t="str">
        <f t="shared" si="0"/>
        <v/>
      </c>
      <c r="N29" s="77" t="str">
        <f t="shared" si="6"/>
        <v/>
      </c>
      <c r="O29" s="75" t="str">
        <f t="shared" si="7"/>
        <v/>
      </c>
      <c r="P29" s="79" t="str">
        <f>IF(B29="","",SUM($K$6:K29)-SUM($L$6:L29))</f>
        <v/>
      </c>
      <c r="Q29" s="75" t="str">
        <f t="shared" si="1"/>
        <v/>
      </c>
      <c r="R29" s="84"/>
      <c r="S29" s="84"/>
    </row>
    <row r="30" spans="1:19" x14ac:dyDescent="0.35">
      <c r="A30" s="75" t="str">
        <f t="shared" si="2"/>
        <v/>
      </c>
      <c r="B30" s="81"/>
      <c r="C30" s="75" t="str">
        <f t="shared" si="3"/>
        <v/>
      </c>
      <c r="D30" s="75" t="str">
        <f t="shared" si="4"/>
        <v/>
      </c>
      <c r="E30" s="14"/>
      <c r="F30" s="14"/>
      <c r="G30" s="14"/>
      <c r="H30" s="75" t="str">
        <f t="shared" si="5"/>
        <v/>
      </c>
      <c r="I30" s="77" t="str">
        <f>IF(G30="","",IFERROR(VLOOKUP(G30,'Plan Comptable'!$B$5:$C$278,2,FALSE),"Compte inconnu"))</f>
        <v/>
      </c>
      <c r="J30" s="83"/>
      <c r="K30" s="83"/>
      <c r="L30" s="14"/>
      <c r="M30" s="32" t="str">
        <f t="shared" si="0"/>
        <v/>
      </c>
      <c r="N30" s="77" t="str">
        <f t="shared" si="6"/>
        <v/>
      </c>
      <c r="O30" s="75" t="str">
        <f t="shared" si="7"/>
        <v/>
      </c>
      <c r="P30" s="79" t="str">
        <f>IF(B30="","",SUM($K$6:K30)-SUM($L$6:L30))</f>
        <v/>
      </c>
      <c r="Q30" s="75" t="str">
        <f t="shared" si="1"/>
        <v/>
      </c>
      <c r="R30" s="84"/>
      <c r="S30" s="84"/>
    </row>
    <row r="31" spans="1:19" x14ac:dyDescent="0.35">
      <c r="A31" s="75" t="str">
        <f t="shared" si="2"/>
        <v/>
      </c>
      <c r="B31" s="81"/>
      <c r="C31" s="75" t="str">
        <f t="shared" si="3"/>
        <v/>
      </c>
      <c r="D31" s="75" t="str">
        <f t="shared" si="4"/>
        <v/>
      </c>
      <c r="E31" s="14"/>
      <c r="F31" s="14"/>
      <c r="G31" s="14"/>
      <c r="H31" s="75" t="str">
        <f t="shared" si="5"/>
        <v/>
      </c>
      <c r="I31" s="77" t="str">
        <f>IF(G31="","",IFERROR(VLOOKUP(G31,'Plan Comptable'!$B$5:$C$278,2,FALSE),"Compte inconnu"))</f>
        <v/>
      </c>
      <c r="J31" s="83"/>
      <c r="K31" s="83"/>
      <c r="L31" s="14"/>
      <c r="M31" s="32" t="str">
        <f t="shared" si="0"/>
        <v/>
      </c>
      <c r="N31" s="77" t="str">
        <f t="shared" si="6"/>
        <v/>
      </c>
      <c r="O31" s="75" t="str">
        <f t="shared" si="7"/>
        <v/>
      </c>
      <c r="P31" s="79" t="str">
        <f>IF(B31="","",SUM($K$6:K31)-SUM($L$6:L31))</f>
        <v/>
      </c>
      <c r="Q31" s="75" t="str">
        <f t="shared" si="1"/>
        <v/>
      </c>
      <c r="R31" s="84"/>
      <c r="S31" s="84"/>
    </row>
    <row r="32" spans="1:19" x14ac:dyDescent="0.35">
      <c r="A32" s="75" t="str">
        <f t="shared" si="2"/>
        <v/>
      </c>
      <c r="B32" s="81"/>
      <c r="C32" s="75" t="str">
        <f t="shared" si="3"/>
        <v/>
      </c>
      <c r="D32" s="75" t="str">
        <f t="shared" si="4"/>
        <v/>
      </c>
      <c r="E32" s="14"/>
      <c r="F32" s="14"/>
      <c r="G32" s="14"/>
      <c r="H32" s="75" t="str">
        <f t="shared" si="5"/>
        <v/>
      </c>
      <c r="I32" s="77" t="str">
        <f>IF(G32="","",IFERROR(VLOOKUP(G32,'Plan Comptable'!$B$5:$C$278,2,FALSE),"Compte inconnu"))</f>
        <v/>
      </c>
      <c r="J32" s="83"/>
      <c r="K32" s="83"/>
      <c r="L32" s="14"/>
      <c r="M32" s="32" t="str">
        <f t="shared" si="0"/>
        <v/>
      </c>
      <c r="N32" s="77" t="str">
        <f t="shared" si="6"/>
        <v/>
      </c>
      <c r="O32" s="75" t="str">
        <f t="shared" si="7"/>
        <v/>
      </c>
      <c r="P32" s="79" t="str">
        <f>IF(B32="","",SUM($K$6:K32)-SUM($L$6:L32))</f>
        <v/>
      </c>
      <c r="Q32" s="75" t="str">
        <f t="shared" si="1"/>
        <v/>
      </c>
      <c r="R32" s="84"/>
      <c r="S32" s="84"/>
    </row>
    <row r="33" spans="1:19" x14ac:dyDescent="0.35">
      <c r="A33" s="75" t="str">
        <f t="shared" si="2"/>
        <v/>
      </c>
      <c r="B33" s="81"/>
      <c r="C33" s="75" t="str">
        <f t="shared" si="3"/>
        <v/>
      </c>
      <c r="D33" s="75" t="str">
        <f t="shared" si="4"/>
        <v/>
      </c>
      <c r="E33" s="14"/>
      <c r="F33" s="14"/>
      <c r="G33" s="14"/>
      <c r="H33" s="75" t="str">
        <f t="shared" si="5"/>
        <v/>
      </c>
      <c r="I33" s="77" t="str">
        <f>IF(G33="","",IFERROR(VLOOKUP(G33,'Plan Comptable'!$B$5:$C$278,2,FALSE),"Compte inconnu"))</f>
        <v/>
      </c>
      <c r="J33" s="83"/>
      <c r="K33" s="83"/>
      <c r="L33" s="14"/>
      <c r="M33" s="32" t="str">
        <f t="shared" si="0"/>
        <v/>
      </c>
      <c r="N33" s="77" t="str">
        <f t="shared" si="6"/>
        <v/>
      </c>
      <c r="O33" s="75" t="str">
        <f t="shared" si="7"/>
        <v/>
      </c>
      <c r="P33" s="79" t="str">
        <f>IF(B33="","",SUM($K$6:K33)-SUM($L$6:L33))</f>
        <v/>
      </c>
      <c r="Q33" s="75" t="str">
        <f t="shared" si="1"/>
        <v/>
      </c>
      <c r="R33" s="84"/>
      <c r="S33" s="84"/>
    </row>
    <row r="34" spans="1:19" x14ac:dyDescent="0.35">
      <c r="A34" s="75" t="str">
        <f t="shared" si="2"/>
        <v/>
      </c>
      <c r="B34" s="81"/>
      <c r="C34" s="75" t="str">
        <f t="shared" si="3"/>
        <v/>
      </c>
      <c r="D34" s="75" t="str">
        <f t="shared" si="4"/>
        <v/>
      </c>
      <c r="E34" s="14"/>
      <c r="F34" s="14"/>
      <c r="G34" s="14"/>
      <c r="H34" s="75" t="str">
        <f t="shared" si="5"/>
        <v/>
      </c>
      <c r="I34" s="77" t="str">
        <f>IF(G34="","",IFERROR(VLOOKUP(G34,'Plan Comptable'!$B$5:$C$278,2,FALSE),"Compte inconnu"))</f>
        <v/>
      </c>
      <c r="J34" s="83"/>
      <c r="K34" s="83"/>
      <c r="L34" s="14"/>
      <c r="M34" s="32" t="str">
        <f t="shared" si="0"/>
        <v/>
      </c>
      <c r="N34" s="77" t="str">
        <f t="shared" si="6"/>
        <v/>
      </c>
      <c r="O34" s="75" t="str">
        <f t="shared" si="7"/>
        <v/>
      </c>
      <c r="P34" s="79" t="str">
        <f>IF(B34="","",SUM($K$6:K34)-SUM($L$6:L34))</f>
        <v/>
      </c>
      <c r="Q34" s="75" t="str">
        <f t="shared" si="1"/>
        <v/>
      </c>
      <c r="R34" s="84"/>
      <c r="S34" s="84"/>
    </row>
    <row r="35" spans="1:19" x14ac:dyDescent="0.35">
      <c r="A35" s="75" t="str">
        <f t="shared" si="2"/>
        <v/>
      </c>
      <c r="B35" s="81"/>
      <c r="C35" s="75" t="str">
        <f t="shared" si="3"/>
        <v/>
      </c>
      <c r="D35" s="75" t="str">
        <f t="shared" si="4"/>
        <v/>
      </c>
      <c r="E35" s="14"/>
      <c r="F35" s="14"/>
      <c r="G35" s="14"/>
      <c r="H35" s="75" t="str">
        <f t="shared" si="5"/>
        <v/>
      </c>
      <c r="I35" s="77" t="str">
        <f>IF(G35="","",IFERROR(VLOOKUP(G35,'Plan Comptable'!$B$5:$C$278,2,FALSE),"Compte inconnu"))</f>
        <v/>
      </c>
      <c r="J35" s="83"/>
      <c r="K35" s="83"/>
      <c r="L35" s="14"/>
      <c r="M35" s="32" t="str">
        <f t="shared" si="0"/>
        <v/>
      </c>
      <c r="N35" s="77" t="str">
        <f t="shared" si="6"/>
        <v/>
      </c>
      <c r="O35" s="75" t="str">
        <f t="shared" si="7"/>
        <v/>
      </c>
      <c r="P35" s="79" t="str">
        <f>IF(B35="","",SUM($K$6:K35)-SUM($L$6:L35))</f>
        <v/>
      </c>
      <c r="Q35" s="75" t="str">
        <f t="shared" si="1"/>
        <v/>
      </c>
      <c r="R35" s="84"/>
      <c r="S35" s="84"/>
    </row>
    <row r="36" spans="1:19" x14ac:dyDescent="0.35">
      <c r="A36" s="75" t="str">
        <f t="shared" si="2"/>
        <v/>
      </c>
      <c r="B36" s="81"/>
      <c r="C36" s="75" t="str">
        <f t="shared" si="3"/>
        <v/>
      </c>
      <c r="D36" s="75" t="str">
        <f t="shared" si="4"/>
        <v/>
      </c>
      <c r="E36" s="14"/>
      <c r="F36" s="14"/>
      <c r="G36" s="14"/>
      <c r="H36" s="75" t="str">
        <f t="shared" si="5"/>
        <v/>
      </c>
      <c r="I36" s="77" t="str">
        <f>IF(G36="","",IFERROR(VLOOKUP(G36,'Plan Comptable'!$B$5:$C$278,2,FALSE),"Compte inconnu"))</f>
        <v/>
      </c>
      <c r="J36" s="83"/>
      <c r="K36" s="83"/>
      <c r="L36" s="14"/>
      <c r="M36" s="32" t="str">
        <f t="shared" si="0"/>
        <v/>
      </c>
      <c r="N36" s="77" t="str">
        <f t="shared" si="6"/>
        <v/>
      </c>
      <c r="O36" s="75" t="str">
        <f t="shared" si="7"/>
        <v/>
      </c>
      <c r="P36" s="79" t="str">
        <f>IF(B36="","",SUM($K$6:K36)-SUM($L$6:L36))</f>
        <v/>
      </c>
      <c r="Q36" s="75" t="str">
        <f t="shared" si="1"/>
        <v/>
      </c>
      <c r="R36" s="84"/>
      <c r="S36" s="84"/>
    </row>
    <row r="37" spans="1:19" x14ac:dyDescent="0.35">
      <c r="A37" s="75" t="str">
        <f t="shared" si="2"/>
        <v/>
      </c>
      <c r="B37" s="81"/>
      <c r="C37" s="75" t="str">
        <f t="shared" si="3"/>
        <v/>
      </c>
      <c r="D37" s="75" t="str">
        <f t="shared" si="4"/>
        <v/>
      </c>
      <c r="E37" s="14"/>
      <c r="F37" s="14"/>
      <c r="G37" s="14"/>
      <c r="H37" s="75" t="str">
        <f t="shared" si="5"/>
        <v/>
      </c>
      <c r="I37" s="77" t="str">
        <f>IF(G37="","",IFERROR(VLOOKUP(G37,'Plan Comptable'!$B$5:$C$278,2,FALSE),"Compte inconnu"))</f>
        <v/>
      </c>
      <c r="J37" s="83"/>
      <c r="K37" s="83"/>
      <c r="L37" s="14"/>
      <c r="M37" s="32" t="str">
        <f t="shared" si="0"/>
        <v/>
      </c>
      <c r="N37" s="77" t="str">
        <f t="shared" si="6"/>
        <v/>
      </c>
      <c r="O37" s="75" t="str">
        <f t="shared" si="7"/>
        <v/>
      </c>
      <c r="P37" s="79" t="str">
        <f>IF(B37="","",SUM($K$6:K37)-SUM($L$6:L37))</f>
        <v/>
      </c>
      <c r="Q37" s="75" t="str">
        <f t="shared" si="1"/>
        <v/>
      </c>
      <c r="R37" s="84"/>
      <c r="S37" s="84"/>
    </row>
    <row r="38" spans="1:19" x14ac:dyDescent="0.35">
      <c r="A38" s="75" t="str">
        <f t="shared" si="2"/>
        <v/>
      </c>
      <c r="B38" s="81"/>
      <c r="C38" s="75" t="str">
        <f t="shared" si="3"/>
        <v/>
      </c>
      <c r="D38" s="75" t="str">
        <f t="shared" si="4"/>
        <v/>
      </c>
      <c r="E38" s="14"/>
      <c r="F38" s="14"/>
      <c r="G38" s="14"/>
      <c r="H38" s="75" t="str">
        <f t="shared" si="5"/>
        <v/>
      </c>
      <c r="I38" s="77" t="str">
        <f>IF(G38="","",IFERROR(VLOOKUP(G38,'Plan Comptable'!$B$5:$C$278,2,FALSE),"Compte inconnu"))</f>
        <v/>
      </c>
      <c r="J38" s="83"/>
      <c r="K38" s="83"/>
      <c r="L38" s="14"/>
      <c r="M38" s="32" t="str">
        <f t="shared" si="0"/>
        <v/>
      </c>
      <c r="N38" s="77" t="str">
        <f t="shared" si="6"/>
        <v/>
      </c>
      <c r="O38" s="75" t="str">
        <f t="shared" si="7"/>
        <v/>
      </c>
      <c r="P38" s="79" t="str">
        <f>IF(B38="","",SUM($K$6:K38)-SUM($L$6:L38))</f>
        <v/>
      </c>
      <c r="Q38" s="75" t="str">
        <f t="shared" si="1"/>
        <v/>
      </c>
      <c r="R38" s="84"/>
      <c r="S38" s="84"/>
    </row>
    <row r="39" spans="1:19" x14ac:dyDescent="0.35">
      <c r="A39" s="75" t="str">
        <f t="shared" si="2"/>
        <v/>
      </c>
      <c r="B39" s="81"/>
      <c r="C39" s="75" t="str">
        <f t="shared" si="3"/>
        <v/>
      </c>
      <c r="D39" s="75" t="str">
        <f t="shared" si="4"/>
        <v/>
      </c>
      <c r="E39" s="14"/>
      <c r="F39" s="14"/>
      <c r="G39" s="14"/>
      <c r="H39" s="75" t="str">
        <f t="shared" si="5"/>
        <v/>
      </c>
      <c r="I39" s="77" t="str">
        <f>IF(G39="","",IFERROR(VLOOKUP(G39,'Plan Comptable'!$B$5:$C$278,2,FALSE),"Compte inconnu"))</f>
        <v/>
      </c>
      <c r="J39" s="83"/>
      <c r="K39" s="83"/>
      <c r="L39" s="14"/>
      <c r="M39" s="32" t="str">
        <f t="shared" si="0"/>
        <v/>
      </c>
      <c r="N39" s="77" t="str">
        <f t="shared" si="6"/>
        <v/>
      </c>
      <c r="O39" s="75" t="str">
        <f t="shared" si="7"/>
        <v/>
      </c>
      <c r="P39" s="79" t="str">
        <f>IF(B39="","",SUM($K$6:K39)-SUM($L$6:L39))</f>
        <v/>
      </c>
      <c r="Q39" s="75" t="str">
        <f t="shared" si="1"/>
        <v/>
      </c>
      <c r="R39" s="84"/>
      <c r="S39" s="84"/>
    </row>
    <row r="40" spans="1:19" x14ac:dyDescent="0.35">
      <c r="A40" s="75" t="str">
        <f t="shared" si="2"/>
        <v/>
      </c>
      <c r="B40" s="81"/>
      <c r="C40" s="75" t="str">
        <f t="shared" si="3"/>
        <v/>
      </c>
      <c r="D40" s="75" t="str">
        <f t="shared" si="4"/>
        <v/>
      </c>
      <c r="E40" s="14"/>
      <c r="F40" s="14"/>
      <c r="G40" s="14"/>
      <c r="H40" s="75" t="str">
        <f t="shared" si="5"/>
        <v/>
      </c>
      <c r="I40" s="77" t="str">
        <f>IF(G40="","",IFERROR(VLOOKUP(G40,'Plan Comptable'!$B$5:$C$278,2,FALSE),"Compte inconnu"))</f>
        <v/>
      </c>
      <c r="J40" s="83"/>
      <c r="K40" s="83"/>
      <c r="L40" s="14"/>
      <c r="M40" s="32" t="str">
        <f t="shared" si="0"/>
        <v/>
      </c>
      <c r="N40" s="77" t="str">
        <f t="shared" si="6"/>
        <v/>
      </c>
      <c r="O40" s="75" t="str">
        <f t="shared" si="7"/>
        <v/>
      </c>
      <c r="P40" s="79" t="str">
        <f>IF(B40="","",SUM($K$6:K40)-SUM($L$6:L40))</f>
        <v/>
      </c>
      <c r="Q40" s="75" t="str">
        <f t="shared" si="1"/>
        <v/>
      </c>
      <c r="R40" s="84"/>
      <c r="S40" s="84"/>
    </row>
    <row r="41" spans="1:19" x14ac:dyDescent="0.35">
      <c r="A41" s="75" t="str">
        <f t="shared" si="2"/>
        <v/>
      </c>
      <c r="B41" s="81"/>
      <c r="C41" s="75" t="str">
        <f t="shared" si="3"/>
        <v/>
      </c>
      <c r="D41" s="75" t="str">
        <f t="shared" si="4"/>
        <v/>
      </c>
      <c r="E41" s="14"/>
      <c r="F41" s="14"/>
      <c r="G41" s="14"/>
      <c r="H41" s="75" t="str">
        <f t="shared" si="5"/>
        <v/>
      </c>
      <c r="I41" s="77" t="str">
        <f>IF(G41="","",IFERROR(VLOOKUP(G41,'Plan Comptable'!$B$5:$C$278,2,FALSE),"Compte inconnu"))</f>
        <v/>
      </c>
      <c r="J41" s="83"/>
      <c r="K41" s="83"/>
      <c r="L41" s="14"/>
      <c r="M41" s="32" t="str">
        <f t="shared" si="0"/>
        <v/>
      </c>
      <c r="N41" s="77" t="str">
        <f t="shared" si="6"/>
        <v/>
      </c>
      <c r="O41" s="75" t="str">
        <f t="shared" si="7"/>
        <v/>
      </c>
      <c r="P41" s="79" t="str">
        <f>IF(B41="","",SUM($K$6:K41)-SUM($L$6:L41))</f>
        <v/>
      </c>
      <c r="Q41" s="75" t="str">
        <f t="shared" si="1"/>
        <v/>
      </c>
      <c r="R41" s="84"/>
      <c r="S41" s="84"/>
    </row>
    <row r="42" spans="1:19" x14ac:dyDescent="0.35">
      <c r="A42" s="75" t="str">
        <f t="shared" si="2"/>
        <v/>
      </c>
      <c r="B42" s="81"/>
      <c r="C42" s="75" t="str">
        <f t="shared" si="3"/>
        <v/>
      </c>
      <c r="D42" s="75" t="str">
        <f t="shared" si="4"/>
        <v/>
      </c>
      <c r="E42" s="14"/>
      <c r="F42" s="14"/>
      <c r="G42" s="14"/>
      <c r="H42" s="75" t="str">
        <f t="shared" si="5"/>
        <v/>
      </c>
      <c r="I42" s="77" t="str">
        <f>IF(G42="","",IFERROR(VLOOKUP(G42,'Plan Comptable'!$B$5:$C$278,2,FALSE),"Compte inconnu"))</f>
        <v/>
      </c>
      <c r="J42" s="83"/>
      <c r="K42" s="83"/>
      <c r="L42" s="14"/>
      <c r="M42" s="32" t="str">
        <f t="shared" si="0"/>
        <v/>
      </c>
      <c r="N42" s="77" t="str">
        <f t="shared" si="6"/>
        <v/>
      </c>
      <c r="O42" s="75" t="str">
        <f t="shared" si="7"/>
        <v/>
      </c>
      <c r="P42" s="79" t="str">
        <f>IF(B42="","",SUM($K$6:K42)-SUM($L$6:L42))</f>
        <v/>
      </c>
      <c r="Q42" s="75" t="str">
        <f t="shared" si="1"/>
        <v/>
      </c>
      <c r="R42" s="84"/>
      <c r="S42" s="84"/>
    </row>
    <row r="43" spans="1:19" x14ac:dyDescent="0.35">
      <c r="A43" s="75" t="str">
        <f t="shared" si="2"/>
        <v/>
      </c>
      <c r="B43" s="81"/>
      <c r="C43" s="75" t="str">
        <f t="shared" si="3"/>
        <v/>
      </c>
      <c r="D43" s="75" t="str">
        <f t="shared" si="4"/>
        <v/>
      </c>
      <c r="E43" s="14"/>
      <c r="F43" s="14"/>
      <c r="G43" s="14"/>
      <c r="H43" s="75" t="str">
        <f t="shared" si="5"/>
        <v/>
      </c>
      <c r="I43" s="77" t="str">
        <f>IF(G43="","",IFERROR(VLOOKUP(G43,'Plan Comptable'!$B$5:$C$278,2,FALSE),"Compte inconnu"))</f>
        <v/>
      </c>
      <c r="J43" s="83"/>
      <c r="K43" s="83"/>
      <c r="L43" s="14"/>
      <c r="M43" s="32" t="str">
        <f t="shared" si="0"/>
        <v/>
      </c>
      <c r="N43" s="77" t="str">
        <f t="shared" si="6"/>
        <v/>
      </c>
      <c r="O43" s="75" t="str">
        <f t="shared" si="7"/>
        <v/>
      </c>
      <c r="P43" s="79" t="str">
        <f>IF(B43="","",SUM($K$6:K43)-SUM($L$6:L43))</f>
        <v/>
      </c>
      <c r="Q43" s="75" t="str">
        <f t="shared" si="1"/>
        <v/>
      </c>
      <c r="R43" s="84"/>
      <c r="S43" s="84"/>
    </row>
    <row r="44" spans="1:19" x14ac:dyDescent="0.35">
      <c r="A44" s="75" t="str">
        <f t="shared" si="2"/>
        <v/>
      </c>
      <c r="B44" s="81"/>
      <c r="C44" s="75" t="str">
        <f t="shared" si="3"/>
        <v/>
      </c>
      <c r="D44" s="75" t="str">
        <f t="shared" si="4"/>
        <v/>
      </c>
      <c r="E44" s="14"/>
      <c r="F44" s="14"/>
      <c r="G44" s="14"/>
      <c r="H44" s="75" t="str">
        <f t="shared" si="5"/>
        <v/>
      </c>
      <c r="I44" s="77" t="str">
        <f>IF(G44="","",IFERROR(VLOOKUP(G44,'Plan Comptable'!$B$5:$C$278,2,FALSE),"Compte inconnu"))</f>
        <v/>
      </c>
      <c r="J44" s="83"/>
      <c r="K44" s="83"/>
      <c r="L44" s="14"/>
      <c r="M44" s="32" t="str">
        <f t="shared" si="0"/>
        <v/>
      </c>
      <c r="N44" s="77" t="str">
        <f t="shared" si="6"/>
        <v/>
      </c>
      <c r="O44" s="75" t="str">
        <f t="shared" si="7"/>
        <v/>
      </c>
      <c r="P44" s="79" t="str">
        <f>IF(B44="","",SUM($K$6:K44)-SUM($L$6:L44))</f>
        <v/>
      </c>
      <c r="Q44" s="75" t="str">
        <f t="shared" si="1"/>
        <v/>
      </c>
      <c r="R44" s="84"/>
      <c r="S44" s="84"/>
    </row>
    <row r="45" spans="1:19" x14ac:dyDescent="0.35">
      <c r="A45" s="75" t="str">
        <f t="shared" si="2"/>
        <v/>
      </c>
      <c r="B45" s="81"/>
      <c r="C45" s="75" t="str">
        <f t="shared" si="3"/>
        <v/>
      </c>
      <c r="D45" s="75" t="str">
        <f t="shared" si="4"/>
        <v/>
      </c>
      <c r="E45" s="14"/>
      <c r="F45" s="14"/>
      <c r="G45" s="14"/>
      <c r="H45" s="75" t="str">
        <f t="shared" si="5"/>
        <v/>
      </c>
      <c r="I45" s="77" t="str">
        <f>IF(G45="","",IFERROR(VLOOKUP(G45,'Plan Comptable'!$B$5:$C$278,2,FALSE),"Compte inconnu"))</f>
        <v/>
      </c>
      <c r="J45" s="83"/>
      <c r="K45" s="83"/>
      <c r="L45" s="14"/>
      <c r="M45" s="32" t="str">
        <f t="shared" si="0"/>
        <v/>
      </c>
      <c r="N45" s="77" t="str">
        <f t="shared" si="6"/>
        <v/>
      </c>
      <c r="O45" s="75" t="str">
        <f t="shared" si="7"/>
        <v/>
      </c>
      <c r="P45" s="79" t="str">
        <f>IF(B45="","",SUM($K$6:K45)-SUM($L$6:L45))</f>
        <v/>
      </c>
      <c r="Q45" s="75" t="str">
        <f t="shared" si="1"/>
        <v/>
      </c>
      <c r="R45" s="84"/>
      <c r="S45" s="84"/>
    </row>
    <row r="46" spans="1:19" x14ac:dyDescent="0.35">
      <c r="A46" s="75" t="str">
        <f t="shared" si="2"/>
        <v/>
      </c>
      <c r="B46" s="81"/>
      <c r="C46" s="75" t="str">
        <f t="shared" si="3"/>
        <v/>
      </c>
      <c r="D46" s="75" t="str">
        <f t="shared" si="4"/>
        <v/>
      </c>
      <c r="E46" s="14"/>
      <c r="F46" s="14"/>
      <c r="G46" s="14"/>
      <c r="H46" s="75" t="str">
        <f t="shared" si="5"/>
        <v/>
      </c>
      <c r="I46" s="77" t="str">
        <f>IF(G46="","",IFERROR(VLOOKUP(G46,'Plan Comptable'!$B$5:$C$278,2,FALSE),"Compte inconnu"))</f>
        <v/>
      </c>
      <c r="J46" s="83"/>
      <c r="K46" s="83"/>
      <c r="L46" s="14"/>
      <c r="M46" s="32" t="str">
        <f t="shared" si="0"/>
        <v/>
      </c>
      <c r="N46" s="77" t="str">
        <f t="shared" si="6"/>
        <v/>
      </c>
      <c r="O46" s="75" t="str">
        <f t="shared" si="7"/>
        <v/>
      </c>
      <c r="P46" s="79" t="str">
        <f>IF(B46="","",SUM($K$6:K46)-SUM($L$6:L46))</f>
        <v/>
      </c>
      <c r="Q46" s="75" t="str">
        <f t="shared" si="1"/>
        <v/>
      </c>
      <c r="R46" s="84"/>
      <c r="S46" s="84"/>
    </row>
    <row r="47" spans="1:19" x14ac:dyDescent="0.35">
      <c r="A47" s="75" t="str">
        <f t="shared" si="2"/>
        <v/>
      </c>
      <c r="B47" s="81"/>
      <c r="C47" s="75" t="str">
        <f t="shared" si="3"/>
        <v/>
      </c>
      <c r="D47" s="75" t="str">
        <f t="shared" si="4"/>
        <v/>
      </c>
      <c r="E47" s="14"/>
      <c r="F47" s="14"/>
      <c r="G47" s="14"/>
      <c r="H47" s="75" t="str">
        <f t="shared" si="5"/>
        <v/>
      </c>
      <c r="I47" s="77" t="str">
        <f>IF(G47="","",IFERROR(VLOOKUP(G47,'Plan Comptable'!$B$5:$C$278,2,FALSE),"Compte inconnu"))</f>
        <v/>
      </c>
      <c r="J47" s="83"/>
      <c r="K47" s="83"/>
      <c r="L47" s="14"/>
      <c r="M47" s="32" t="str">
        <f t="shared" si="0"/>
        <v/>
      </c>
      <c r="N47" s="77" t="str">
        <f t="shared" si="6"/>
        <v/>
      </c>
      <c r="O47" s="75" t="str">
        <f t="shared" si="7"/>
        <v/>
      </c>
      <c r="P47" s="79" t="str">
        <f>IF(B47="","",SUM($K$6:K47)-SUM($L$6:L47))</f>
        <v/>
      </c>
      <c r="Q47" s="75" t="str">
        <f t="shared" si="1"/>
        <v/>
      </c>
      <c r="R47" s="84"/>
      <c r="S47" s="84"/>
    </row>
    <row r="48" spans="1:19" x14ac:dyDescent="0.35">
      <c r="A48" s="75" t="str">
        <f t="shared" si="2"/>
        <v/>
      </c>
      <c r="B48" s="81"/>
      <c r="C48" s="75" t="str">
        <f t="shared" si="3"/>
        <v/>
      </c>
      <c r="D48" s="75" t="str">
        <f t="shared" si="4"/>
        <v/>
      </c>
      <c r="E48" s="14"/>
      <c r="F48" s="14"/>
      <c r="G48" s="14"/>
      <c r="H48" s="75" t="str">
        <f t="shared" si="5"/>
        <v/>
      </c>
      <c r="I48" s="77" t="str">
        <f>IF(G48="","",IFERROR(VLOOKUP(G48,'Plan Comptable'!$B$5:$C$278,2,FALSE),"Compte inconnu"))</f>
        <v/>
      </c>
      <c r="J48" s="83"/>
      <c r="K48" s="83"/>
      <c r="L48" s="14"/>
      <c r="M48" s="32" t="str">
        <f t="shared" si="0"/>
        <v/>
      </c>
      <c r="N48" s="77" t="str">
        <f t="shared" si="6"/>
        <v/>
      </c>
      <c r="O48" s="75" t="str">
        <f t="shared" si="7"/>
        <v/>
      </c>
      <c r="P48" s="79" t="str">
        <f>IF(B48="","",SUM($K$6:K48)-SUM($L$6:L48))</f>
        <v/>
      </c>
      <c r="Q48" s="75" t="str">
        <f t="shared" si="1"/>
        <v/>
      </c>
      <c r="R48" s="84"/>
      <c r="S48" s="84"/>
    </row>
    <row r="49" spans="1:19" x14ac:dyDescent="0.35">
      <c r="A49" s="75" t="str">
        <f t="shared" si="2"/>
        <v/>
      </c>
      <c r="B49" s="81"/>
      <c r="C49" s="75" t="str">
        <f t="shared" si="3"/>
        <v/>
      </c>
      <c r="D49" s="75" t="str">
        <f t="shared" si="4"/>
        <v/>
      </c>
      <c r="E49" s="14"/>
      <c r="F49" s="14"/>
      <c r="G49" s="14"/>
      <c r="H49" s="75" t="str">
        <f t="shared" si="5"/>
        <v/>
      </c>
      <c r="I49" s="77" t="str">
        <f>IF(G49="","",IFERROR(VLOOKUP(G49,'Plan Comptable'!$B$5:$C$278,2,FALSE),"Compte inconnu"))</f>
        <v/>
      </c>
      <c r="J49" s="83"/>
      <c r="K49" s="83"/>
      <c r="L49" s="14"/>
      <c r="M49" s="32" t="str">
        <f t="shared" si="0"/>
        <v/>
      </c>
      <c r="N49" s="77" t="str">
        <f t="shared" si="6"/>
        <v/>
      </c>
      <c r="O49" s="75" t="str">
        <f t="shared" si="7"/>
        <v/>
      </c>
      <c r="P49" s="79" t="str">
        <f>IF(B49="","",SUM($K$6:K49)-SUM($L$6:L49))</f>
        <v/>
      </c>
      <c r="Q49" s="75" t="str">
        <f t="shared" si="1"/>
        <v/>
      </c>
      <c r="R49" s="84"/>
      <c r="S49" s="84"/>
    </row>
    <row r="50" spans="1:19" x14ac:dyDescent="0.35">
      <c r="A50" s="75" t="str">
        <f t="shared" si="2"/>
        <v/>
      </c>
      <c r="B50" s="81"/>
      <c r="C50" s="75" t="str">
        <f t="shared" si="3"/>
        <v/>
      </c>
      <c r="D50" s="75" t="str">
        <f t="shared" si="4"/>
        <v/>
      </c>
      <c r="E50" s="14"/>
      <c r="F50" s="14"/>
      <c r="G50" s="14"/>
      <c r="H50" s="75" t="str">
        <f t="shared" si="5"/>
        <v/>
      </c>
      <c r="I50" s="77" t="str">
        <f>IF(G50="","",IFERROR(VLOOKUP(G50,'Plan Comptable'!$B$5:$C$278,2,FALSE),"Compte inconnu"))</f>
        <v/>
      </c>
      <c r="J50" s="83"/>
      <c r="K50" s="83"/>
      <c r="L50" s="14"/>
      <c r="M50" s="32" t="str">
        <f t="shared" si="0"/>
        <v/>
      </c>
      <c r="N50" s="77" t="str">
        <f t="shared" si="6"/>
        <v/>
      </c>
      <c r="O50" s="75" t="str">
        <f t="shared" si="7"/>
        <v/>
      </c>
      <c r="P50" s="79" t="str">
        <f>IF(B50="","",SUM($K$6:K50)-SUM($L$6:L50))</f>
        <v/>
      </c>
      <c r="Q50" s="75" t="str">
        <f t="shared" si="1"/>
        <v/>
      </c>
      <c r="R50" s="84"/>
      <c r="S50" s="84"/>
    </row>
    <row r="51" spans="1:19" x14ac:dyDescent="0.35">
      <c r="A51" s="75" t="str">
        <f t="shared" si="2"/>
        <v/>
      </c>
      <c r="B51" s="81"/>
      <c r="C51" s="75" t="str">
        <f t="shared" si="3"/>
        <v/>
      </c>
      <c r="D51" s="75" t="str">
        <f t="shared" si="4"/>
        <v/>
      </c>
      <c r="E51" s="14"/>
      <c r="F51" s="14"/>
      <c r="G51" s="14"/>
      <c r="H51" s="75" t="str">
        <f t="shared" si="5"/>
        <v/>
      </c>
      <c r="I51" s="77" t="str">
        <f>IF(G51="","",IFERROR(VLOOKUP(G51,'Plan Comptable'!$B$5:$C$278,2,FALSE),"Compte inconnu"))</f>
        <v/>
      </c>
      <c r="J51" s="83"/>
      <c r="K51" s="83"/>
      <c r="L51" s="14"/>
      <c r="M51" s="32" t="str">
        <f t="shared" si="0"/>
        <v/>
      </c>
      <c r="N51" s="77" t="str">
        <f t="shared" si="6"/>
        <v/>
      </c>
      <c r="O51" s="75" t="str">
        <f t="shared" si="7"/>
        <v/>
      </c>
      <c r="P51" s="79" t="str">
        <f>IF(B51="","",SUM($K$6:K51)-SUM($L$6:L51))</f>
        <v/>
      </c>
      <c r="Q51" s="75" t="str">
        <f t="shared" si="1"/>
        <v/>
      </c>
      <c r="R51" s="84"/>
      <c r="S51" s="84"/>
    </row>
    <row r="52" spans="1:19" x14ac:dyDescent="0.35">
      <c r="A52" s="75" t="str">
        <f t="shared" si="2"/>
        <v/>
      </c>
      <c r="B52" s="81"/>
      <c r="C52" s="75" t="str">
        <f t="shared" si="3"/>
        <v/>
      </c>
      <c r="D52" s="75" t="str">
        <f t="shared" si="4"/>
        <v/>
      </c>
      <c r="E52" s="14"/>
      <c r="F52" s="14"/>
      <c r="G52" s="14"/>
      <c r="H52" s="75" t="str">
        <f t="shared" si="5"/>
        <v/>
      </c>
      <c r="I52" s="77" t="str">
        <f>IF(G52="","",IFERROR(VLOOKUP(G52,'Plan Comptable'!$B$5:$C$278,2,FALSE),"Compte inconnu"))</f>
        <v/>
      </c>
      <c r="J52" s="83"/>
      <c r="K52" s="83"/>
      <c r="L52" s="14"/>
      <c r="M52" s="32" t="str">
        <f t="shared" si="0"/>
        <v/>
      </c>
      <c r="N52" s="77" t="str">
        <f t="shared" si="6"/>
        <v/>
      </c>
      <c r="O52" s="75" t="str">
        <f t="shared" si="7"/>
        <v/>
      </c>
      <c r="P52" s="79" t="str">
        <f>IF(B52="","",SUM($K$6:K52)-SUM($L$6:L52))</f>
        <v/>
      </c>
      <c r="Q52" s="75" t="str">
        <f t="shared" si="1"/>
        <v/>
      </c>
      <c r="R52" s="84"/>
      <c r="S52" s="84"/>
    </row>
    <row r="53" spans="1:19" x14ac:dyDescent="0.35">
      <c r="A53" s="75" t="str">
        <f t="shared" si="2"/>
        <v/>
      </c>
      <c r="B53" s="81"/>
      <c r="C53" s="75" t="str">
        <f t="shared" si="3"/>
        <v/>
      </c>
      <c r="D53" s="75" t="str">
        <f t="shared" si="4"/>
        <v/>
      </c>
      <c r="E53" s="14"/>
      <c r="F53" s="14"/>
      <c r="G53" s="14"/>
      <c r="H53" s="75" t="str">
        <f t="shared" si="5"/>
        <v/>
      </c>
      <c r="I53" s="77" t="str">
        <f>IF(G53="","",IFERROR(VLOOKUP(G53,'Plan Comptable'!$B$5:$C$278,2,FALSE),"Compte inconnu"))</f>
        <v/>
      </c>
      <c r="J53" s="83"/>
      <c r="K53" s="83"/>
      <c r="L53" s="14"/>
      <c r="M53" s="32" t="str">
        <f t="shared" si="0"/>
        <v/>
      </c>
      <c r="N53" s="77" t="str">
        <f t="shared" si="6"/>
        <v/>
      </c>
      <c r="O53" s="75" t="str">
        <f t="shared" si="7"/>
        <v/>
      </c>
      <c r="P53" s="79" t="str">
        <f>IF(B53="","",SUM($K$6:K53)-SUM($L$6:L53))</f>
        <v/>
      </c>
      <c r="Q53" s="75" t="str">
        <f t="shared" si="1"/>
        <v/>
      </c>
      <c r="R53" s="84"/>
      <c r="S53" s="84"/>
    </row>
    <row r="54" spans="1:19" x14ac:dyDescent="0.35">
      <c r="A54" s="75" t="str">
        <f t="shared" si="2"/>
        <v/>
      </c>
      <c r="B54" s="81"/>
      <c r="C54" s="75" t="str">
        <f t="shared" si="3"/>
        <v/>
      </c>
      <c r="D54" s="75" t="str">
        <f t="shared" si="4"/>
        <v/>
      </c>
      <c r="E54" s="14"/>
      <c r="F54" s="14"/>
      <c r="G54" s="14"/>
      <c r="H54" s="75" t="str">
        <f t="shared" si="5"/>
        <v/>
      </c>
      <c r="I54" s="77" t="str">
        <f>IF(G54="","",IFERROR(VLOOKUP(G54,'Plan Comptable'!$B$5:$C$278,2,FALSE),"Compte inconnu"))</f>
        <v/>
      </c>
      <c r="J54" s="83"/>
      <c r="K54" s="83"/>
      <c r="L54" s="14"/>
      <c r="M54" s="32" t="str">
        <f t="shared" si="0"/>
        <v/>
      </c>
      <c r="N54" s="77" t="str">
        <f t="shared" si="6"/>
        <v/>
      </c>
      <c r="O54" s="75" t="str">
        <f t="shared" si="7"/>
        <v/>
      </c>
      <c r="P54" s="79" t="str">
        <f>IF(B54="","",SUM($K$6:K54)-SUM($L$6:L54))</f>
        <v/>
      </c>
      <c r="Q54" s="75" t="str">
        <f t="shared" si="1"/>
        <v/>
      </c>
      <c r="R54" s="84"/>
      <c r="S54" s="84"/>
    </row>
    <row r="55" spans="1:19" x14ac:dyDescent="0.35">
      <c r="A55" s="75" t="str">
        <f t="shared" si="2"/>
        <v/>
      </c>
      <c r="B55" s="81"/>
      <c r="C55" s="75" t="str">
        <f t="shared" si="3"/>
        <v/>
      </c>
      <c r="D55" s="75" t="str">
        <f t="shared" si="4"/>
        <v/>
      </c>
      <c r="E55" s="14"/>
      <c r="F55" s="14"/>
      <c r="G55" s="14"/>
      <c r="H55" s="75" t="str">
        <f t="shared" si="5"/>
        <v/>
      </c>
      <c r="I55" s="77" t="str">
        <f>IF(G55="","",IFERROR(VLOOKUP(G55,'Plan Comptable'!$B$5:$C$278,2,FALSE),"Compte inconnu"))</f>
        <v/>
      </c>
      <c r="J55" s="83"/>
      <c r="K55" s="83"/>
      <c r="L55" s="14"/>
      <c r="M55" s="32" t="str">
        <f t="shared" si="0"/>
        <v/>
      </c>
      <c r="N55" s="77" t="str">
        <f t="shared" si="6"/>
        <v/>
      </c>
      <c r="O55" s="75" t="str">
        <f t="shared" si="7"/>
        <v/>
      </c>
      <c r="P55" s="79" t="str">
        <f>IF(B55="","",SUM($K$6:K55)-SUM($L$6:L55))</f>
        <v/>
      </c>
      <c r="Q55" s="75" t="str">
        <f t="shared" si="1"/>
        <v/>
      </c>
      <c r="R55" s="84"/>
      <c r="S55" s="84"/>
    </row>
    <row r="56" spans="1:19" x14ac:dyDescent="0.35">
      <c r="A56" s="75" t="str">
        <f t="shared" si="2"/>
        <v/>
      </c>
      <c r="B56" s="81"/>
      <c r="C56" s="75" t="str">
        <f t="shared" si="3"/>
        <v/>
      </c>
      <c r="D56" s="75" t="str">
        <f t="shared" si="4"/>
        <v/>
      </c>
      <c r="E56" s="14"/>
      <c r="F56" s="14"/>
      <c r="G56" s="14"/>
      <c r="H56" s="75" t="str">
        <f t="shared" si="5"/>
        <v/>
      </c>
      <c r="I56" s="77" t="str">
        <f>IF(G56="","",IFERROR(VLOOKUP(G56,'Plan Comptable'!$B$5:$C$278,2,FALSE),"Compte inconnu"))</f>
        <v/>
      </c>
      <c r="J56" s="83"/>
      <c r="K56" s="83"/>
      <c r="L56" s="14"/>
      <c r="M56" s="32" t="str">
        <f t="shared" si="0"/>
        <v/>
      </c>
      <c r="N56" s="77" t="str">
        <f t="shared" si="6"/>
        <v/>
      </c>
      <c r="O56" s="75" t="str">
        <f t="shared" si="7"/>
        <v/>
      </c>
      <c r="P56" s="79" t="str">
        <f>IF(B56="","",SUM($K$6:K56)-SUM($L$6:L56))</f>
        <v/>
      </c>
      <c r="Q56" s="75" t="str">
        <f t="shared" si="1"/>
        <v/>
      </c>
      <c r="R56" s="84"/>
      <c r="S56" s="84"/>
    </row>
    <row r="57" spans="1:19" x14ac:dyDescent="0.35">
      <c r="A57" s="75" t="str">
        <f t="shared" si="2"/>
        <v/>
      </c>
      <c r="B57" s="81"/>
      <c r="C57" s="75" t="str">
        <f t="shared" si="3"/>
        <v/>
      </c>
      <c r="D57" s="75" t="str">
        <f t="shared" si="4"/>
        <v/>
      </c>
      <c r="E57" s="14"/>
      <c r="F57" s="14"/>
      <c r="G57" s="14"/>
      <c r="H57" s="75" t="str">
        <f t="shared" si="5"/>
        <v/>
      </c>
      <c r="I57" s="77" t="str">
        <f>IF(G57="","",IFERROR(VLOOKUP(G57,'Plan Comptable'!$B$5:$C$278,2,FALSE),"Compte inconnu"))</f>
        <v/>
      </c>
      <c r="J57" s="83"/>
      <c r="K57" s="83"/>
      <c r="L57" s="14"/>
      <c r="M57" s="32" t="str">
        <f t="shared" si="0"/>
        <v/>
      </c>
      <c r="N57" s="77" t="str">
        <f t="shared" si="6"/>
        <v/>
      </c>
      <c r="O57" s="75" t="str">
        <f t="shared" si="7"/>
        <v/>
      </c>
      <c r="P57" s="79" t="str">
        <f>IF(B57="","",SUM($K$6:K57)-SUM($L$6:L57))</f>
        <v/>
      </c>
      <c r="Q57" s="75" t="str">
        <f t="shared" si="1"/>
        <v/>
      </c>
      <c r="R57" s="84"/>
      <c r="S57" s="84"/>
    </row>
    <row r="58" spans="1:19" x14ac:dyDescent="0.35">
      <c r="A58" s="75" t="str">
        <f t="shared" si="2"/>
        <v/>
      </c>
      <c r="B58" s="81"/>
      <c r="C58" s="75" t="str">
        <f t="shared" si="3"/>
        <v/>
      </c>
      <c r="D58" s="75" t="str">
        <f t="shared" si="4"/>
        <v/>
      </c>
      <c r="E58" s="14"/>
      <c r="F58" s="14"/>
      <c r="G58" s="14"/>
      <c r="H58" s="75" t="str">
        <f t="shared" si="5"/>
        <v/>
      </c>
      <c r="I58" s="77" t="str">
        <f>IF(G58="","",IFERROR(VLOOKUP(G58,'Plan Comptable'!$B$5:$C$278,2,FALSE),"Compte inconnu"))</f>
        <v/>
      </c>
      <c r="J58" s="83"/>
      <c r="K58" s="83"/>
      <c r="L58" s="14"/>
      <c r="M58" s="32" t="str">
        <f t="shared" si="0"/>
        <v/>
      </c>
      <c r="N58" s="77" t="str">
        <f t="shared" si="6"/>
        <v/>
      </c>
      <c r="O58" s="75" t="str">
        <f t="shared" si="7"/>
        <v/>
      </c>
      <c r="P58" s="79" t="str">
        <f>IF(B58="","",SUM($K$6:K58)-SUM($L$6:L58))</f>
        <v/>
      </c>
      <c r="Q58" s="75" t="str">
        <f t="shared" si="1"/>
        <v/>
      </c>
      <c r="R58" s="84"/>
      <c r="S58" s="84"/>
    </row>
    <row r="59" spans="1:19" x14ac:dyDescent="0.35">
      <c r="A59" s="75" t="str">
        <f t="shared" si="2"/>
        <v/>
      </c>
      <c r="B59" s="81"/>
      <c r="C59" s="75" t="str">
        <f t="shared" si="3"/>
        <v/>
      </c>
      <c r="D59" s="75" t="str">
        <f t="shared" si="4"/>
        <v/>
      </c>
      <c r="E59" s="14"/>
      <c r="F59" s="14"/>
      <c r="G59" s="14"/>
      <c r="H59" s="75" t="str">
        <f t="shared" si="5"/>
        <v/>
      </c>
      <c r="I59" s="77" t="str">
        <f>IF(G59="","",IFERROR(VLOOKUP(G59,'Plan Comptable'!$B$5:$C$278,2,FALSE),"Compte inconnu"))</f>
        <v/>
      </c>
      <c r="J59" s="83"/>
      <c r="K59" s="83"/>
      <c r="L59" s="14"/>
      <c r="M59" s="32" t="str">
        <f t="shared" si="0"/>
        <v/>
      </c>
      <c r="N59" s="77" t="str">
        <f t="shared" si="6"/>
        <v/>
      </c>
      <c r="O59" s="75" t="str">
        <f t="shared" si="7"/>
        <v/>
      </c>
      <c r="P59" s="79" t="str">
        <f>IF(B59="","",SUM($K$6:K59)-SUM($L$6:L59))</f>
        <v/>
      </c>
      <c r="Q59" s="75" t="str">
        <f t="shared" si="1"/>
        <v/>
      </c>
      <c r="R59" s="84"/>
      <c r="S59" s="84"/>
    </row>
    <row r="60" spans="1:19" x14ac:dyDescent="0.35">
      <c r="A60" s="75" t="str">
        <f t="shared" si="2"/>
        <v/>
      </c>
      <c r="B60" s="81"/>
      <c r="C60" s="75" t="str">
        <f t="shared" si="3"/>
        <v/>
      </c>
      <c r="D60" s="75" t="str">
        <f t="shared" si="4"/>
        <v/>
      </c>
      <c r="E60" s="14"/>
      <c r="F60" s="14"/>
      <c r="G60" s="14"/>
      <c r="H60" s="75" t="str">
        <f t="shared" si="5"/>
        <v/>
      </c>
      <c r="I60" s="77" t="str">
        <f>IF(G60="","",IFERROR(VLOOKUP(G60,'Plan Comptable'!$B$5:$C$278,2,FALSE),"Compte inconnu"))</f>
        <v/>
      </c>
      <c r="J60" s="83"/>
      <c r="K60" s="83"/>
      <c r="L60" s="14"/>
      <c r="M60" s="32" t="str">
        <f t="shared" si="0"/>
        <v/>
      </c>
      <c r="N60" s="77" t="str">
        <f t="shared" si="6"/>
        <v/>
      </c>
      <c r="O60" s="75" t="str">
        <f t="shared" si="7"/>
        <v/>
      </c>
      <c r="P60" s="79" t="str">
        <f>IF(B60="","",SUM($K$6:K60)-SUM($L$6:L60))</f>
        <v/>
      </c>
      <c r="Q60" s="75" t="str">
        <f t="shared" si="1"/>
        <v/>
      </c>
      <c r="R60" s="84"/>
      <c r="S60" s="84"/>
    </row>
    <row r="61" spans="1:19" x14ac:dyDescent="0.35">
      <c r="A61" s="75" t="str">
        <f t="shared" si="2"/>
        <v/>
      </c>
      <c r="B61" s="81"/>
      <c r="C61" s="75" t="str">
        <f t="shared" si="3"/>
        <v/>
      </c>
      <c r="D61" s="75" t="str">
        <f t="shared" si="4"/>
        <v/>
      </c>
      <c r="E61" s="14"/>
      <c r="F61" s="14"/>
      <c r="G61" s="14"/>
      <c r="H61" s="75" t="str">
        <f t="shared" si="5"/>
        <v/>
      </c>
      <c r="I61" s="77" t="str">
        <f>IF(G61="","",IFERROR(VLOOKUP(G61,'Plan Comptable'!$B$5:$C$278,2,FALSE),"Compte inconnu"))</f>
        <v/>
      </c>
      <c r="J61" s="83"/>
      <c r="K61" s="83"/>
      <c r="L61" s="14"/>
      <c r="M61" s="32" t="str">
        <f t="shared" si="0"/>
        <v/>
      </c>
      <c r="N61" s="77" t="str">
        <f t="shared" si="6"/>
        <v/>
      </c>
      <c r="O61" s="75" t="str">
        <f t="shared" si="7"/>
        <v/>
      </c>
      <c r="P61" s="79" t="str">
        <f>IF(B61="","",SUM($K$6:K61)-SUM($L$6:L61))</f>
        <v/>
      </c>
      <c r="Q61" s="75" t="str">
        <f t="shared" si="1"/>
        <v/>
      </c>
      <c r="R61" s="84"/>
      <c r="S61" s="84"/>
    </row>
    <row r="62" spans="1:19" x14ac:dyDescent="0.35">
      <c r="A62" s="75" t="str">
        <f t="shared" si="2"/>
        <v/>
      </c>
      <c r="B62" s="81"/>
      <c r="C62" s="75" t="str">
        <f t="shared" si="3"/>
        <v/>
      </c>
      <c r="D62" s="75" t="str">
        <f t="shared" si="4"/>
        <v/>
      </c>
      <c r="E62" s="14"/>
      <c r="F62" s="14"/>
      <c r="G62" s="14"/>
      <c r="H62" s="75" t="str">
        <f t="shared" si="5"/>
        <v/>
      </c>
      <c r="I62" s="77" t="str">
        <f>IF(G62="","",IFERROR(VLOOKUP(G62,'Plan Comptable'!$B$5:$C$278,2,FALSE),"Compte inconnu"))</f>
        <v/>
      </c>
      <c r="J62" s="83"/>
      <c r="K62" s="83"/>
      <c r="L62" s="14"/>
      <c r="M62" s="32" t="str">
        <f t="shared" si="0"/>
        <v/>
      </c>
      <c r="N62" s="77" t="str">
        <f t="shared" si="6"/>
        <v/>
      </c>
      <c r="O62" s="75" t="str">
        <f t="shared" si="7"/>
        <v/>
      </c>
      <c r="P62" s="79" t="str">
        <f>IF(B62="","",SUM($K$6:K62)-SUM($L$6:L62))</f>
        <v/>
      </c>
      <c r="Q62" s="75" t="str">
        <f t="shared" si="1"/>
        <v/>
      </c>
      <c r="R62" s="84"/>
      <c r="S62" s="84"/>
    </row>
    <row r="63" spans="1:19" x14ac:dyDescent="0.35">
      <c r="A63" s="75" t="str">
        <f t="shared" si="2"/>
        <v/>
      </c>
      <c r="B63" s="81"/>
      <c r="C63" s="75" t="str">
        <f t="shared" si="3"/>
        <v/>
      </c>
      <c r="D63" s="75" t="str">
        <f t="shared" si="4"/>
        <v/>
      </c>
      <c r="E63" s="14"/>
      <c r="F63" s="14"/>
      <c r="G63" s="14"/>
      <c r="H63" s="75" t="str">
        <f t="shared" si="5"/>
        <v/>
      </c>
      <c r="I63" s="77" t="str">
        <f>IF(G63="","",IFERROR(VLOOKUP(G63,'Plan Comptable'!$B$5:$C$278,2,FALSE),"Compte inconnu"))</f>
        <v/>
      </c>
      <c r="J63" s="83"/>
      <c r="K63" s="83"/>
      <c r="L63" s="14"/>
      <c r="M63" s="32" t="str">
        <f t="shared" si="0"/>
        <v/>
      </c>
      <c r="N63" s="77" t="str">
        <f t="shared" si="6"/>
        <v/>
      </c>
      <c r="O63" s="75" t="str">
        <f t="shared" si="7"/>
        <v/>
      </c>
      <c r="P63" s="79" t="str">
        <f>IF(B63="","",SUM($K$6:K63)-SUM($L$6:L63))</f>
        <v/>
      </c>
      <c r="Q63" s="75" t="str">
        <f t="shared" si="1"/>
        <v/>
      </c>
      <c r="R63" s="84"/>
      <c r="S63" s="84"/>
    </row>
    <row r="64" spans="1:19" x14ac:dyDescent="0.35">
      <c r="A64" s="75" t="str">
        <f t="shared" si="2"/>
        <v/>
      </c>
      <c r="B64" s="81"/>
      <c r="C64" s="75" t="str">
        <f t="shared" si="3"/>
        <v/>
      </c>
      <c r="D64" s="75" t="str">
        <f t="shared" si="4"/>
        <v/>
      </c>
      <c r="E64" s="14"/>
      <c r="F64" s="14"/>
      <c r="G64" s="14"/>
      <c r="H64" s="75" t="str">
        <f t="shared" si="5"/>
        <v/>
      </c>
      <c r="I64" s="77" t="str">
        <f>IF(G64="","",IFERROR(VLOOKUP(G64,'Plan Comptable'!$B$5:$C$278,2,FALSE),"Compte inconnu"))</f>
        <v/>
      </c>
      <c r="J64" s="83"/>
      <c r="K64" s="83"/>
      <c r="L64" s="14"/>
      <c r="M64" s="32" t="str">
        <f t="shared" si="0"/>
        <v/>
      </c>
      <c r="N64" s="77" t="str">
        <f t="shared" si="6"/>
        <v/>
      </c>
      <c r="O64" s="75" t="str">
        <f t="shared" si="7"/>
        <v/>
      </c>
      <c r="P64" s="79" t="str">
        <f>IF(B64="","",SUM($K$6:K64)-SUM($L$6:L64))</f>
        <v/>
      </c>
      <c r="Q64" s="75" t="str">
        <f t="shared" si="1"/>
        <v/>
      </c>
      <c r="R64" s="84"/>
      <c r="S64" s="84"/>
    </row>
    <row r="65" spans="1:19" x14ac:dyDescent="0.35">
      <c r="A65" s="75" t="str">
        <f t="shared" si="2"/>
        <v/>
      </c>
      <c r="B65" s="81"/>
      <c r="C65" s="75" t="str">
        <f t="shared" si="3"/>
        <v/>
      </c>
      <c r="D65" s="75" t="str">
        <f t="shared" si="4"/>
        <v/>
      </c>
      <c r="E65" s="14"/>
      <c r="F65" s="14"/>
      <c r="G65" s="14"/>
      <c r="H65" s="75" t="str">
        <f t="shared" si="5"/>
        <v/>
      </c>
      <c r="I65" s="77" t="str">
        <f>IF(G65="","",IFERROR(VLOOKUP(G65,'Plan Comptable'!$B$5:$C$278,2,FALSE),"Compte inconnu"))</f>
        <v/>
      </c>
      <c r="J65" s="83"/>
      <c r="K65" s="83"/>
      <c r="L65" s="14"/>
      <c r="M65" s="32" t="str">
        <f t="shared" si="0"/>
        <v/>
      </c>
      <c r="N65" s="77" t="str">
        <f t="shared" si="6"/>
        <v/>
      </c>
      <c r="O65" s="75" t="str">
        <f t="shared" si="7"/>
        <v/>
      </c>
      <c r="P65" s="79" t="str">
        <f>IF(B65="","",SUM($K$6:K65)-SUM($L$6:L65))</f>
        <v/>
      </c>
      <c r="Q65" s="75" t="str">
        <f t="shared" si="1"/>
        <v/>
      </c>
      <c r="R65" s="84"/>
      <c r="S65" s="84"/>
    </row>
    <row r="66" spans="1:19" x14ac:dyDescent="0.35">
      <c r="A66" s="75" t="str">
        <f t="shared" si="2"/>
        <v/>
      </c>
      <c r="B66" s="81"/>
      <c r="C66" s="75" t="str">
        <f t="shared" si="3"/>
        <v/>
      </c>
      <c r="D66" s="75" t="str">
        <f t="shared" si="4"/>
        <v/>
      </c>
      <c r="E66" s="14"/>
      <c r="F66" s="14"/>
      <c r="G66" s="14"/>
      <c r="H66" s="75" t="str">
        <f t="shared" si="5"/>
        <v/>
      </c>
      <c r="I66" s="77" t="str">
        <f>IF(G66="","",IFERROR(VLOOKUP(G66,'Plan Comptable'!$B$5:$C$278,2,FALSE),"Compte inconnu"))</f>
        <v/>
      </c>
      <c r="J66" s="83"/>
      <c r="K66" s="83"/>
      <c r="L66" s="14"/>
      <c r="M66" s="32" t="str">
        <f t="shared" si="0"/>
        <v/>
      </c>
      <c r="N66" s="77" t="str">
        <f t="shared" si="6"/>
        <v/>
      </c>
      <c r="O66" s="75" t="str">
        <f t="shared" si="7"/>
        <v/>
      </c>
      <c r="P66" s="79" t="str">
        <f>IF(B66="","",SUM($K$6:K66)-SUM($L$6:L66))</f>
        <v/>
      </c>
      <c r="Q66" s="75" t="str">
        <f t="shared" si="1"/>
        <v/>
      </c>
      <c r="R66" s="84"/>
      <c r="S66" s="84"/>
    </row>
    <row r="67" spans="1:19" x14ac:dyDescent="0.35">
      <c r="A67" s="75" t="str">
        <f t="shared" si="2"/>
        <v/>
      </c>
      <c r="B67" s="81"/>
      <c r="C67" s="75" t="str">
        <f t="shared" si="3"/>
        <v/>
      </c>
      <c r="D67" s="75" t="str">
        <f t="shared" si="4"/>
        <v/>
      </c>
      <c r="E67" s="14"/>
      <c r="F67" s="14"/>
      <c r="G67" s="14"/>
      <c r="H67" s="75" t="str">
        <f t="shared" si="5"/>
        <v/>
      </c>
      <c r="I67" s="77" t="str">
        <f>IF(G67="","",IFERROR(VLOOKUP(G67,'Plan Comptable'!$B$5:$C$278,2,FALSE),"Compte inconnu"))</f>
        <v/>
      </c>
      <c r="J67" s="83"/>
      <c r="K67" s="83"/>
      <c r="L67" s="14"/>
      <c r="M67" s="32" t="str">
        <f t="shared" si="0"/>
        <v/>
      </c>
      <c r="N67" s="77" t="str">
        <f t="shared" si="6"/>
        <v/>
      </c>
      <c r="O67" s="75" t="str">
        <f t="shared" si="7"/>
        <v/>
      </c>
      <c r="P67" s="79" t="str">
        <f>IF(B67="","",SUM($K$6:K67)-SUM($L$6:L67))</f>
        <v/>
      </c>
      <c r="Q67" s="75" t="str">
        <f t="shared" si="1"/>
        <v/>
      </c>
      <c r="R67" s="84"/>
      <c r="S67" s="84"/>
    </row>
    <row r="68" spans="1:19" x14ac:dyDescent="0.35">
      <c r="A68" s="75" t="str">
        <f t="shared" si="2"/>
        <v/>
      </c>
      <c r="B68" s="81"/>
      <c r="C68" s="75" t="str">
        <f t="shared" si="3"/>
        <v/>
      </c>
      <c r="D68" s="75" t="str">
        <f t="shared" si="4"/>
        <v/>
      </c>
      <c r="E68" s="14"/>
      <c r="F68" s="14"/>
      <c r="G68" s="14"/>
      <c r="H68" s="75" t="str">
        <f t="shared" si="5"/>
        <v/>
      </c>
      <c r="I68" s="77" t="str">
        <f>IF(G68="","",IFERROR(VLOOKUP(G68,'Plan Comptable'!$B$5:$C$278,2,FALSE),"Compte inconnu"))</f>
        <v/>
      </c>
      <c r="J68" s="83"/>
      <c r="K68" s="83"/>
      <c r="L68" s="14"/>
      <c r="M68" s="32" t="str">
        <f t="shared" si="0"/>
        <v/>
      </c>
      <c r="N68" s="77" t="str">
        <f t="shared" si="6"/>
        <v/>
      </c>
      <c r="O68" s="75" t="str">
        <f t="shared" si="7"/>
        <v/>
      </c>
      <c r="P68" s="79" t="str">
        <f>IF(B68="","",SUM($K$6:K68)-SUM($L$6:L68))</f>
        <v/>
      </c>
      <c r="Q68" s="75" t="str">
        <f t="shared" si="1"/>
        <v/>
      </c>
      <c r="R68" s="84"/>
      <c r="S68" s="84"/>
    </row>
    <row r="69" spans="1:19" x14ac:dyDescent="0.35">
      <c r="A69" s="75" t="str">
        <f t="shared" si="2"/>
        <v/>
      </c>
      <c r="B69" s="81"/>
      <c r="C69" s="75" t="str">
        <f t="shared" si="3"/>
        <v/>
      </c>
      <c r="D69" s="75" t="str">
        <f t="shared" si="4"/>
        <v/>
      </c>
      <c r="E69" s="14"/>
      <c r="F69" s="14"/>
      <c r="G69" s="14"/>
      <c r="H69" s="75" t="str">
        <f t="shared" si="5"/>
        <v/>
      </c>
      <c r="I69" s="77" t="str">
        <f>IF(G69="","",IFERROR(VLOOKUP(G69,'Plan Comptable'!$B$5:$C$278,2,FALSE),"Compte inconnu"))</f>
        <v/>
      </c>
      <c r="J69" s="83"/>
      <c r="K69" s="83"/>
      <c r="L69" s="14"/>
      <c r="M69" s="32" t="str">
        <f t="shared" si="0"/>
        <v/>
      </c>
      <c r="N69" s="77" t="str">
        <f t="shared" si="6"/>
        <v/>
      </c>
      <c r="O69" s="75" t="str">
        <f t="shared" si="7"/>
        <v/>
      </c>
      <c r="P69" s="79" t="str">
        <f>IF(B69="","",SUM($K$6:K69)-SUM($L$6:L69))</f>
        <v/>
      </c>
      <c r="Q69" s="75" t="str">
        <f t="shared" si="1"/>
        <v/>
      </c>
      <c r="R69" s="84"/>
      <c r="S69" s="84"/>
    </row>
    <row r="70" spans="1:19" x14ac:dyDescent="0.35">
      <c r="A70" s="75" t="str">
        <f t="shared" si="2"/>
        <v/>
      </c>
      <c r="B70" s="81"/>
      <c r="C70" s="75" t="str">
        <f t="shared" si="3"/>
        <v/>
      </c>
      <c r="D70" s="75" t="str">
        <f t="shared" si="4"/>
        <v/>
      </c>
      <c r="E70" s="14"/>
      <c r="F70" s="14"/>
      <c r="G70" s="14"/>
      <c r="H70" s="75" t="str">
        <f t="shared" si="5"/>
        <v/>
      </c>
      <c r="I70" s="77" t="str">
        <f>IF(G70="","",IFERROR(VLOOKUP(G70,'Plan Comptable'!$B$5:$C$278,2,FALSE),"Compte inconnu"))</f>
        <v/>
      </c>
      <c r="J70" s="83"/>
      <c r="K70" s="83"/>
      <c r="L70" s="14"/>
      <c r="M70" s="32" t="str">
        <f t="shared" ref="M70:M133" si="8">IF(B70="","",IF(AND(OR(K70="",L70=""),K70&lt;&gt;L70),"",IF(AND(K70&lt;&gt;"",L70&lt;&gt;"",ABS(K70-L70)&gt;=0.01),"⚠ D/C",IF(AND(E70&lt;&gt;"",F70&lt;&gt;"",COUNTIFS($F$6:$F$508,F70,$E$6:$E$508,E70)&gt;1),"⚠ DBL",IF(AND(E70&lt;&gt;"",ABS(SUMIF($E$6:$E$507,E70,$K$6:$K$507)-SUMIF($E$6:$E$507,E70,$L$6:$L$507))&gt;=0.01),"⚠ PÈC",IF(AND(DebutExercice&lt;&gt;"",FinExercice&lt;&gt;"",OR(B70&lt;DebutExercice,B70&gt;FinExercice)),"⚠ DATE","✓"))))))</f>
        <v/>
      </c>
      <c r="N70" s="77" t="str">
        <f t="shared" si="6"/>
        <v/>
      </c>
      <c r="O70" s="75" t="str">
        <f t="shared" si="7"/>
        <v/>
      </c>
      <c r="P70" s="79" t="str">
        <f>IF(B70="","",SUM($K$6:K70)-SUM($L$6:L70))</f>
        <v/>
      </c>
      <c r="Q70" s="75" t="str">
        <f t="shared" ref="Q70:Q133" si="9">IF(B70="","",IF(OR(DebutExercice="",FinExercice=""),"?",IF(AND(B70&gt;=DebutExercice,B70&lt;=FinExercice),"✓","⚠ Hors")))</f>
        <v/>
      </c>
      <c r="R70" s="84"/>
      <c r="S70" s="84"/>
    </row>
    <row r="71" spans="1:19" x14ac:dyDescent="0.35">
      <c r="A71" s="75" t="str">
        <f t="shared" ref="A71:A134" si="10">IF(B71="","",ROW()-4)</f>
        <v/>
      </c>
      <c r="B71" s="81"/>
      <c r="C71" s="75" t="str">
        <f t="shared" ref="C71:C134" si="11">IF(B71="","",MONTH(B71))</f>
        <v/>
      </c>
      <c r="D71" s="75" t="str">
        <f t="shared" ref="D71:D134" si="12">IF(B71="","",YEAR(B71))</f>
        <v/>
      </c>
      <c r="E71" s="14"/>
      <c r="F71" s="14"/>
      <c r="G71" s="14"/>
      <c r="H71" s="75" t="str">
        <f t="shared" ref="H71:H134" si="13">IF(G71="","",LEFT(G71,1))</f>
        <v/>
      </c>
      <c r="I71" s="77" t="str">
        <f>IF(G71="","",IFERROR(VLOOKUP(G71,'Plan Comptable'!$B$5:$C$278,2,FALSE),"Compte inconnu"))</f>
        <v/>
      </c>
      <c r="J71" s="83"/>
      <c r="K71" s="83"/>
      <c r="L71" s="14"/>
      <c r="M71" s="32" t="str">
        <f t="shared" si="8"/>
        <v/>
      </c>
      <c r="N71" s="77" t="str">
        <f t="shared" ref="N71:N134" si="14">IF(OR(E71="",F71=""),"",IF(COUNTIFS($F$6:$F$508,F71,$E$6:$E$508,E71)&gt;1,"DOUBLON",""))</f>
        <v/>
      </c>
      <c r="O71" s="75" t="str">
        <f t="shared" ref="O71:O134" si="15">IF(E71="","",IF(ABS(SUMIF($E$6:$E$507,E71,$K$6:$K$507)-SUMIF($E$6:$E$507,E71,$L$6:$L$507))&lt;0.01,"✓","⚠"))</f>
        <v/>
      </c>
      <c r="P71" s="79" t="str">
        <f>IF(B71="","",SUM($K$6:K71)-SUM($L$6:L71))</f>
        <v/>
      </c>
      <c r="Q71" s="75" t="str">
        <f t="shared" si="9"/>
        <v/>
      </c>
      <c r="R71" s="84"/>
      <c r="S71" s="84"/>
    </row>
    <row r="72" spans="1:19" x14ac:dyDescent="0.35">
      <c r="A72" s="75" t="str">
        <f t="shared" si="10"/>
        <v/>
      </c>
      <c r="B72" s="81"/>
      <c r="C72" s="75" t="str">
        <f t="shared" si="11"/>
        <v/>
      </c>
      <c r="D72" s="75" t="str">
        <f t="shared" si="12"/>
        <v/>
      </c>
      <c r="E72" s="14"/>
      <c r="F72" s="14"/>
      <c r="G72" s="14"/>
      <c r="H72" s="75" t="str">
        <f t="shared" si="13"/>
        <v/>
      </c>
      <c r="I72" s="77" t="str">
        <f>IF(G72="","",IFERROR(VLOOKUP(G72,'Plan Comptable'!$B$5:$C$278,2,FALSE),"Compte inconnu"))</f>
        <v/>
      </c>
      <c r="J72" s="83"/>
      <c r="K72" s="83"/>
      <c r="L72" s="14"/>
      <c r="M72" s="32" t="str">
        <f t="shared" si="8"/>
        <v/>
      </c>
      <c r="N72" s="77" t="str">
        <f t="shared" si="14"/>
        <v/>
      </c>
      <c r="O72" s="75" t="str">
        <f t="shared" si="15"/>
        <v/>
      </c>
      <c r="P72" s="79" t="str">
        <f>IF(B72="","",SUM($K$6:K72)-SUM($L$6:L72))</f>
        <v/>
      </c>
      <c r="Q72" s="75" t="str">
        <f t="shared" si="9"/>
        <v/>
      </c>
      <c r="R72" s="84"/>
      <c r="S72" s="84"/>
    </row>
    <row r="73" spans="1:19" x14ac:dyDescent="0.35">
      <c r="A73" s="75" t="str">
        <f t="shared" si="10"/>
        <v/>
      </c>
      <c r="B73" s="81"/>
      <c r="C73" s="75" t="str">
        <f t="shared" si="11"/>
        <v/>
      </c>
      <c r="D73" s="75" t="str">
        <f t="shared" si="12"/>
        <v/>
      </c>
      <c r="E73" s="14"/>
      <c r="F73" s="14"/>
      <c r="G73" s="14"/>
      <c r="H73" s="75" t="str">
        <f t="shared" si="13"/>
        <v/>
      </c>
      <c r="I73" s="77" t="str">
        <f>IF(G73="","",IFERROR(VLOOKUP(G73,'Plan Comptable'!$B$5:$C$278,2,FALSE),"Compte inconnu"))</f>
        <v/>
      </c>
      <c r="J73" s="83"/>
      <c r="K73" s="83"/>
      <c r="L73" s="14"/>
      <c r="M73" s="32" t="str">
        <f t="shared" si="8"/>
        <v/>
      </c>
      <c r="N73" s="77" t="str">
        <f t="shared" si="14"/>
        <v/>
      </c>
      <c r="O73" s="75" t="str">
        <f t="shared" si="15"/>
        <v/>
      </c>
      <c r="P73" s="79" t="str">
        <f>IF(B73="","",SUM($K$6:K73)-SUM($L$6:L73))</f>
        <v/>
      </c>
      <c r="Q73" s="75" t="str">
        <f t="shared" si="9"/>
        <v/>
      </c>
      <c r="R73" s="84"/>
      <c r="S73" s="84"/>
    </row>
    <row r="74" spans="1:19" x14ac:dyDescent="0.35">
      <c r="A74" s="75" t="str">
        <f t="shared" si="10"/>
        <v/>
      </c>
      <c r="B74" s="81"/>
      <c r="C74" s="75" t="str">
        <f t="shared" si="11"/>
        <v/>
      </c>
      <c r="D74" s="75" t="str">
        <f t="shared" si="12"/>
        <v/>
      </c>
      <c r="E74" s="14"/>
      <c r="F74" s="14"/>
      <c r="G74" s="14"/>
      <c r="H74" s="75" t="str">
        <f t="shared" si="13"/>
        <v/>
      </c>
      <c r="I74" s="77" t="str">
        <f>IF(G74="","",IFERROR(VLOOKUP(G74,'Plan Comptable'!$B$5:$C$278,2,FALSE),"Compte inconnu"))</f>
        <v/>
      </c>
      <c r="J74" s="83"/>
      <c r="K74" s="83"/>
      <c r="L74" s="14"/>
      <c r="M74" s="32" t="str">
        <f t="shared" si="8"/>
        <v/>
      </c>
      <c r="N74" s="77" t="str">
        <f t="shared" si="14"/>
        <v/>
      </c>
      <c r="O74" s="75" t="str">
        <f t="shared" si="15"/>
        <v/>
      </c>
      <c r="P74" s="79" t="str">
        <f>IF(B74="","",SUM($K$6:K74)-SUM($L$6:L74))</f>
        <v/>
      </c>
      <c r="Q74" s="75" t="str">
        <f t="shared" si="9"/>
        <v/>
      </c>
      <c r="R74" s="84"/>
      <c r="S74" s="84"/>
    </row>
    <row r="75" spans="1:19" x14ac:dyDescent="0.35">
      <c r="A75" s="75" t="str">
        <f t="shared" si="10"/>
        <v/>
      </c>
      <c r="B75" s="81"/>
      <c r="C75" s="75" t="str">
        <f t="shared" si="11"/>
        <v/>
      </c>
      <c r="D75" s="75" t="str">
        <f t="shared" si="12"/>
        <v/>
      </c>
      <c r="E75" s="14"/>
      <c r="F75" s="14"/>
      <c r="G75" s="14"/>
      <c r="H75" s="75" t="str">
        <f t="shared" si="13"/>
        <v/>
      </c>
      <c r="I75" s="77" t="str">
        <f>IF(G75="","",IFERROR(VLOOKUP(G75,'Plan Comptable'!$B$5:$C$278,2,FALSE),"Compte inconnu"))</f>
        <v/>
      </c>
      <c r="J75" s="83"/>
      <c r="K75" s="83"/>
      <c r="L75" s="14"/>
      <c r="M75" s="32" t="str">
        <f t="shared" si="8"/>
        <v/>
      </c>
      <c r="N75" s="77" t="str">
        <f t="shared" si="14"/>
        <v/>
      </c>
      <c r="O75" s="75" t="str">
        <f t="shared" si="15"/>
        <v/>
      </c>
      <c r="P75" s="79" t="str">
        <f>IF(B75="","",SUM($K$6:K75)-SUM($L$6:L75))</f>
        <v/>
      </c>
      <c r="Q75" s="75" t="str">
        <f t="shared" si="9"/>
        <v/>
      </c>
      <c r="R75" s="84"/>
      <c r="S75" s="84"/>
    </row>
    <row r="76" spans="1:19" x14ac:dyDescent="0.35">
      <c r="A76" s="75" t="str">
        <f t="shared" si="10"/>
        <v/>
      </c>
      <c r="B76" s="81"/>
      <c r="C76" s="75" t="str">
        <f t="shared" si="11"/>
        <v/>
      </c>
      <c r="D76" s="75" t="str">
        <f t="shared" si="12"/>
        <v/>
      </c>
      <c r="E76" s="14"/>
      <c r="F76" s="14"/>
      <c r="G76" s="14"/>
      <c r="H76" s="75" t="str">
        <f t="shared" si="13"/>
        <v/>
      </c>
      <c r="I76" s="77" t="str">
        <f>IF(G76="","",IFERROR(VLOOKUP(G76,'Plan Comptable'!$B$5:$C$278,2,FALSE),"Compte inconnu"))</f>
        <v/>
      </c>
      <c r="J76" s="83"/>
      <c r="K76" s="83"/>
      <c r="L76" s="14"/>
      <c r="M76" s="32" t="str">
        <f t="shared" si="8"/>
        <v/>
      </c>
      <c r="N76" s="77" t="str">
        <f t="shared" si="14"/>
        <v/>
      </c>
      <c r="O76" s="75" t="str">
        <f t="shared" si="15"/>
        <v/>
      </c>
      <c r="P76" s="79" t="str">
        <f>IF(B76="","",SUM($K$6:K76)-SUM($L$6:L76))</f>
        <v/>
      </c>
      <c r="Q76" s="75" t="str">
        <f t="shared" si="9"/>
        <v/>
      </c>
      <c r="R76" s="84"/>
      <c r="S76" s="84"/>
    </row>
    <row r="77" spans="1:19" x14ac:dyDescent="0.35">
      <c r="A77" s="75" t="str">
        <f t="shared" si="10"/>
        <v/>
      </c>
      <c r="B77" s="81"/>
      <c r="C77" s="75" t="str">
        <f t="shared" si="11"/>
        <v/>
      </c>
      <c r="D77" s="75" t="str">
        <f t="shared" si="12"/>
        <v/>
      </c>
      <c r="E77" s="14"/>
      <c r="F77" s="14"/>
      <c r="G77" s="14"/>
      <c r="H77" s="75" t="str">
        <f t="shared" si="13"/>
        <v/>
      </c>
      <c r="I77" s="77" t="str">
        <f>IF(G77="","",IFERROR(VLOOKUP(G77,'Plan Comptable'!$B$5:$C$278,2,FALSE),"Compte inconnu"))</f>
        <v/>
      </c>
      <c r="J77" s="83"/>
      <c r="K77" s="83"/>
      <c r="L77" s="14"/>
      <c r="M77" s="32" t="str">
        <f t="shared" si="8"/>
        <v/>
      </c>
      <c r="N77" s="77" t="str">
        <f t="shared" si="14"/>
        <v/>
      </c>
      <c r="O77" s="75" t="str">
        <f t="shared" si="15"/>
        <v/>
      </c>
      <c r="P77" s="79" t="str">
        <f>IF(B77="","",SUM($K$6:K77)-SUM($L$6:L77))</f>
        <v/>
      </c>
      <c r="Q77" s="75" t="str">
        <f t="shared" si="9"/>
        <v/>
      </c>
      <c r="R77" s="84"/>
      <c r="S77" s="84"/>
    </row>
    <row r="78" spans="1:19" x14ac:dyDescent="0.35">
      <c r="A78" s="75" t="str">
        <f t="shared" si="10"/>
        <v/>
      </c>
      <c r="B78" s="81"/>
      <c r="C78" s="75" t="str">
        <f t="shared" si="11"/>
        <v/>
      </c>
      <c r="D78" s="75" t="str">
        <f t="shared" si="12"/>
        <v/>
      </c>
      <c r="E78" s="14"/>
      <c r="F78" s="14"/>
      <c r="G78" s="14"/>
      <c r="H78" s="75" t="str">
        <f t="shared" si="13"/>
        <v/>
      </c>
      <c r="I78" s="77" t="str">
        <f>IF(G78="","",IFERROR(VLOOKUP(G78,'Plan Comptable'!$B$5:$C$278,2,FALSE),"Compte inconnu"))</f>
        <v/>
      </c>
      <c r="J78" s="83"/>
      <c r="K78" s="83"/>
      <c r="L78" s="14"/>
      <c r="M78" s="32" t="str">
        <f t="shared" si="8"/>
        <v/>
      </c>
      <c r="N78" s="77" t="str">
        <f t="shared" si="14"/>
        <v/>
      </c>
      <c r="O78" s="75" t="str">
        <f t="shared" si="15"/>
        <v/>
      </c>
      <c r="P78" s="79" t="str">
        <f>IF(B78="","",SUM($K$6:K78)-SUM($L$6:L78))</f>
        <v/>
      </c>
      <c r="Q78" s="75" t="str">
        <f t="shared" si="9"/>
        <v/>
      </c>
      <c r="R78" s="84"/>
      <c r="S78" s="84"/>
    </row>
    <row r="79" spans="1:19" x14ac:dyDescent="0.35">
      <c r="A79" s="75" t="str">
        <f t="shared" si="10"/>
        <v/>
      </c>
      <c r="B79" s="81"/>
      <c r="C79" s="75" t="str">
        <f t="shared" si="11"/>
        <v/>
      </c>
      <c r="D79" s="75" t="str">
        <f t="shared" si="12"/>
        <v/>
      </c>
      <c r="E79" s="14"/>
      <c r="F79" s="14"/>
      <c r="G79" s="14"/>
      <c r="H79" s="75" t="str">
        <f t="shared" si="13"/>
        <v/>
      </c>
      <c r="I79" s="77" t="str">
        <f>IF(G79="","",IFERROR(VLOOKUP(G79,'Plan Comptable'!$B$5:$C$278,2,FALSE),"Compte inconnu"))</f>
        <v/>
      </c>
      <c r="J79" s="83"/>
      <c r="K79" s="83"/>
      <c r="L79" s="14"/>
      <c r="M79" s="32" t="str">
        <f t="shared" si="8"/>
        <v/>
      </c>
      <c r="N79" s="77" t="str">
        <f t="shared" si="14"/>
        <v/>
      </c>
      <c r="O79" s="75" t="str">
        <f t="shared" si="15"/>
        <v/>
      </c>
      <c r="P79" s="79" t="str">
        <f>IF(B79="","",SUM($K$6:K79)-SUM($L$6:L79))</f>
        <v/>
      </c>
      <c r="Q79" s="75" t="str">
        <f t="shared" si="9"/>
        <v/>
      </c>
      <c r="R79" s="84"/>
      <c r="S79" s="84"/>
    </row>
    <row r="80" spans="1:19" x14ac:dyDescent="0.35">
      <c r="A80" s="75" t="str">
        <f t="shared" si="10"/>
        <v/>
      </c>
      <c r="B80" s="81"/>
      <c r="C80" s="75" t="str">
        <f t="shared" si="11"/>
        <v/>
      </c>
      <c r="D80" s="75" t="str">
        <f t="shared" si="12"/>
        <v/>
      </c>
      <c r="E80" s="14"/>
      <c r="F80" s="14"/>
      <c r="G80" s="14"/>
      <c r="H80" s="75" t="str">
        <f t="shared" si="13"/>
        <v/>
      </c>
      <c r="I80" s="77" t="str">
        <f>IF(G80="","",IFERROR(VLOOKUP(G80,'Plan Comptable'!$B$5:$C$278,2,FALSE),"Compte inconnu"))</f>
        <v/>
      </c>
      <c r="J80" s="83"/>
      <c r="K80" s="83"/>
      <c r="L80" s="14"/>
      <c r="M80" s="32" t="str">
        <f t="shared" si="8"/>
        <v/>
      </c>
      <c r="N80" s="77" t="str">
        <f t="shared" si="14"/>
        <v/>
      </c>
      <c r="O80" s="75" t="str">
        <f t="shared" si="15"/>
        <v/>
      </c>
      <c r="P80" s="79" t="str">
        <f>IF(B80="","",SUM($K$6:K80)-SUM($L$6:L80))</f>
        <v/>
      </c>
      <c r="Q80" s="75" t="str">
        <f t="shared" si="9"/>
        <v/>
      </c>
      <c r="R80" s="84"/>
      <c r="S80" s="84"/>
    </row>
    <row r="81" spans="1:19" x14ac:dyDescent="0.35">
      <c r="A81" s="75" t="str">
        <f t="shared" si="10"/>
        <v/>
      </c>
      <c r="B81" s="81"/>
      <c r="C81" s="75" t="str">
        <f t="shared" si="11"/>
        <v/>
      </c>
      <c r="D81" s="75" t="str">
        <f t="shared" si="12"/>
        <v/>
      </c>
      <c r="E81" s="14"/>
      <c r="F81" s="14"/>
      <c r="G81" s="14"/>
      <c r="H81" s="75" t="str">
        <f t="shared" si="13"/>
        <v/>
      </c>
      <c r="I81" s="77" t="str">
        <f>IF(G81="","",IFERROR(VLOOKUP(G81,'Plan Comptable'!$B$5:$C$278,2,FALSE),"Compte inconnu"))</f>
        <v/>
      </c>
      <c r="J81" s="83"/>
      <c r="K81" s="83"/>
      <c r="L81" s="14"/>
      <c r="M81" s="32" t="str">
        <f t="shared" si="8"/>
        <v/>
      </c>
      <c r="N81" s="77" t="str">
        <f t="shared" si="14"/>
        <v/>
      </c>
      <c r="O81" s="75" t="str">
        <f t="shared" si="15"/>
        <v/>
      </c>
      <c r="P81" s="79" t="str">
        <f>IF(B81="","",SUM($K$6:K81)-SUM($L$6:L81))</f>
        <v/>
      </c>
      <c r="Q81" s="75" t="str">
        <f t="shared" si="9"/>
        <v/>
      </c>
      <c r="R81" s="84"/>
      <c r="S81" s="84"/>
    </row>
    <row r="82" spans="1:19" x14ac:dyDescent="0.35">
      <c r="A82" s="75" t="str">
        <f t="shared" si="10"/>
        <v/>
      </c>
      <c r="B82" s="81"/>
      <c r="C82" s="75" t="str">
        <f t="shared" si="11"/>
        <v/>
      </c>
      <c r="D82" s="75" t="str">
        <f t="shared" si="12"/>
        <v/>
      </c>
      <c r="E82" s="14"/>
      <c r="F82" s="14"/>
      <c r="G82" s="14"/>
      <c r="H82" s="75" t="str">
        <f t="shared" si="13"/>
        <v/>
      </c>
      <c r="I82" s="77" t="str">
        <f>IF(G82="","",IFERROR(VLOOKUP(G82,'Plan Comptable'!$B$5:$C$278,2,FALSE),"Compte inconnu"))</f>
        <v/>
      </c>
      <c r="J82" s="83"/>
      <c r="K82" s="83"/>
      <c r="L82" s="14"/>
      <c r="M82" s="32" t="str">
        <f t="shared" si="8"/>
        <v/>
      </c>
      <c r="N82" s="77" t="str">
        <f t="shared" si="14"/>
        <v/>
      </c>
      <c r="O82" s="75" t="str">
        <f t="shared" si="15"/>
        <v/>
      </c>
      <c r="P82" s="79" t="str">
        <f>IF(B82="","",SUM($K$6:K82)-SUM($L$6:L82))</f>
        <v/>
      </c>
      <c r="Q82" s="75" t="str">
        <f t="shared" si="9"/>
        <v/>
      </c>
      <c r="R82" s="84"/>
      <c r="S82" s="84"/>
    </row>
    <row r="83" spans="1:19" x14ac:dyDescent="0.35">
      <c r="A83" s="75" t="str">
        <f t="shared" si="10"/>
        <v/>
      </c>
      <c r="B83" s="81"/>
      <c r="C83" s="75" t="str">
        <f t="shared" si="11"/>
        <v/>
      </c>
      <c r="D83" s="75" t="str">
        <f t="shared" si="12"/>
        <v/>
      </c>
      <c r="E83" s="14"/>
      <c r="F83" s="14"/>
      <c r="G83" s="14"/>
      <c r="H83" s="75" t="str">
        <f t="shared" si="13"/>
        <v/>
      </c>
      <c r="I83" s="77" t="str">
        <f>IF(G83="","",IFERROR(VLOOKUP(G83,'Plan Comptable'!$B$5:$C$278,2,FALSE),"Compte inconnu"))</f>
        <v/>
      </c>
      <c r="J83" s="83"/>
      <c r="K83" s="83"/>
      <c r="L83" s="14"/>
      <c r="M83" s="32" t="str">
        <f t="shared" si="8"/>
        <v/>
      </c>
      <c r="N83" s="77" t="str">
        <f t="shared" si="14"/>
        <v/>
      </c>
      <c r="O83" s="75" t="str">
        <f t="shared" si="15"/>
        <v/>
      </c>
      <c r="P83" s="79" t="str">
        <f>IF(B83="","",SUM($K$6:K83)-SUM($L$6:L83))</f>
        <v/>
      </c>
      <c r="Q83" s="75" t="str">
        <f t="shared" si="9"/>
        <v/>
      </c>
      <c r="R83" s="84"/>
      <c r="S83" s="84"/>
    </row>
    <row r="84" spans="1:19" x14ac:dyDescent="0.35">
      <c r="A84" s="75" t="str">
        <f t="shared" si="10"/>
        <v/>
      </c>
      <c r="B84" s="81"/>
      <c r="C84" s="75" t="str">
        <f t="shared" si="11"/>
        <v/>
      </c>
      <c r="D84" s="75" t="str">
        <f t="shared" si="12"/>
        <v/>
      </c>
      <c r="E84" s="14"/>
      <c r="F84" s="14"/>
      <c r="G84" s="14"/>
      <c r="H84" s="75" t="str">
        <f t="shared" si="13"/>
        <v/>
      </c>
      <c r="I84" s="77" t="str">
        <f>IF(G84="","",IFERROR(VLOOKUP(G84,'Plan Comptable'!$B$5:$C$278,2,FALSE),"Compte inconnu"))</f>
        <v/>
      </c>
      <c r="J84" s="83"/>
      <c r="K84" s="83"/>
      <c r="L84" s="14"/>
      <c r="M84" s="32" t="str">
        <f t="shared" si="8"/>
        <v/>
      </c>
      <c r="N84" s="77" t="str">
        <f t="shared" si="14"/>
        <v/>
      </c>
      <c r="O84" s="75" t="str">
        <f t="shared" si="15"/>
        <v/>
      </c>
      <c r="P84" s="79" t="str">
        <f>IF(B84="","",SUM($K$6:K84)-SUM($L$6:L84))</f>
        <v/>
      </c>
      <c r="Q84" s="75" t="str">
        <f t="shared" si="9"/>
        <v/>
      </c>
      <c r="R84" s="84"/>
      <c r="S84" s="84"/>
    </row>
    <row r="85" spans="1:19" x14ac:dyDescent="0.35">
      <c r="A85" s="75" t="str">
        <f t="shared" si="10"/>
        <v/>
      </c>
      <c r="B85" s="81"/>
      <c r="C85" s="75" t="str">
        <f t="shared" si="11"/>
        <v/>
      </c>
      <c r="D85" s="75" t="str">
        <f t="shared" si="12"/>
        <v/>
      </c>
      <c r="E85" s="14"/>
      <c r="F85" s="14"/>
      <c r="G85" s="14"/>
      <c r="H85" s="75" t="str">
        <f t="shared" si="13"/>
        <v/>
      </c>
      <c r="I85" s="77" t="str">
        <f>IF(G85="","",IFERROR(VLOOKUP(G85,'Plan Comptable'!$B$5:$C$278,2,FALSE),"Compte inconnu"))</f>
        <v/>
      </c>
      <c r="J85" s="83"/>
      <c r="K85" s="83"/>
      <c r="L85" s="14"/>
      <c r="M85" s="32" t="str">
        <f t="shared" si="8"/>
        <v/>
      </c>
      <c r="N85" s="77" t="str">
        <f t="shared" si="14"/>
        <v/>
      </c>
      <c r="O85" s="75" t="str">
        <f t="shared" si="15"/>
        <v/>
      </c>
      <c r="P85" s="79" t="str">
        <f>IF(B85="","",SUM($K$6:K85)-SUM($L$6:L85))</f>
        <v/>
      </c>
      <c r="Q85" s="75" t="str">
        <f t="shared" si="9"/>
        <v/>
      </c>
      <c r="R85" s="84"/>
      <c r="S85" s="84"/>
    </row>
    <row r="86" spans="1:19" x14ac:dyDescent="0.35">
      <c r="A86" s="75" t="str">
        <f t="shared" si="10"/>
        <v/>
      </c>
      <c r="B86" s="81"/>
      <c r="C86" s="75" t="str">
        <f t="shared" si="11"/>
        <v/>
      </c>
      <c r="D86" s="75" t="str">
        <f t="shared" si="12"/>
        <v/>
      </c>
      <c r="E86" s="14"/>
      <c r="F86" s="14"/>
      <c r="G86" s="14"/>
      <c r="H86" s="75" t="str">
        <f t="shared" si="13"/>
        <v/>
      </c>
      <c r="I86" s="77" t="str">
        <f>IF(G86="","",IFERROR(VLOOKUP(G86,'Plan Comptable'!$B$5:$C$278,2,FALSE),"Compte inconnu"))</f>
        <v/>
      </c>
      <c r="J86" s="83"/>
      <c r="K86" s="83"/>
      <c r="L86" s="14"/>
      <c r="M86" s="32" t="str">
        <f t="shared" si="8"/>
        <v/>
      </c>
      <c r="N86" s="77" t="str">
        <f t="shared" si="14"/>
        <v/>
      </c>
      <c r="O86" s="75" t="str">
        <f t="shared" si="15"/>
        <v/>
      </c>
      <c r="P86" s="79" t="str">
        <f>IF(B86="","",SUM($K$6:K86)-SUM($L$6:L86))</f>
        <v/>
      </c>
      <c r="Q86" s="75" t="str">
        <f t="shared" si="9"/>
        <v/>
      </c>
      <c r="R86" s="84"/>
      <c r="S86" s="84"/>
    </row>
    <row r="87" spans="1:19" x14ac:dyDescent="0.35">
      <c r="A87" s="75" t="str">
        <f t="shared" si="10"/>
        <v/>
      </c>
      <c r="B87" s="81"/>
      <c r="C87" s="75" t="str">
        <f t="shared" si="11"/>
        <v/>
      </c>
      <c r="D87" s="75" t="str">
        <f t="shared" si="12"/>
        <v/>
      </c>
      <c r="E87" s="14"/>
      <c r="F87" s="14"/>
      <c r="G87" s="14"/>
      <c r="H87" s="75" t="str">
        <f t="shared" si="13"/>
        <v/>
      </c>
      <c r="I87" s="77" t="str">
        <f>IF(G87="","",IFERROR(VLOOKUP(G87,'Plan Comptable'!$B$5:$C$278,2,FALSE),"Compte inconnu"))</f>
        <v/>
      </c>
      <c r="J87" s="83"/>
      <c r="K87" s="83"/>
      <c r="L87" s="14"/>
      <c r="M87" s="32" t="str">
        <f t="shared" si="8"/>
        <v/>
      </c>
      <c r="N87" s="77" t="str">
        <f t="shared" si="14"/>
        <v/>
      </c>
      <c r="O87" s="75" t="str">
        <f t="shared" si="15"/>
        <v/>
      </c>
      <c r="P87" s="79" t="str">
        <f>IF(B87="","",SUM($K$6:K87)-SUM($L$6:L87))</f>
        <v/>
      </c>
      <c r="Q87" s="75" t="str">
        <f t="shared" si="9"/>
        <v/>
      </c>
      <c r="R87" s="84"/>
      <c r="S87" s="84"/>
    </row>
    <row r="88" spans="1:19" x14ac:dyDescent="0.35">
      <c r="A88" s="75" t="str">
        <f t="shared" si="10"/>
        <v/>
      </c>
      <c r="B88" s="81"/>
      <c r="C88" s="75" t="str">
        <f t="shared" si="11"/>
        <v/>
      </c>
      <c r="D88" s="75" t="str">
        <f t="shared" si="12"/>
        <v/>
      </c>
      <c r="E88" s="14"/>
      <c r="F88" s="14"/>
      <c r="G88" s="14"/>
      <c r="H88" s="75" t="str">
        <f t="shared" si="13"/>
        <v/>
      </c>
      <c r="I88" s="77" t="str">
        <f>IF(G88="","",IFERROR(VLOOKUP(G88,'Plan Comptable'!$B$5:$C$278,2,FALSE),"Compte inconnu"))</f>
        <v/>
      </c>
      <c r="J88" s="83"/>
      <c r="K88" s="83"/>
      <c r="L88" s="14"/>
      <c r="M88" s="32" t="str">
        <f t="shared" si="8"/>
        <v/>
      </c>
      <c r="N88" s="77" t="str">
        <f t="shared" si="14"/>
        <v/>
      </c>
      <c r="O88" s="75" t="str">
        <f t="shared" si="15"/>
        <v/>
      </c>
      <c r="P88" s="79" t="str">
        <f>IF(B88="","",SUM($K$6:K88)-SUM($L$6:L88))</f>
        <v/>
      </c>
      <c r="Q88" s="75" t="str">
        <f t="shared" si="9"/>
        <v/>
      </c>
      <c r="R88" s="84"/>
      <c r="S88" s="84"/>
    </row>
    <row r="89" spans="1:19" x14ac:dyDescent="0.35">
      <c r="A89" s="75" t="str">
        <f t="shared" si="10"/>
        <v/>
      </c>
      <c r="B89" s="81"/>
      <c r="C89" s="75" t="str">
        <f t="shared" si="11"/>
        <v/>
      </c>
      <c r="D89" s="75" t="str">
        <f t="shared" si="12"/>
        <v/>
      </c>
      <c r="E89" s="14"/>
      <c r="F89" s="14"/>
      <c r="G89" s="14"/>
      <c r="H89" s="75" t="str">
        <f t="shared" si="13"/>
        <v/>
      </c>
      <c r="I89" s="77" t="str">
        <f>IF(G89="","",IFERROR(VLOOKUP(G89,'Plan Comptable'!$B$5:$C$278,2,FALSE),"Compte inconnu"))</f>
        <v/>
      </c>
      <c r="J89" s="83"/>
      <c r="K89" s="83"/>
      <c r="L89" s="14"/>
      <c r="M89" s="32" t="str">
        <f t="shared" si="8"/>
        <v/>
      </c>
      <c r="N89" s="77" t="str">
        <f t="shared" si="14"/>
        <v/>
      </c>
      <c r="O89" s="75" t="str">
        <f t="shared" si="15"/>
        <v/>
      </c>
      <c r="P89" s="79" t="str">
        <f>IF(B89="","",SUM($K$6:K89)-SUM($L$6:L89))</f>
        <v/>
      </c>
      <c r="Q89" s="75" t="str">
        <f t="shared" si="9"/>
        <v/>
      </c>
      <c r="R89" s="84"/>
      <c r="S89" s="84"/>
    </row>
    <row r="90" spans="1:19" x14ac:dyDescent="0.35">
      <c r="A90" s="75" t="str">
        <f t="shared" si="10"/>
        <v/>
      </c>
      <c r="B90" s="81"/>
      <c r="C90" s="75" t="str">
        <f t="shared" si="11"/>
        <v/>
      </c>
      <c r="D90" s="75" t="str">
        <f t="shared" si="12"/>
        <v/>
      </c>
      <c r="E90" s="14"/>
      <c r="F90" s="14"/>
      <c r="G90" s="14"/>
      <c r="H90" s="75" t="str">
        <f t="shared" si="13"/>
        <v/>
      </c>
      <c r="I90" s="77" t="str">
        <f>IF(G90="","",IFERROR(VLOOKUP(G90,'Plan Comptable'!$B$5:$C$278,2,FALSE),"Compte inconnu"))</f>
        <v/>
      </c>
      <c r="J90" s="83"/>
      <c r="K90" s="83"/>
      <c r="L90" s="14"/>
      <c r="M90" s="32" t="str">
        <f t="shared" si="8"/>
        <v/>
      </c>
      <c r="N90" s="77" t="str">
        <f t="shared" si="14"/>
        <v/>
      </c>
      <c r="O90" s="75" t="str">
        <f t="shared" si="15"/>
        <v/>
      </c>
      <c r="P90" s="79" t="str">
        <f>IF(B90="","",SUM($K$6:K90)-SUM($L$6:L90))</f>
        <v/>
      </c>
      <c r="Q90" s="75" t="str">
        <f t="shared" si="9"/>
        <v/>
      </c>
      <c r="R90" s="84"/>
      <c r="S90" s="84"/>
    </row>
    <row r="91" spans="1:19" x14ac:dyDescent="0.35">
      <c r="A91" s="75" t="str">
        <f t="shared" si="10"/>
        <v/>
      </c>
      <c r="B91" s="81"/>
      <c r="C91" s="75" t="str">
        <f t="shared" si="11"/>
        <v/>
      </c>
      <c r="D91" s="75" t="str">
        <f t="shared" si="12"/>
        <v/>
      </c>
      <c r="E91" s="14"/>
      <c r="F91" s="14"/>
      <c r="G91" s="14"/>
      <c r="H91" s="75" t="str">
        <f t="shared" si="13"/>
        <v/>
      </c>
      <c r="I91" s="77" t="str">
        <f>IF(G91="","",IFERROR(VLOOKUP(G91,'Plan Comptable'!$B$5:$C$278,2,FALSE),"Compte inconnu"))</f>
        <v/>
      </c>
      <c r="J91" s="83"/>
      <c r="K91" s="83"/>
      <c r="L91" s="14"/>
      <c r="M91" s="32" t="str">
        <f t="shared" si="8"/>
        <v/>
      </c>
      <c r="N91" s="77" t="str">
        <f t="shared" si="14"/>
        <v/>
      </c>
      <c r="O91" s="75" t="str">
        <f t="shared" si="15"/>
        <v/>
      </c>
      <c r="P91" s="79" t="str">
        <f>IF(B91="","",SUM($K$6:K91)-SUM($L$6:L91))</f>
        <v/>
      </c>
      <c r="Q91" s="75" t="str">
        <f t="shared" si="9"/>
        <v/>
      </c>
      <c r="R91" s="84"/>
      <c r="S91" s="84"/>
    </row>
    <row r="92" spans="1:19" x14ac:dyDescent="0.35">
      <c r="A92" s="75" t="str">
        <f t="shared" si="10"/>
        <v/>
      </c>
      <c r="B92" s="81"/>
      <c r="C92" s="75" t="str">
        <f t="shared" si="11"/>
        <v/>
      </c>
      <c r="D92" s="75" t="str">
        <f t="shared" si="12"/>
        <v/>
      </c>
      <c r="E92" s="14"/>
      <c r="F92" s="14"/>
      <c r="G92" s="14"/>
      <c r="H92" s="75" t="str">
        <f t="shared" si="13"/>
        <v/>
      </c>
      <c r="I92" s="77" t="str">
        <f>IF(G92="","",IFERROR(VLOOKUP(G92,'Plan Comptable'!$B$5:$C$278,2,FALSE),"Compte inconnu"))</f>
        <v/>
      </c>
      <c r="J92" s="83"/>
      <c r="K92" s="83"/>
      <c r="L92" s="14"/>
      <c r="M92" s="32" t="str">
        <f t="shared" si="8"/>
        <v/>
      </c>
      <c r="N92" s="77" t="str">
        <f t="shared" si="14"/>
        <v/>
      </c>
      <c r="O92" s="75" t="str">
        <f t="shared" si="15"/>
        <v/>
      </c>
      <c r="P92" s="79" t="str">
        <f>IF(B92="","",SUM($K$6:K92)-SUM($L$6:L92))</f>
        <v/>
      </c>
      <c r="Q92" s="75" t="str">
        <f t="shared" si="9"/>
        <v/>
      </c>
      <c r="R92" s="84"/>
      <c r="S92" s="84"/>
    </row>
    <row r="93" spans="1:19" x14ac:dyDescent="0.35">
      <c r="A93" s="75" t="str">
        <f t="shared" si="10"/>
        <v/>
      </c>
      <c r="B93" s="81"/>
      <c r="C93" s="75" t="str">
        <f t="shared" si="11"/>
        <v/>
      </c>
      <c r="D93" s="75" t="str">
        <f t="shared" si="12"/>
        <v/>
      </c>
      <c r="E93" s="14"/>
      <c r="F93" s="14"/>
      <c r="G93" s="14"/>
      <c r="H93" s="75" t="str">
        <f t="shared" si="13"/>
        <v/>
      </c>
      <c r="I93" s="77" t="str">
        <f>IF(G93="","",IFERROR(VLOOKUP(G93,'Plan Comptable'!$B$5:$C$278,2,FALSE),"Compte inconnu"))</f>
        <v/>
      </c>
      <c r="J93" s="83"/>
      <c r="K93" s="83"/>
      <c r="L93" s="14"/>
      <c r="M93" s="32" t="str">
        <f t="shared" si="8"/>
        <v/>
      </c>
      <c r="N93" s="77" t="str">
        <f t="shared" si="14"/>
        <v/>
      </c>
      <c r="O93" s="75" t="str">
        <f t="shared" si="15"/>
        <v/>
      </c>
      <c r="P93" s="79" t="str">
        <f>IF(B93="","",SUM($K$6:K93)-SUM($L$6:L93))</f>
        <v/>
      </c>
      <c r="Q93" s="75" t="str">
        <f t="shared" si="9"/>
        <v/>
      </c>
      <c r="R93" s="84"/>
      <c r="S93" s="84"/>
    </row>
    <row r="94" spans="1:19" x14ac:dyDescent="0.35">
      <c r="A94" s="75" t="str">
        <f t="shared" si="10"/>
        <v/>
      </c>
      <c r="B94" s="81"/>
      <c r="C94" s="75" t="str">
        <f t="shared" si="11"/>
        <v/>
      </c>
      <c r="D94" s="75" t="str">
        <f t="shared" si="12"/>
        <v/>
      </c>
      <c r="E94" s="14"/>
      <c r="F94" s="14"/>
      <c r="G94" s="14"/>
      <c r="H94" s="75" t="str">
        <f t="shared" si="13"/>
        <v/>
      </c>
      <c r="I94" s="77" t="str">
        <f>IF(G94="","",IFERROR(VLOOKUP(G94,'Plan Comptable'!$B$5:$C$278,2,FALSE),"Compte inconnu"))</f>
        <v/>
      </c>
      <c r="J94" s="83"/>
      <c r="K94" s="83"/>
      <c r="L94" s="14"/>
      <c r="M94" s="32" t="str">
        <f t="shared" si="8"/>
        <v/>
      </c>
      <c r="N94" s="77" t="str">
        <f t="shared" si="14"/>
        <v/>
      </c>
      <c r="O94" s="75" t="str">
        <f t="shared" si="15"/>
        <v/>
      </c>
      <c r="P94" s="79" t="str">
        <f>IF(B94="","",SUM($K$6:K94)-SUM($L$6:L94))</f>
        <v/>
      </c>
      <c r="Q94" s="75" t="str">
        <f t="shared" si="9"/>
        <v/>
      </c>
      <c r="R94" s="84"/>
      <c r="S94" s="84"/>
    </row>
    <row r="95" spans="1:19" x14ac:dyDescent="0.35">
      <c r="A95" s="75" t="str">
        <f t="shared" si="10"/>
        <v/>
      </c>
      <c r="B95" s="81"/>
      <c r="C95" s="75" t="str">
        <f t="shared" si="11"/>
        <v/>
      </c>
      <c r="D95" s="75" t="str">
        <f t="shared" si="12"/>
        <v/>
      </c>
      <c r="E95" s="14"/>
      <c r="F95" s="14"/>
      <c r="G95" s="14"/>
      <c r="H95" s="75" t="str">
        <f t="shared" si="13"/>
        <v/>
      </c>
      <c r="I95" s="77" t="str">
        <f>IF(G95="","",IFERROR(VLOOKUP(G95,'Plan Comptable'!$B$5:$C$278,2,FALSE),"Compte inconnu"))</f>
        <v/>
      </c>
      <c r="J95" s="83"/>
      <c r="K95" s="83"/>
      <c r="L95" s="14"/>
      <c r="M95" s="32" t="str">
        <f t="shared" si="8"/>
        <v/>
      </c>
      <c r="N95" s="77" t="str">
        <f t="shared" si="14"/>
        <v/>
      </c>
      <c r="O95" s="75" t="str">
        <f t="shared" si="15"/>
        <v/>
      </c>
      <c r="P95" s="79" t="str">
        <f>IF(B95="","",SUM($K$6:K95)-SUM($L$6:L95))</f>
        <v/>
      </c>
      <c r="Q95" s="75" t="str">
        <f t="shared" si="9"/>
        <v/>
      </c>
      <c r="R95" s="84"/>
      <c r="S95" s="84"/>
    </row>
    <row r="96" spans="1:19" x14ac:dyDescent="0.35">
      <c r="A96" s="75" t="str">
        <f t="shared" si="10"/>
        <v/>
      </c>
      <c r="B96" s="81"/>
      <c r="C96" s="75" t="str">
        <f t="shared" si="11"/>
        <v/>
      </c>
      <c r="D96" s="75" t="str">
        <f t="shared" si="12"/>
        <v/>
      </c>
      <c r="E96" s="14"/>
      <c r="F96" s="14"/>
      <c r="G96" s="14"/>
      <c r="H96" s="75" t="str">
        <f t="shared" si="13"/>
        <v/>
      </c>
      <c r="I96" s="77" t="str">
        <f>IF(G96="","",IFERROR(VLOOKUP(G96,'Plan Comptable'!$B$5:$C$278,2,FALSE),"Compte inconnu"))</f>
        <v/>
      </c>
      <c r="J96" s="83"/>
      <c r="K96" s="83"/>
      <c r="L96" s="14"/>
      <c r="M96" s="32" t="str">
        <f t="shared" si="8"/>
        <v/>
      </c>
      <c r="N96" s="77" t="str">
        <f t="shared" si="14"/>
        <v/>
      </c>
      <c r="O96" s="75" t="str">
        <f t="shared" si="15"/>
        <v/>
      </c>
      <c r="P96" s="79" t="str">
        <f>IF(B96="","",SUM($K$6:K96)-SUM($L$6:L96))</f>
        <v/>
      </c>
      <c r="Q96" s="75" t="str">
        <f t="shared" si="9"/>
        <v/>
      </c>
      <c r="R96" s="84"/>
      <c r="S96" s="84"/>
    </row>
    <row r="97" spans="1:19" x14ac:dyDescent="0.35">
      <c r="A97" s="75" t="str">
        <f t="shared" si="10"/>
        <v/>
      </c>
      <c r="B97" s="81"/>
      <c r="C97" s="75" t="str">
        <f t="shared" si="11"/>
        <v/>
      </c>
      <c r="D97" s="75" t="str">
        <f t="shared" si="12"/>
        <v/>
      </c>
      <c r="E97" s="14"/>
      <c r="F97" s="14"/>
      <c r="G97" s="14"/>
      <c r="H97" s="75" t="str">
        <f t="shared" si="13"/>
        <v/>
      </c>
      <c r="I97" s="77" t="str">
        <f>IF(G97="","",IFERROR(VLOOKUP(G97,'Plan Comptable'!$B$5:$C$278,2,FALSE),"Compte inconnu"))</f>
        <v/>
      </c>
      <c r="J97" s="83"/>
      <c r="K97" s="83"/>
      <c r="L97" s="14"/>
      <c r="M97" s="32" t="str">
        <f t="shared" si="8"/>
        <v/>
      </c>
      <c r="N97" s="77" t="str">
        <f t="shared" si="14"/>
        <v/>
      </c>
      <c r="O97" s="75" t="str">
        <f t="shared" si="15"/>
        <v/>
      </c>
      <c r="P97" s="79" t="str">
        <f>IF(B97="","",SUM($K$6:K97)-SUM($L$6:L97))</f>
        <v/>
      </c>
      <c r="Q97" s="75" t="str">
        <f t="shared" si="9"/>
        <v/>
      </c>
      <c r="R97" s="84"/>
      <c r="S97" s="84"/>
    </row>
    <row r="98" spans="1:19" x14ac:dyDescent="0.35">
      <c r="A98" s="75" t="str">
        <f t="shared" si="10"/>
        <v/>
      </c>
      <c r="B98" s="81"/>
      <c r="C98" s="75" t="str">
        <f t="shared" si="11"/>
        <v/>
      </c>
      <c r="D98" s="75" t="str">
        <f t="shared" si="12"/>
        <v/>
      </c>
      <c r="E98" s="14"/>
      <c r="F98" s="14"/>
      <c r="G98" s="14"/>
      <c r="H98" s="75" t="str">
        <f t="shared" si="13"/>
        <v/>
      </c>
      <c r="I98" s="77" t="str">
        <f>IF(G98="","",IFERROR(VLOOKUP(G98,'Plan Comptable'!$B$5:$C$278,2,FALSE),"Compte inconnu"))</f>
        <v/>
      </c>
      <c r="J98" s="83"/>
      <c r="K98" s="83"/>
      <c r="L98" s="14"/>
      <c r="M98" s="32" t="str">
        <f t="shared" si="8"/>
        <v/>
      </c>
      <c r="N98" s="77" t="str">
        <f t="shared" si="14"/>
        <v/>
      </c>
      <c r="O98" s="75" t="str">
        <f t="shared" si="15"/>
        <v/>
      </c>
      <c r="P98" s="79" t="str">
        <f>IF(B98="","",SUM($K$6:K98)-SUM($L$6:L98))</f>
        <v/>
      </c>
      <c r="Q98" s="75" t="str">
        <f t="shared" si="9"/>
        <v/>
      </c>
      <c r="R98" s="84"/>
      <c r="S98" s="84"/>
    </row>
    <row r="99" spans="1:19" x14ac:dyDescent="0.35">
      <c r="A99" s="75" t="str">
        <f t="shared" si="10"/>
        <v/>
      </c>
      <c r="B99" s="81"/>
      <c r="C99" s="75" t="str">
        <f t="shared" si="11"/>
        <v/>
      </c>
      <c r="D99" s="75" t="str">
        <f t="shared" si="12"/>
        <v/>
      </c>
      <c r="E99" s="14"/>
      <c r="F99" s="14"/>
      <c r="G99" s="14"/>
      <c r="H99" s="75" t="str">
        <f t="shared" si="13"/>
        <v/>
      </c>
      <c r="I99" s="77" t="str">
        <f>IF(G99="","",IFERROR(VLOOKUP(G99,'Plan Comptable'!$B$5:$C$278,2,FALSE),"Compte inconnu"))</f>
        <v/>
      </c>
      <c r="J99" s="83"/>
      <c r="K99" s="83"/>
      <c r="L99" s="14"/>
      <c r="M99" s="32" t="str">
        <f t="shared" si="8"/>
        <v/>
      </c>
      <c r="N99" s="77" t="str">
        <f t="shared" si="14"/>
        <v/>
      </c>
      <c r="O99" s="75" t="str">
        <f t="shared" si="15"/>
        <v/>
      </c>
      <c r="P99" s="79" t="str">
        <f>IF(B99="","",SUM($K$6:K99)-SUM($L$6:L99))</f>
        <v/>
      </c>
      <c r="Q99" s="75" t="str">
        <f t="shared" si="9"/>
        <v/>
      </c>
      <c r="R99" s="84"/>
      <c r="S99" s="84"/>
    </row>
    <row r="100" spans="1:19" x14ac:dyDescent="0.35">
      <c r="A100" s="75" t="str">
        <f t="shared" si="10"/>
        <v/>
      </c>
      <c r="B100" s="81"/>
      <c r="C100" s="75" t="str">
        <f t="shared" si="11"/>
        <v/>
      </c>
      <c r="D100" s="75" t="str">
        <f t="shared" si="12"/>
        <v/>
      </c>
      <c r="E100" s="14"/>
      <c r="F100" s="14"/>
      <c r="G100" s="14"/>
      <c r="H100" s="75" t="str">
        <f t="shared" si="13"/>
        <v/>
      </c>
      <c r="I100" s="77" t="str">
        <f>IF(G100="","",IFERROR(VLOOKUP(G100,'Plan Comptable'!$B$5:$C$278,2,FALSE),"Compte inconnu"))</f>
        <v/>
      </c>
      <c r="J100" s="83"/>
      <c r="K100" s="83"/>
      <c r="L100" s="14"/>
      <c r="M100" s="32" t="str">
        <f t="shared" si="8"/>
        <v/>
      </c>
      <c r="N100" s="77" t="str">
        <f t="shared" si="14"/>
        <v/>
      </c>
      <c r="O100" s="75" t="str">
        <f t="shared" si="15"/>
        <v/>
      </c>
      <c r="P100" s="79" t="str">
        <f>IF(B100="","",SUM($K$6:K100)-SUM($L$6:L100))</f>
        <v/>
      </c>
      <c r="Q100" s="75" t="str">
        <f t="shared" si="9"/>
        <v/>
      </c>
      <c r="R100" s="84"/>
      <c r="S100" s="84"/>
    </row>
    <row r="101" spans="1:19" x14ac:dyDescent="0.35">
      <c r="A101" s="75" t="str">
        <f t="shared" si="10"/>
        <v/>
      </c>
      <c r="B101" s="81"/>
      <c r="C101" s="75" t="str">
        <f t="shared" si="11"/>
        <v/>
      </c>
      <c r="D101" s="75" t="str">
        <f t="shared" si="12"/>
        <v/>
      </c>
      <c r="E101" s="14"/>
      <c r="F101" s="14"/>
      <c r="G101" s="14"/>
      <c r="H101" s="75" t="str">
        <f t="shared" si="13"/>
        <v/>
      </c>
      <c r="I101" s="77" t="str">
        <f>IF(G101="","",IFERROR(VLOOKUP(G101,'Plan Comptable'!$B$5:$C$278,2,FALSE),"Compte inconnu"))</f>
        <v/>
      </c>
      <c r="J101" s="83"/>
      <c r="K101" s="83"/>
      <c r="L101" s="14"/>
      <c r="M101" s="32" t="str">
        <f t="shared" si="8"/>
        <v/>
      </c>
      <c r="N101" s="77" t="str">
        <f t="shared" si="14"/>
        <v/>
      </c>
      <c r="O101" s="75" t="str">
        <f t="shared" si="15"/>
        <v/>
      </c>
      <c r="P101" s="79" t="str">
        <f>IF(B101="","",SUM($K$6:K101)-SUM($L$6:L101))</f>
        <v/>
      </c>
      <c r="Q101" s="75" t="str">
        <f t="shared" si="9"/>
        <v/>
      </c>
      <c r="R101" s="84"/>
      <c r="S101" s="84"/>
    </row>
    <row r="102" spans="1:19" x14ac:dyDescent="0.35">
      <c r="A102" s="75" t="str">
        <f t="shared" si="10"/>
        <v/>
      </c>
      <c r="B102" s="81"/>
      <c r="C102" s="75" t="str">
        <f t="shared" si="11"/>
        <v/>
      </c>
      <c r="D102" s="75" t="str">
        <f t="shared" si="12"/>
        <v/>
      </c>
      <c r="E102" s="14"/>
      <c r="F102" s="14"/>
      <c r="G102" s="14"/>
      <c r="H102" s="75" t="str">
        <f t="shared" si="13"/>
        <v/>
      </c>
      <c r="I102" s="77" t="str">
        <f>IF(G102="","",IFERROR(VLOOKUP(G102,'Plan Comptable'!$B$5:$C$278,2,FALSE),"Compte inconnu"))</f>
        <v/>
      </c>
      <c r="J102" s="83"/>
      <c r="K102" s="83"/>
      <c r="L102" s="14"/>
      <c r="M102" s="32" t="str">
        <f t="shared" si="8"/>
        <v/>
      </c>
      <c r="N102" s="77" t="str">
        <f t="shared" si="14"/>
        <v/>
      </c>
      <c r="O102" s="75" t="str">
        <f t="shared" si="15"/>
        <v/>
      </c>
      <c r="P102" s="79" t="str">
        <f>IF(B102="","",SUM($K$6:K102)-SUM($L$6:L102))</f>
        <v/>
      </c>
      <c r="Q102" s="75" t="str">
        <f t="shared" si="9"/>
        <v/>
      </c>
      <c r="R102" s="84"/>
      <c r="S102" s="84"/>
    </row>
    <row r="103" spans="1:19" x14ac:dyDescent="0.35">
      <c r="A103" s="75" t="str">
        <f t="shared" si="10"/>
        <v/>
      </c>
      <c r="B103" s="81"/>
      <c r="C103" s="75" t="str">
        <f t="shared" si="11"/>
        <v/>
      </c>
      <c r="D103" s="75" t="str">
        <f t="shared" si="12"/>
        <v/>
      </c>
      <c r="E103" s="14"/>
      <c r="F103" s="14"/>
      <c r="G103" s="14"/>
      <c r="H103" s="75" t="str">
        <f t="shared" si="13"/>
        <v/>
      </c>
      <c r="I103" s="77" t="str">
        <f>IF(G103="","",IFERROR(VLOOKUP(G103,'Plan Comptable'!$B$5:$C$278,2,FALSE),"Compte inconnu"))</f>
        <v/>
      </c>
      <c r="J103" s="83"/>
      <c r="K103" s="83"/>
      <c r="L103" s="14"/>
      <c r="M103" s="32" t="str">
        <f t="shared" si="8"/>
        <v/>
      </c>
      <c r="N103" s="77" t="str">
        <f t="shared" si="14"/>
        <v/>
      </c>
      <c r="O103" s="75" t="str">
        <f t="shared" si="15"/>
        <v/>
      </c>
      <c r="P103" s="79" t="str">
        <f>IF(B103="","",SUM($K$6:K103)-SUM($L$6:L103))</f>
        <v/>
      </c>
      <c r="Q103" s="75" t="str">
        <f t="shared" si="9"/>
        <v/>
      </c>
      <c r="R103" s="84"/>
      <c r="S103" s="84"/>
    </row>
    <row r="104" spans="1:19" x14ac:dyDescent="0.35">
      <c r="A104" s="75" t="str">
        <f t="shared" si="10"/>
        <v/>
      </c>
      <c r="B104" s="81"/>
      <c r="C104" s="75" t="str">
        <f t="shared" si="11"/>
        <v/>
      </c>
      <c r="D104" s="75" t="str">
        <f t="shared" si="12"/>
        <v/>
      </c>
      <c r="E104" s="14"/>
      <c r="F104" s="14"/>
      <c r="G104" s="14"/>
      <c r="H104" s="75" t="str">
        <f t="shared" si="13"/>
        <v/>
      </c>
      <c r="I104" s="77" t="str">
        <f>IF(G104="","",IFERROR(VLOOKUP(G104,'Plan Comptable'!$B$5:$C$278,2,FALSE),"Compte inconnu"))</f>
        <v/>
      </c>
      <c r="J104" s="83"/>
      <c r="K104" s="83"/>
      <c r="L104" s="14"/>
      <c r="M104" s="32" t="str">
        <f t="shared" si="8"/>
        <v/>
      </c>
      <c r="N104" s="77" t="str">
        <f t="shared" si="14"/>
        <v/>
      </c>
      <c r="O104" s="75" t="str">
        <f t="shared" si="15"/>
        <v/>
      </c>
      <c r="P104" s="79" t="str">
        <f>IF(B104="","",SUM($K$6:K104)-SUM($L$6:L104))</f>
        <v/>
      </c>
      <c r="Q104" s="75" t="str">
        <f t="shared" si="9"/>
        <v/>
      </c>
      <c r="R104" s="84"/>
      <c r="S104" s="84"/>
    </row>
    <row r="105" spans="1:19" x14ac:dyDescent="0.35">
      <c r="A105" s="75" t="str">
        <f t="shared" si="10"/>
        <v/>
      </c>
      <c r="B105" s="81"/>
      <c r="C105" s="75" t="str">
        <f t="shared" si="11"/>
        <v/>
      </c>
      <c r="D105" s="75" t="str">
        <f t="shared" si="12"/>
        <v/>
      </c>
      <c r="E105" s="14"/>
      <c r="F105" s="14"/>
      <c r="G105" s="14"/>
      <c r="H105" s="75" t="str">
        <f t="shared" si="13"/>
        <v/>
      </c>
      <c r="I105" s="77" t="str">
        <f>IF(G105="","",IFERROR(VLOOKUP(G105,'Plan Comptable'!$B$5:$C$278,2,FALSE),"Compte inconnu"))</f>
        <v/>
      </c>
      <c r="J105" s="83"/>
      <c r="K105" s="83"/>
      <c r="L105" s="14"/>
      <c r="M105" s="32" t="str">
        <f t="shared" si="8"/>
        <v/>
      </c>
      <c r="N105" s="77" t="str">
        <f t="shared" si="14"/>
        <v/>
      </c>
      <c r="O105" s="75" t="str">
        <f t="shared" si="15"/>
        <v/>
      </c>
      <c r="P105" s="79" t="str">
        <f>IF(B105="","",SUM($K$6:K105)-SUM($L$6:L105))</f>
        <v/>
      </c>
      <c r="Q105" s="75" t="str">
        <f t="shared" si="9"/>
        <v/>
      </c>
      <c r="R105" s="84"/>
      <c r="S105" s="84"/>
    </row>
    <row r="106" spans="1:19" x14ac:dyDescent="0.35">
      <c r="A106" s="75" t="str">
        <f t="shared" si="10"/>
        <v/>
      </c>
      <c r="B106" s="81"/>
      <c r="C106" s="75" t="str">
        <f t="shared" si="11"/>
        <v/>
      </c>
      <c r="D106" s="75" t="str">
        <f t="shared" si="12"/>
        <v/>
      </c>
      <c r="E106" s="14"/>
      <c r="F106" s="14"/>
      <c r="G106" s="14"/>
      <c r="H106" s="75" t="str">
        <f t="shared" si="13"/>
        <v/>
      </c>
      <c r="I106" s="77" t="str">
        <f>IF(G106="","",IFERROR(VLOOKUP(G106,'Plan Comptable'!$B$5:$C$278,2,FALSE),"Compte inconnu"))</f>
        <v/>
      </c>
      <c r="J106" s="83"/>
      <c r="K106" s="83"/>
      <c r="L106" s="14"/>
      <c r="M106" s="32" t="str">
        <f t="shared" si="8"/>
        <v/>
      </c>
      <c r="N106" s="77" t="str">
        <f t="shared" si="14"/>
        <v/>
      </c>
      <c r="O106" s="75" t="str">
        <f t="shared" si="15"/>
        <v/>
      </c>
      <c r="P106" s="79" t="str">
        <f>IF(B106="","",SUM($K$6:K106)-SUM($L$6:L106))</f>
        <v/>
      </c>
      <c r="Q106" s="75" t="str">
        <f t="shared" si="9"/>
        <v/>
      </c>
      <c r="R106" s="84"/>
      <c r="S106" s="84"/>
    </row>
    <row r="107" spans="1:19" x14ac:dyDescent="0.35">
      <c r="A107" s="75" t="str">
        <f t="shared" si="10"/>
        <v/>
      </c>
      <c r="B107" s="81"/>
      <c r="C107" s="75" t="str">
        <f t="shared" si="11"/>
        <v/>
      </c>
      <c r="D107" s="75" t="str">
        <f t="shared" si="12"/>
        <v/>
      </c>
      <c r="E107" s="14"/>
      <c r="F107" s="14"/>
      <c r="G107" s="14"/>
      <c r="H107" s="75" t="str">
        <f t="shared" si="13"/>
        <v/>
      </c>
      <c r="I107" s="77" t="str">
        <f>IF(G107="","",IFERROR(VLOOKUP(G107,'Plan Comptable'!$B$5:$C$278,2,FALSE),"Compte inconnu"))</f>
        <v/>
      </c>
      <c r="J107" s="83"/>
      <c r="K107" s="83"/>
      <c r="L107" s="14"/>
      <c r="M107" s="32" t="str">
        <f t="shared" si="8"/>
        <v/>
      </c>
      <c r="N107" s="77" t="str">
        <f t="shared" si="14"/>
        <v/>
      </c>
      <c r="O107" s="75" t="str">
        <f t="shared" si="15"/>
        <v/>
      </c>
      <c r="P107" s="79" t="str">
        <f>IF(B107="","",SUM($K$6:K107)-SUM($L$6:L107))</f>
        <v/>
      </c>
      <c r="Q107" s="75" t="str">
        <f t="shared" si="9"/>
        <v/>
      </c>
      <c r="R107" s="84"/>
      <c r="S107" s="84"/>
    </row>
    <row r="108" spans="1:19" x14ac:dyDescent="0.35">
      <c r="A108" s="75" t="str">
        <f t="shared" si="10"/>
        <v/>
      </c>
      <c r="B108" s="81"/>
      <c r="C108" s="75" t="str">
        <f t="shared" si="11"/>
        <v/>
      </c>
      <c r="D108" s="75" t="str">
        <f t="shared" si="12"/>
        <v/>
      </c>
      <c r="E108" s="14"/>
      <c r="F108" s="14"/>
      <c r="G108" s="14"/>
      <c r="H108" s="75" t="str">
        <f t="shared" si="13"/>
        <v/>
      </c>
      <c r="I108" s="77" t="str">
        <f>IF(G108="","",IFERROR(VLOOKUP(G108,'Plan Comptable'!$B$5:$C$278,2,FALSE),"Compte inconnu"))</f>
        <v/>
      </c>
      <c r="J108" s="83"/>
      <c r="K108" s="83"/>
      <c r="L108" s="14"/>
      <c r="M108" s="32" t="str">
        <f t="shared" si="8"/>
        <v/>
      </c>
      <c r="N108" s="77" t="str">
        <f t="shared" si="14"/>
        <v/>
      </c>
      <c r="O108" s="75" t="str">
        <f t="shared" si="15"/>
        <v/>
      </c>
      <c r="P108" s="79" t="str">
        <f>IF(B108="","",SUM($K$6:K108)-SUM($L$6:L108))</f>
        <v/>
      </c>
      <c r="Q108" s="75" t="str">
        <f t="shared" si="9"/>
        <v/>
      </c>
      <c r="R108" s="84"/>
      <c r="S108" s="84"/>
    </row>
    <row r="109" spans="1:19" x14ac:dyDescent="0.35">
      <c r="A109" s="75" t="str">
        <f t="shared" si="10"/>
        <v/>
      </c>
      <c r="B109" s="81"/>
      <c r="C109" s="75" t="str">
        <f t="shared" si="11"/>
        <v/>
      </c>
      <c r="D109" s="75" t="str">
        <f t="shared" si="12"/>
        <v/>
      </c>
      <c r="E109" s="14"/>
      <c r="F109" s="14"/>
      <c r="G109" s="14"/>
      <c r="H109" s="75" t="str">
        <f t="shared" si="13"/>
        <v/>
      </c>
      <c r="I109" s="77" t="str">
        <f>IF(G109="","",IFERROR(VLOOKUP(G109,'Plan Comptable'!$B$5:$C$278,2,FALSE),"Compte inconnu"))</f>
        <v/>
      </c>
      <c r="J109" s="83"/>
      <c r="K109" s="83"/>
      <c r="L109" s="14"/>
      <c r="M109" s="32" t="str">
        <f t="shared" si="8"/>
        <v/>
      </c>
      <c r="N109" s="77" t="str">
        <f t="shared" si="14"/>
        <v/>
      </c>
      <c r="O109" s="75" t="str">
        <f t="shared" si="15"/>
        <v/>
      </c>
      <c r="P109" s="79" t="str">
        <f>IF(B109="","",SUM($K$6:K109)-SUM($L$6:L109))</f>
        <v/>
      </c>
      <c r="Q109" s="75" t="str">
        <f t="shared" si="9"/>
        <v/>
      </c>
      <c r="R109" s="84"/>
      <c r="S109" s="84"/>
    </row>
    <row r="110" spans="1:19" x14ac:dyDescent="0.35">
      <c r="A110" s="75" t="str">
        <f t="shared" si="10"/>
        <v/>
      </c>
      <c r="B110" s="81"/>
      <c r="C110" s="75" t="str">
        <f t="shared" si="11"/>
        <v/>
      </c>
      <c r="D110" s="75" t="str">
        <f t="shared" si="12"/>
        <v/>
      </c>
      <c r="E110" s="14"/>
      <c r="F110" s="14"/>
      <c r="G110" s="14"/>
      <c r="H110" s="75" t="str">
        <f t="shared" si="13"/>
        <v/>
      </c>
      <c r="I110" s="77" t="str">
        <f>IF(G110="","",IFERROR(VLOOKUP(G110,'Plan Comptable'!$B$5:$C$278,2,FALSE),"Compte inconnu"))</f>
        <v/>
      </c>
      <c r="J110" s="83"/>
      <c r="K110" s="83"/>
      <c r="L110" s="14"/>
      <c r="M110" s="32" t="str">
        <f t="shared" si="8"/>
        <v/>
      </c>
      <c r="N110" s="77" t="str">
        <f t="shared" si="14"/>
        <v/>
      </c>
      <c r="O110" s="75" t="str">
        <f t="shared" si="15"/>
        <v/>
      </c>
      <c r="P110" s="79" t="str">
        <f>IF(B110="","",SUM($K$6:K110)-SUM($L$6:L110))</f>
        <v/>
      </c>
      <c r="Q110" s="75" t="str">
        <f t="shared" si="9"/>
        <v/>
      </c>
      <c r="R110" s="84"/>
      <c r="S110" s="84"/>
    </row>
    <row r="111" spans="1:19" x14ac:dyDescent="0.35">
      <c r="A111" s="75" t="str">
        <f t="shared" si="10"/>
        <v/>
      </c>
      <c r="B111" s="81"/>
      <c r="C111" s="75" t="str">
        <f t="shared" si="11"/>
        <v/>
      </c>
      <c r="D111" s="75" t="str">
        <f t="shared" si="12"/>
        <v/>
      </c>
      <c r="E111" s="14"/>
      <c r="F111" s="14"/>
      <c r="G111" s="14"/>
      <c r="H111" s="75" t="str">
        <f t="shared" si="13"/>
        <v/>
      </c>
      <c r="I111" s="77" t="str">
        <f>IF(G111="","",IFERROR(VLOOKUP(G111,'Plan Comptable'!$B$5:$C$278,2,FALSE),"Compte inconnu"))</f>
        <v/>
      </c>
      <c r="J111" s="83"/>
      <c r="K111" s="83"/>
      <c r="L111" s="14"/>
      <c r="M111" s="32" t="str">
        <f t="shared" si="8"/>
        <v/>
      </c>
      <c r="N111" s="77" t="str">
        <f t="shared" si="14"/>
        <v/>
      </c>
      <c r="O111" s="75" t="str">
        <f t="shared" si="15"/>
        <v/>
      </c>
      <c r="P111" s="79" t="str">
        <f>IF(B111="","",SUM($K$6:K111)-SUM($L$6:L111))</f>
        <v/>
      </c>
      <c r="Q111" s="75" t="str">
        <f t="shared" si="9"/>
        <v/>
      </c>
      <c r="R111" s="84"/>
      <c r="S111" s="84"/>
    </row>
    <row r="112" spans="1:19" x14ac:dyDescent="0.35">
      <c r="A112" s="75" t="str">
        <f t="shared" si="10"/>
        <v/>
      </c>
      <c r="B112" s="81"/>
      <c r="C112" s="75" t="str">
        <f t="shared" si="11"/>
        <v/>
      </c>
      <c r="D112" s="75" t="str">
        <f t="shared" si="12"/>
        <v/>
      </c>
      <c r="E112" s="14"/>
      <c r="F112" s="14"/>
      <c r="G112" s="14"/>
      <c r="H112" s="75" t="str">
        <f t="shared" si="13"/>
        <v/>
      </c>
      <c r="I112" s="77" t="str">
        <f>IF(G112="","",IFERROR(VLOOKUP(G112,'Plan Comptable'!$B$5:$C$278,2,FALSE),"Compte inconnu"))</f>
        <v/>
      </c>
      <c r="J112" s="83"/>
      <c r="K112" s="83"/>
      <c r="L112" s="14"/>
      <c r="M112" s="32" t="str">
        <f t="shared" si="8"/>
        <v/>
      </c>
      <c r="N112" s="77" t="str">
        <f t="shared" si="14"/>
        <v/>
      </c>
      <c r="O112" s="75" t="str">
        <f t="shared" si="15"/>
        <v/>
      </c>
      <c r="P112" s="79" t="str">
        <f>IF(B112="","",SUM($K$6:K112)-SUM($L$6:L112))</f>
        <v/>
      </c>
      <c r="Q112" s="75" t="str">
        <f t="shared" si="9"/>
        <v/>
      </c>
      <c r="R112" s="84"/>
      <c r="S112" s="84"/>
    </row>
    <row r="113" spans="1:19" x14ac:dyDescent="0.35">
      <c r="A113" s="75" t="str">
        <f t="shared" si="10"/>
        <v/>
      </c>
      <c r="B113" s="81"/>
      <c r="C113" s="75" t="str">
        <f t="shared" si="11"/>
        <v/>
      </c>
      <c r="D113" s="75" t="str">
        <f t="shared" si="12"/>
        <v/>
      </c>
      <c r="E113" s="14"/>
      <c r="F113" s="14"/>
      <c r="G113" s="14"/>
      <c r="H113" s="75" t="str">
        <f t="shared" si="13"/>
        <v/>
      </c>
      <c r="I113" s="77" t="str">
        <f>IF(G113="","",IFERROR(VLOOKUP(G113,'Plan Comptable'!$B$5:$C$278,2,FALSE),"Compte inconnu"))</f>
        <v/>
      </c>
      <c r="J113" s="83"/>
      <c r="K113" s="83"/>
      <c r="L113" s="14"/>
      <c r="M113" s="32" t="str">
        <f t="shared" si="8"/>
        <v/>
      </c>
      <c r="N113" s="77" t="str">
        <f t="shared" si="14"/>
        <v/>
      </c>
      <c r="O113" s="75" t="str">
        <f t="shared" si="15"/>
        <v/>
      </c>
      <c r="P113" s="79" t="str">
        <f>IF(B113="","",SUM($K$6:K113)-SUM($L$6:L113))</f>
        <v/>
      </c>
      <c r="Q113" s="75" t="str">
        <f t="shared" si="9"/>
        <v/>
      </c>
      <c r="R113" s="84"/>
      <c r="S113" s="84"/>
    </row>
    <row r="114" spans="1:19" x14ac:dyDescent="0.35">
      <c r="A114" s="75" t="str">
        <f t="shared" si="10"/>
        <v/>
      </c>
      <c r="B114" s="81"/>
      <c r="C114" s="75" t="str">
        <f t="shared" si="11"/>
        <v/>
      </c>
      <c r="D114" s="75" t="str">
        <f t="shared" si="12"/>
        <v/>
      </c>
      <c r="E114" s="14"/>
      <c r="F114" s="14"/>
      <c r="G114" s="14"/>
      <c r="H114" s="75" t="str">
        <f t="shared" si="13"/>
        <v/>
      </c>
      <c r="I114" s="77" t="str">
        <f>IF(G114="","",IFERROR(VLOOKUP(G114,'Plan Comptable'!$B$5:$C$278,2,FALSE),"Compte inconnu"))</f>
        <v/>
      </c>
      <c r="J114" s="83"/>
      <c r="K114" s="83"/>
      <c r="L114" s="14"/>
      <c r="M114" s="32" t="str">
        <f t="shared" si="8"/>
        <v/>
      </c>
      <c r="N114" s="77" t="str">
        <f t="shared" si="14"/>
        <v/>
      </c>
      <c r="O114" s="75" t="str">
        <f t="shared" si="15"/>
        <v/>
      </c>
      <c r="P114" s="79" t="str">
        <f>IF(B114="","",SUM($K$6:K114)-SUM($L$6:L114))</f>
        <v/>
      </c>
      <c r="Q114" s="75" t="str">
        <f t="shared" si="9"/>
        <v/>
      </c>
      <c r="R114" s="84"/>
      <c r="S114" s="84"/>
    </row>
    <row r="115" spans="1:19" x14ac:dyDescent="0.35">
      <c r="A115" s="75" t="str">
        <f t="shared" si="10"/>
        <v/>
      </c>
      <c r="B115" s="81"/>
      <c r="C115" s="75" t="str">
        <f t="shared" si="11"/>
        <v/>
      </c>
      <c r="D115" s="75" t="str">
        <f t="shared" si="12"/>
        <v/>
      </c>
      <c r="E115" s="14"/>
      <c r="F115" s="14"/>
      <c r="G115" s="14"/>
      <c r="H115" s="75" t="str">
        <f t="shared" si="13"/>
        <v/>
      </c>
      <c r="I115" s="77" t="str">
        <f>IF(G115="","",IFERROR(VLOOKUP(G115,'Plan Comptable'!$B$5:$C$278,2,FALSE),"Compte inconnu"))</f>
        <v/>
      </c>
      <c r="J115" s="83"/>
      <c r="K115" s="83"/>
      <c r="L115" s="14"/>
      <c r="M115" s="32" t="str">
        <f t="shared" si="8"/>
        <v/>
      </c>
      <c r="N115" s="77" t="str">
        <f t="shared" si="14"/>
        <v/>
      </c>
      <c r="O115" s="75" t="str">
        <f t="shared" si="15"/>
        <v/>
      </c>
      <c r="P115" s="79" t="str">
        <f>IF(B115="","",SUM($K$6:K115)-SUM($L$6:L115))</f>
        <v/>
      </c>
      <c r="Q115" s="75" t="str">
        <f t="shared" si="9"/>
        <v/>
      </c>
      <c r="R115" s="84"/>
      <c r="S115" s="84"/>
    </row>
    <row r="116" spans="1:19" x14ac:dyDescent="0.35">
      <c r="A116" s="75" t="str">
        <f t="shared" si="10"/>
        <v/>
      </c>
      <c r="B116" s="81"/>
      <c r="C116" s="75" t="str">
        <f t="shared" si="11"/>
        <v/>
      </c>
      <c r="D116" s="75" t="str">
        <f t="shared" si="12"/>
        <v/>
      </c>
      <c r="E116" s="14"/>
      <c r="F116" s="14"/>
      <c r="G116" s="14"/>
      <c r="H116" s="75" t="str">
        <f t="shared" si="13"/>
        <v/>
      </c>
      <c r="I116" s="77" t="str">
        <f>IF(G116="","",IFERROR(VLOOKUP(G116,'Plan Comptable'!$B$5:$C$278,2,FALSE),"Compte inconnu"))</f>
        <v/>
      </c>
      <c r="J116" s="83"/>
      <c r="K116" s="83"/>
      <c r="L116" s="14"/>
      <c r="M116" s="32" t="str">
        <f t="shared" si="8"/>
        <v/>
      </c>
      <c r="N116" s="77" t="str">
        <f t="shared" si="14"/>
        <v/>
      </c>
      <c r="O116" s="75" t="str">
        <f t="shared" si="15"/>
        <v/>
      </c>
      <c r="P116" s="79" t="str">
        <f>IF(B116="","",SUM($K$6:K116)-SUM($L$6:L116))</f>
        <v/>
      </c>
      <c r="Q116" s="75" t="str">
        <f t="shared" si="9"/>
        <v/>
      </c>
      <c r="R116" s="84"/>
      <c r="S116" s="84"/>
    </row>
    <row r="117" spans="1:19" x14ac:dyDescent="0.35">
      <c r="A117" s="75" t="str">
        <f t="shared" si="10"/>
        <v/>
      </c>
      <c r="B117" s="81"/>
      <c r="C117" s="75" t="str">
        <f t="shared" si="11"/>
        <v/>
      </c>
      <c r="D117" s="75" t="str">
        <f t="shared" si="12"/>
        <v/>
      </c>
      <c r="E117" s="14"/>
      <c r="F117" s="14"/>
      <c r="G117" s="14"/>
      <c r="H117" s="75" t="str">
        <f t="shared" si="13"/>
        <v/>
      </c>
      <c r="I117" s="77" t="str">
        <f>IF(G117="","",IFERROR(VLOOKUP(G117,'Plan Comptable'!$B$5:$C$278,2,FALSE),"Compte inconnu"))</f>
        <v/>
      </c>
      <c r="J117" s="83"/>
      <c r="K117" s="83"/>
      <c r="L117" s="14"/>
      <c r="M117" s="32" t="str">
        <f t="shared" si="8"/>
        <v/>
      </c>
      <c r="N117" s="77" t="str">
        <f t="shared" si="14"/>
        <v/>
      </c>
      <c r="O117" s="75" t="str">
        <f t="shared" si="15"/>
        <v/>
      </c>
      <c r="P117" s="79" t="str">
        <f>IF(B117="","",SUM($K$6:K117)-SUM($L$6:L117))</f>
        <v/>
      </c>
      <c r="Q117" s="75" t="str">
        <f t="shared" si="9"/>
        <v/>
      </c>
      <c r="R117" s="84"/>
      <c r="S117" s="84"/>
    </row>
    <row r="118" spans="1:19" x14ac:dyDescent="0.35">
      <c r="A118" s="75" t="str">
        <f t="shared" si="10"/>
        <v/>
      </c>
      <c r="B118" s="81"/>
      <c r="C118" s="75" t="str">
        <f t="shared" si="11"/>
        <v/>
      </c>
      <c r="D118" s="75" t="str">
        <f t="shared" si="12"/>
        <v/>
      </c>
      <c r="E118" s="14"/>
      <c r="F118" s="14"/>
      <c r="G118" s="14"/>
      <c r="H118" s="75" t="str">
        <f t="shared" si="13"/>
        <v/>
      </c>
      <c r="I118" s="77" t="str">
        <f>IF(G118="","",IFERROR(VLOOKUP(G118,'Plan Comptable'!$B$5:$C$278,2,FALSE),"Compte inconnu"))</f>
        <v/>
      </c>
      <c r="J118" s="83"/>
      <c r="K118" s="83"/>
      <c r="L118" s="14"/>
      <c r="M118" s="32" t="str">
        <f t="shared" si="8"/>
        <v/>
      </c>
      <c r="N118" s="77" t="str">
        <f t="shared" si="14"/>
        <v/>
      </c>
      <c r="O118" s="75" t="str">
        <f t="shared" si="15"/>
        <v/>
      </c>
      <c r="P118" s="79" t="str">
        <f>IF(B118="","",SUM($K$6:K118)-SUM($L$6:L118))</f>
        <v/>
      </c>
      <c r="Q118" s="75" t="str">
        <f t="shared" si="9"/>
        <v/>
      </c>
      <c r="R118" s="84"/>
      <c r="S118" s="84"/>
    </row>
    <row r="119" spans="1:19" x14ac:dyDescent="0.35">
      <c r="A119" s="75" t="str">
        <f t="shared" si="10"/>
        <v/>
      </c>
      <c r="B119" s="81"/>
      <c r="C119" s="75" t="str">
        <f t="shared" si="11"/>
        <v/>
      </c>
      <c r="D119" s="75" t="str">
        <f t="shared" si="12"/>
        <v/>
      </c>
      <c r="E119" s="14"/>
      <c r="F119" s="14"/>
      <c r="G119" s="14"/>
      <c r="H119" s="75" t="str">
        <f t="shared" si="13"/>
        <v/>
      </c>
      <c r="I119" s="77" t="str">
        <f>IF(G119="","",IFERROR(VLOOKUP(G119,'Plan Comptable'!$B$5:$C$278,2,FALSE),"Compte inconnu"))</f>
        <v/>
      </c>
      <c r="J119" s="83"/>
      <c r="K119" s="83"/>
      <c r="L119" s="14"/>
      <c r="M119" s="32" t="str">
        <f t="shared" si="8"/>
        <v/>
      </c>
      <c r="N119" s="77" t="str">
        <f t="shared" si="14"/>
        <v/>
      </c>
      <c r="O119" s="75" t="str">
        <f t="shared" si="15"/>
        <v/>
      </c>
      <c r="P119" s="79" t="str">
        <f>IF(B119="","",SUM($K$6:K119)-SUM($L$6:L119))</f>
        <v/>
      </c>
      <c r="Q119" s="75" t="str">
        <f t="shared" si="9"/>
        <v/>
      </c>
      <c r="R119" s="84"/>
      <c r="S119" s="84"/>
    </row>
    <row r="120" spans="1:19" x14ac:dyDescent="0.35">
      <c r="A120" s="75" t="str">
        <f t="shared" si="10"/>
        <v/>
      </c>
      <c r="B120" s="81"/>
      <c r="C120" s="75" t="str">
        <f t="shared" si="11"/>
        <v/>
      </c>
      <c r="D120" s="75" t="str">
        <f t="shared" si="12"/>
        <v/>
      </c>
      <c r="E120" s="14"/>
      <c r="F120" s="14"/>
      <c r="G120" s="14"/>
      <c r="H120" s="75" t="str">
        <f t="shared" si="13"/>
        <v/>
      </c>
      <c r="I120" s="77" t="str">
        <f>IF(G120="","",IFERROR(VLOOKUP(G120,'Plan Comptable'!$B$5:$C$278,2,FALSE),"Compte inconnu"))</f>
        <v/>
      </c>
      <c r="J120" s="83"/>
      <c r="K120" s="83"/>
      <c r="L120" s="14"/>
      <c r="M120" s="32" t="str">
        <f t="shared" si="8"/>
        <v/>
      </c>
      <c r="N120" s="77" t="str">
        <f t="shared" si="14"/>
        <v/>
      </c>
      <c r="O120" s="75" t="str">
        <f t="shared" si="15"/>
        <v/>
      </c>
      <c r="P120" s="79" t="str">
        <f>IF(B120="","",SUM($K$6:K120)-SUM($L$6:L120))</f>
        <v/>
      </c>
      <c r="Q120" s="75" t="str">
        <f t="shared" si="9"/>
        <v/>
      </c>
      <c r="R120" s="84"/>
      <c r="S120" s="84"/>
    </row>
    <row r="121" spans="1:19" x14ac:dyDescent="0.35">
      <c r="A121" s="75" t="str">
        <f t="shared" si="10"/>
        <v/>
      </c>
      <c r="B121" s="81"/>
      <c r="C121" s="75" t="str">
        <f t="shared" si="11"/>
        <v/>
      </c>
      <c r="D121" s="75" t="str">
        <f t="shared" si="12"/>
        <v/>
      </c>
      <c r="E121" s="14"/>
      <c r="F121" s="14"/>
      <c r="G121" s="14"/>
      <c r="H121" s="75" t="str">
        <f t="shared" si="13"/>
        <v/>
      </c>
      <c r="I121" s="77" t="str">
        <f>IF(G121="","",IFERROR(VLOOKUP(G121,'Plan Comptable'!$B$5:$C$278,2,FALSE),"Compte inconnu"))</f>
        <v/>
      </c>
      <c r="J121" s="83"/>
      <c r="K121" s="83"/>
      <c r="L121" s="14"/>
      <c r="M121" s="32" t="str">
        <f t="shared" si="8"/>
        <v/>
      </c>
      <c r="N121" s="77" t="str">
        <f t="shared" si="14"/>
        <v/>
      </c>
      <c r="O121" s="75" t="str">
        <f t="shared" si="15"/>
        <v/>
      </c>
      <c r="P121" s="79" t="str">
        <f>IF(B121="","",SUM($K$6:K121)-SUM($L$6:L121))</f>
        <v/>
      </c>
      <c r="Q121" s="75" t="str">
        <f t="shared" si="9"/>
        <v/>
      </c>
      <c r="R121" s="84"/>
      <c r="S121" s="84"/>
    </row>
    <row r="122" spans="1:19" x14ac:dyDescent="0.35">
      <c r="A122" s="75" t="str">
        <f t="shared" si="10"/>
        <v/>
      </c>
      <c r="B122" s="81"/>
      <c r="C122" s="75" t="str">
        <f t="shared" si="11"/>
        <v/>
      </c>
      <c r="D122" s="75" t="str">
        <f t="shared" si="12"/>
        <v/>
      </c>
      <c r="E122" s="14"/>
      <c r="F122" s="14"/>
      <c r="G122" s="14"/>
      <c r="H122" s="75" t="str">
        <f t="shared" si="13"/>
        <v/>
      </c>
      <c r="I122" s="77" t="str">
        <f>IF(G122="","",IFERROR(VLOOKUP(G122,'Plan Comptable'!$B$5:$C$278,2,FALSE),"Compte inconnu"))</f>
        <v/>
      </c>
      <c r="J122" s="83"/>
      <c r="K122" s="83"/>
      <c r="L122" s="14"/>
      <c r="M122" s="32" t="str">
        <f t="shared" si="8"/>
        <v/>
      </c>
      <c r="N122" s="77" t="str">
        <f t="shared" si="14"/>
        <v/>
      </c>
      <c r="O122" s="75" t="str">
        <f t="shared" si="15"/>
        <v/>
      </c>
      <c r="P122" s="79" t="str">
        <f>IF(B122="","",SUM($K$6:K122)-SUM($L$6:L122))</f>
        <v/>
      </c>
      <c r="Q122" s="75" t="str">
        <f t="shared" si="9"/>
        <v/>
      </c>
      <c r="R122" s="84"/>
      <c r="S122" s="84"/>
    </row>
    <row r="123" spans="1:19" x14ac:dyDescent="0.35">
      <c r="A123" s="75" t="str">
        <f t="shared" si="10"/>
        <v/>
      </c>
      <c r="B123" s="81"/>
      <c r="C123" s="75" t="str">
        <f t="shared" si="11"/>
        <v/>
      </c>
      <c r="D123" s="75" t="str">
        <f t="shared" si="12"/>
        <v/>
      </c>
      <c r="E123" s="14"/>
      <c r="F123" s="14"/>
      <c r="G123" s="14"/>
      <c r="H123" s="75" t="str">
        <f t="shared" si="13"/>
        <v/>
      </c>
      <c r="I123" s="77" t="str">
        <f>IF(G123="","",IFERROR(VLOOKUP(G123,'Plan Comptable'!$B$5:$C$278,2,FALSE),"Compte inconnu"))</f>
        <v/>
      </c>
      <c r="J123" s="83"/>
      <c r="K123" s="83"/>
      <c r="L123" s="14"/>
      <c r="M123" s="32" t="str">
        <f t="shared" si="8"/>
        <v/>
      </c>
      <c r="N123" s="77" t="str">
        <f t="shared" si="14"/>
        <v/>
      </c>
      <c r="O123" s="75" t="str">
        <f t="shared" si="15"/>
        <v/>
      </c>
      <c r="P123" s="79" t="str">
        <f>IF(B123="","",SUM($K$6:K123)-SUM($L$6:L123))</f>
        <v/>
      </c>
      <c r="Q123" s="75" t="str">
        <f t="shared" si="9"/>
        <v/>
      </c>
      <c r="R123" s="84"/>
      <c r="S123" s="84"/>
    </row>
    <row r="124" spans="1:19" x14ac:dyDescent="0.35">
      <c r="A124" s="75" t="str">
        <f t="shared" si="10"/>
        <v/>
      </c>
      <c r="B124" s="81"/>
      <c r="C124" s="75" t="str">
        <f t="shared" si="11"/>
        <v/>
      </c>
      <c r="D124" s="75" t="str">
        <f t="shared" si="12"/>
        <v/>
      </c>
      <c r="E124" s="14"/>
      <c r="F124" s="14"/>
      <c r="G124" s="14"/>
      <c r="H124" s="75" t="str">
        <f t="shared" si="13"/>
        <v/>
      </c>
      <c r="I124" s="77" t="str">
        <f>IF(G124="","",IFERROR(VLOOKUP(G124,'Plan Comptable'!$B$5:$C$278,2,FALSE),"Compte inconnu"))</f>
        <v/>
      </c>
      <c r="J124" s="83"/>
      <c r="K124" s="83"/>
      <c r="L124" s="14"/>
      <c r="M124" s="32" t="str">
        <f t="shared" si="8"/>
        <v/>
      </c>
      <c r="N124" s="77" t="str">
        <f t="shared" si="14"/>
        <v/>
      </c>
      <c r="O124" s="75" t="str">
        <f t="shared" si="15"/>
        <v/>
      </c>
      <c r="P124" s="79" t="str">
        <f>IF(B124="","",SUM($K$6:K124)-SUM($L$6:L124))</f>
        <v/>
      </c>
      <c r="Q124" s="75" t="str">
        <f t="shared" si="9"/>
        <v/>
      </c>
      <c r="R124" s="84"/>
      <c r="S124" s="84"/>
    </row>
    <row r="125" spans="1:19" x14ac:dyDescent="0.35">
      <c r="A125" s="75" t="str">
        <f t="shared" si="10"/>
        <v/>
      </c>
      <c r="B125" s="81"/>
      <c r="C125" s="75" t="str">
        <f t="shared" si="11"/>
        <v/>
      </c>
      <c r="D125" s="75" t="str">
        <f t="shared" si="12"/>
        <v/>
      </c>
      <c r="E125" s="14"/>
      <c r="F125" s="14"/>
      <c r="G125" s="14"/>
      <c r="H125" s="75" t="str">
        <f t="shared" si="13"/>
        <v/>
      </c>
      <c r="I125" s="77" t="str">
        <f>IF(G125="","",IFERROR(VLOOKUP(G125,'Plan Comptable'!$B$5:$C$278,2,FALSE),"Compte inconnu"))</f>
        <v/>
      </c>
      <c r="J125" s="83"/>
      <c r="K125" s="83"/>
      <c r="L125" s="14"/>
      <c r="M125" s="32" t="str">
        <f t="shared" si="8"/>
        <v/>
      </c>
      <c r="N125" s="77" t="str">
        <f t="shared" si="14"/>
        <v/>
      </c>
      <c r="O125" s="75" t="str">
        <f t="shared" si="15"/>
        <v/>
      </c>
      <c r="P125" s="79" t="str">
        <f>IF(B125="","",SUM($K$6:K125)-SUM($L$6:L125))</f>
        <v/>
      </c>
      <c r="Q125" s="75" t="str">
        <f t="shared" si="9"/>
        <v/>
      </c>
      <c r="R125" s="84"/>
      <c r="S125" s="84"/>
    </row>
    <row r="126" spans="1:19" x14ac:dyDescent="0.35">
      <c r="A126" s="75" t="str">
        <f t="shared" si="10"/>
        <v/>
      </c>
      <c r="B126" s="81"/>
      <c r="C126" s="75" t="str">
        <f t="shared" si="11"/>
        <v/>
      </c>
      <c r="D126" s="75" t="str">
        <f t="shared" si="12"/>
        <v/>
      </c>
      <c r="E126" s="14"/>
      <c r="F126" s="14"/>
      <c r="G126" s="14"/>
      <c r="H126" s="75" t="str">
        <f t="shared" si="13"/>
        <v/>
      </c>
      <c r="I126" s="77" t="str">
        <f>IF(G126="","",IFERROR(VLOOKUP(G126,'Plan Comptable'!$B$5:$C$278,2,FALSE),"Compte inconnu"))</f>
        <v/>
      </c>
      <c r="J126" s="83"/>
      <c r="K126" s="83"/>
      <c r="L126" s="14"/>
      <c r="M126" s="32" t="str">
        <f t="shared" si="8"/>
        <v/>
      </c>
      <c r="N126" s="77" t="str">
        <f t="shared" si="14"/>
        <v/>
      </c>
      <c r="O126" s="75" t="str">
        <f t="shared" si="15"/>
        <v/>
      </c>
      <c r="P126" s="79" t="str">
        <f>IF(B126="","",SUM($K$6:K126)-SUM($L$6:L126))</f>
        <v/>
      </c>
      <c r="Q126" s="75" t="str">
        <f t="shared" si="9"/>
        <v/>
      </c>
      <c r="R126" s="84"/>
      <c r="S126" s="84"/>
    </row>
    <row r="127" spans="1:19" x14ac:dyDescent="0.35">
      <c r="A127" s="75" t="str">
        <f t="shared" si="10"/>
        <v/>
      </c>
      <c r="B127" s="81"/>
      <c r="C127" s="75" t="str">
        <f t="shared" si="11"/>
        <v/>
      </c>
      <c r="D127" s="75" t="str">
        <f t="shared" si="12"/>
        <v/>
      </c>
      <c r="E127" s="14"/>
      <c r="F127" s="14"/>
      <c r="G127" s="14"/>
      <c r="H127" s="75" t="str">
        <f t="shared" si="13"/>
        <v/>
      </c>
      <c r="I127" s="77" t="str">
        <f>IF(G127="","",IFERROR(VLOOKUP(G127,'Plan Comptable'!$B$5:$C$278,2,FALSE),"Compte inconnu"))</f>
        <v/>
      </c>
      <c r="J127" s="83"/>
      <c r="K127" s="83"/>
      <c r="L127" s="14"/>
      <c r="M127" s="32" t="str">
        <f t="shared" si="8"/>
        <v/>
      </c>
      <c r="N127" s="77" t="str">
        <f t="shared" si="14"/>
        <v/>
      </c>
      <c r="O127" s="75" t="str">
        <f t="shared" si="15"/>
        <v/>
      </c>
      <c r="P127" s="79" t="str">
        <f>IF(B127="","",SUM($K$6:K127)-SUM($L$6:L127))</f>
        <v/>
      </c>
      <c r="Q127" s="75" t="str">
        <f t="shared" si="9"/>
        <v/>
      </c>
      <c r="R127" s="84"/>
      <c r="S127" s="84"/>
    </row>
    <row r="128" spans="1:19" x14ac:dyDescent="0.35">
      <c r="A128" s="75" t="str">
        <f t="shared" si="10"/>
        <v/>
      </c>
      <c r="B128" s="81"/>
      <c r="C128" s="75" t="str">
        <f t="shared" si="11"/>
        <v/>
      </c>
      <c r="D128" s="75" t="str">
        <f t="shared" si="12"/>
        <v/>
      </c>
      <c r="E128" s="14"/>
      <c r="F128" s="14"/>
      <c r="G128" s="14"/>
      <c r="H128" s="75" t="str">
        <f t="shared" si="13"/>
        <v/>
      </c>
      <c r="I128" s="77" t="str">
        <f>IF(G128="","",IFERROR(VLOOKUP(G128,'Plan Comptable'!$B$5:$C$278,2,FALSE),"Compte inconnu"))</f>
        <v/>
      </c>
      <c r="J128" s="83"/>
      <c r="K128" s="83"/>
      <c r="L128" s="14"/>
      <c r="M128" s="32" t="str">
        <f t="shared" si="8"/>
        <v/>
      </c>
      <c r="N128" s="77" t="str">
        <f t="shared" si="14"/>
        <v/>
      </c>
      <c r="O128" s="75" t="str">
        <f t="shared" si="15"/>
        <v/>
      </c>
      <c r="P128" s="79" t="str">
        <f>IF(B128="","",SUM($K$6:K128)-SUM($L$6:L128))</f>
        <v/>
      </c>
      <c r="Q128" s="75" t="str">
        <f t="shared" si="9"/>
        <v/>
      </c>
      <c r="R128" s="84"/>
      <c r="S128" s="84"/>
    </row>
    <row r="129" spans="1:19" x14ac:dyDescent="0.35">
      <c r="A129" s="75" t="str">
        <f t="shared" si="10"/>
        <v/>
      </c>
      <c r="B129" s="81"/>
      <c r="C129" s="75" t="str">
        <f t="shared" si="11"/>
        <v/>
      </c>
      <c r="D129" s="75" t="str">
        <f t="shared" si="12"/>
        <v/>
      </c>
      <c r="E129" s="14"/>
      <c r="F129" s="14"/>
      <c r="G129" s="14"/>
      <c r="H129" s="75" t="str">
        <f t="shared" si="13"/>
        <v/>
      </c>
      <c r="I129" s="77" t="str">
        <f>IF(G129="","",IFERROR(VLOOKUP(G129,'Plan Comptable'!$B$5:$C$278,2,FALSE),"Compte inconnu"))</f>
        <v/>
      </c>
      <c r="J129" s="83"/>
      <c r="K129" s="83"/>
      <c r="L129" s="14"/>
      <c r="M129" s="32" t="str">
        <f t="shared" si="8"/>
        <v/>
      </c>
      <c r="N129" s="77" t="str">
        <f t="shared" si="14"/>
        <v/>
      </c>
      <c r="O129" s="75" t="str">
        <f t="shared" si="15"/>
        <v/>
      </c>
      <c r="P129" s="79" t="str">
        <f>IF(B129="","",SUM($K$6:K129)-SUM($L$6:L129))</f>
        <v/>
      </c>
      <c r="Q129" s="75" t="str">
        <f t="shared" si="9"/>
        <v/>
      </c>
      <c r="R129" s="84"/>
      <c r="S129" s="84"/>
    </row>
    <row r="130" spans="1:19" x14ac:dyDescent="0.35">
      <c r="A130" s="75" t="str">
        <f t="shared" si="10"/>
        <v/>
      </c>
      <c r="B130" s="81"/>
      <c r="C130" s="75" t="str">
        <f t="shared" si="11"/>
        <v/>
      </c>
      <c r="D130" s="75" t="str">
        <f t="shared" si="12"/>
        <v/>
      </c>
      <c r="E130" s="14"/>
      <c r="F130" s="14"/>
      <c r="G130" s="14"/>
      <c r="H130" s="75" t="str">
        <f t="shared" si="13"/>
        <v/>
      </c>
      <c r="I130" s="77" t="str">
        <f>IF(G130="","",IFERROR(VLOOKUP(G130,'Plan Comptable'!$B$5:$C$278,2,FALSE),"Compte inconnu"))</f>
        <v/>
      </c>
      <c r="J130" s="83"/>
      <c r="K130" s="83"/>
      <c r="L130" s="14"/>
      <c r="M130" s="32" t="str">
        <f t="shared" si="8"/>
        <v/>
      </c>
      <c r="N130" s="77" t="str">
        <f t="shared" si="14"/>
        <v/>
      </c>
      <c r="O130" s="75" t="str">
        <f t="shared" si="15"/>
        <v/>
      </c>
      <c r="P130" s="79" t="str">
        <f>IF(B130="","",SUM($K$6:K130)-SUM($L$6:L130))</f>
        <v/>
      </c>
      <c r="Q130" s="75" t="str">
        <f t="shared" si="9"/>
        <v/>
      </c>
      <c r="R130" s="84"/>
      <c r="S130" s="84"/>
    </row>
    <row r="131" spans="1:19" x14ac:dyDescent="0.35">
      <c r="A131" s="75" t="str">
        <f t="shared" si="10"/>
        <v/>
      </c>
      <c r="B131" s="81"/>
      <c r="C131" s="75" t="str">
        <f t="shared" si="11"/>
        <v/>
      </c>
      <c r="D131" s="75" t="str">
        <f t="shared" si="12"/>
        <v/>
      </c>
      <c r="E131" s="14"/>
      <c r="F131" s="14"/>
      <c r="G131" s="14"/>
      <c r="H131" s="75" t="str">
        <f t="shared" si="13"/>
        <v/>
      </c>
      <c r="I131" s="77" t="str">
        <f>IF(G131="","",IFERROR(VLOOKUP(G131,'Plan Comptable'!$B$5:$C$278,2,FALSE),"Compte inconnu"))</f>
        <v/>
      </c>
      <c r="J131" s="83"/>
      <c r="K131" s="83"/>
      <c r="L131" s="14"/>
      <c r="M131" s="32" t="str">
        <f t="shared" si="8"/>
        <v/>
      </c>
      <c r="N131" s="77" t="str">
        <f t="shared" si="14"/>
        <v/>
      </c>
      <c r="O131" s="75" t="str">
        <f t="shared" si="15"/>
        <v/>
      </c>
      <c r="P131" s="79" t="str">
        <f>IF(B131="","",SUM($K$6:K131)-SUM($L$6:L131))</f>
        <v/>
      </c>
      <c r="Q131" s="75" t="str">
        <f t="shared" si="9"/>
        <v/>
      </c>
      <c r="R131" s="84"/>
      <c r="S131" s="84"/>
    </row>
    <row r="132" spans="1:19" x14ac:dyDescent="0.35">
      <c r="A132" s="75" t="str">
        <f t="shared" si="10"/>
        <v/>
      </c>
      <c r="B132" s="81"/>
      <c r="C132" s="75" t="str">
        <f t="shared" si="11"/>
        <v/>
      </c>
      <c r="D132" s="75" t="str">
        <f t="shared" si="12"/>
        <v/>
      </c>
      <c r="E132" s="14"/>
      <c r="F132" s="14"/>
      <c r="G132" s="14"/>
      <c r="H132" s="75" t="str">
        <f t="shared" si="13"/>
        <v/>
      </c>
      <c r="I132" s="77" t="str">
        <f>IF(G132="","",IFERROR(VLOOKUP(G132,'Plan Comptable'!$B$5:$C$278,2,FALSE),"Compte inconnu"))</f>
        <v/>
      </c>
      <c r="J132" s="83"/>
      <c r="K132" s="83"/>
      <c r="L132" s="14"/>
      <c r="M132" s="32" t="str">
        <f t="shared" si="8"/>
        <v/>
      </c>
      <c r="N132" s="77" t="str">
        <f t="shared" si="14"/>
        <v/>
      </c>
      <c r="O132" s="75" t="str">
        <f t="shared" si="15"/>
        <v/>
      </c>
      <c r="P132" s="79" t="str">
        <f>IF(B132="","",SUM($K$6:K132)-SUM($L$6:L132))</f>
        <v/>
      </c>
      <c r="Q132" s="75" t="str">
        <f t="shared" si="9"/>
        <v/>
      </c>
      <c r="R132" s="84"/>
      <c r="S132" s="84"/>
    </row>
    <row r="133" spans="1:19" x14ac:dyDescent="0.35">
      <c r="A133" s="75" t="str">
        <f t="shared" si="10"/>
        <v/>
      </c>
      <c r="B133" s="81"/>
      <c r="C133" s="75" t="str">
        <f t="shared" si="11"/>
        <v/>
      </c>
      <c r="D133" s="75" t="str">
        <f t="shared" si="12"/>
        <v/>
      </c>
      <c r="E133" s="14"/>
      <c r="F133" s="14"/>
      <c r="G133" s="14"/>
      <c r="H133" s="75" t="str">
        <f t="shared" si="13"/>
        <v/>
      </c>
      <c r="I133" s="77" t="str">
        <f>IF(G133="","",IFERROR(VLOOKUP(G133,'Plan Comptable'!$B$5:$C$278,2,FALSE),"Compte inconnu"))</f>
        <v/>
      </c>
      <c r="J133" s="83"/>
      <c r="K133" s="83"/>
      <c r="L133" s="14"/>
      <c r="M133" s="32" t="str">
        <f t="shared" si="8"/>
        <v/>
      </c>
      <c r="N133" s="77" t="str">
        <f t="shared" si="14"/>
        <v/>
      </c>
      <c r="O133" s="75" t="str">
        <f t="shared" si="15"/>
        <v/>
      </c>
      <c r="P133" s="79" t="str">
        <f>IF(B133="","",SUM($K$6:K133)-SUM($L$6:L133))</f>
        <v/>
      </c>
      <c r="Q133" s="75" t="str">
        <f t="shared" si="9"/>
        <v/>
      </c>
      <c r="R133" s="84"/>
      <c r="S133" s="84"/>
    </row>
    <row r="134" spans="1:19" x14ac:dyDescent="0.35">
      <c r="A134" s="75" t="str">
        <f t="shared" si="10"/>
        <v/>
      </c>
      <c r="B134" s="81"/>
      <c r="C134" s="75" t="str">
        <f t="shared" si="11"/>
        <v/>
      </c>
      <c r="D134" s="75" t="str">
        <f t="shared" si="12"/>
        <v/>
      </c>
      <c r="E134" s="14"/>
      <c r="F134" s="14"/>
      <c r="G134" s="14"/>
      <c r="H134" s="75" t="str">
        <f t="shared" si="13"/>
        <v/>
      </c>
      <c r="I134" s="77" t="str">
        <f>IF(G134="","",IFERROR(VLOOKUP(G134,'Plan Comptable'!$B$5:$C$278,2,FALSE),"Compte inconnu"))</f>
        <v/>
      </c>
      <c r="J134" s="83"/>
      <c r="K134" s="83"/>
      <c r="L134" s="14"/>
      <c r="M134" s="32" t="str">
        <f t="shared" ref="M134:M197" si="16">IF(B134="","",IF(AND(OR(K134="",L134=""),K134&lt;&gt;L134),"",IF(AND(K134&lt;&gt;"",L134&lt;&gt;"",ABS(K134-L134)&gt;=0.01),"⚠ D/C",IF(AND(E134&lt;&gt;"",F134&lt;&gt;"",COUNTIFS($F$6:$F$508,F134,$E$6:$E$508,E134)&gt;1),"⚠ DBL",IF(AND(E134&lt;&gt;"",ABS(SUMIF($E$6:$E$507,E134,$K$6:$K$507)-SUMIF($E$6:$E$507,E134,$L$6:$L$507))&gt;=0.01),"⚠ PÈC",IF(AND(DebutExercice&lt;&gt;"",FinExercice&lt;&gt;"",OR(B134&lt;DebutExercice,B134&gt;FinExercice)),"⚠ DATE","✓"))))))</f>
        <v/>
      </c>
      <c r="N134" s="77" t="str">
        <f t="shared" si="14"/>
        <v/>
      </c>
      <c r="O134" s="75" t="str">
        <f t="shared" si="15"/>
        <v/>
      </c>
      <c r="P134" s="79" t="str">
        <f>IF(B134="","",SUM($K$6:K134)-SUM($L$6:L134))</f>
        <v/>
      </c>
      <c r="Q134" s="75" t="str">
        <f t="shared" ref="Q134:Q197" si="17">IF(B134="","",IF(OR(DebutExercice="",FinExercice=""),"?",IF(AND(B134&gt;=DebutExercice,B134&lt;=FinExercice),"✓","⚠ Hors")))</f>
        <v/>
      </c>
      <c r="R134" s="84"/>
      <c r="S134" s="84"/>
    </row>
    <row r="135" spans="1:19" x14ac:dyDescent="0.35">
      <c r="A135" s="75" t="str">
        <f t="shared" ref="A135:A198" si="18">IF(B135="","",ROW()-4)</f>
        <v/>
      </c>
      <c r="B135" s="81"/>
      <c r="C135" s="75" t="str">
        <f t="shared" ref="C135:C198" si="19">IF(B135="","",MONTH(B135))</f>
        <v/>
      </c>
      <c r="D135" s="75" t="str">
        <f t="shared" ref="D135:D198" si="20">IF(B135="","",YEAR(B135))</f>
        <v/>
      </c>
      <c r="E135" s="14"/>
      <c r="F135" s="14"/>
      <c r="G135" s="14"/>
      <c r="H135" s="75" t="str">
        <f t="shared" ref="H135:H198" si="21">IF(G135="","",LEFT(G135,1))</f>
        <v/>
      </c>
      <c r="I135" s="77" t="str">
        <f>IF(G135="","",IFERROR(VLOOKUP(G135,'Plan Comptable'!$B$5:$C$278,2,FALSE),"Compte inconnu"))</f>
        <v/>
      </c>
      <c r="J135" s="83"/>
      <c r="K135" s="83"/>
      <c r="L135" s="14"/>
      <c r="M135" s="32" t="str">
        <f t="shared" si="16"/>
        <v/>
      </c>
      <c r="N135" s="77" t="str">
        <f t="shared" ref="N135:N198" si="22">IF(OR(E135="",F135=""),"",IF(COUNTIFS($F$6:$F$508,F135,$E$6:$E$508,E135)&gt;1,"DOUBLON",""))</f>
        <v/>
      </c>
      <c r="O135" s="75" t="str">
        <f t="shared" ref="O135:O198" si="23">IF(E135="","",IF(ABS(SUMIF($E$6:$E$507,E135,$K$6:$K$507)-SUMIF($E$6:$E$507,E135,$L$6:$L$507))&lt;0.01,"✓","⚠"))</f>
        <v/>
      </c>
      <c r="P135" s="79" t="str">
        <f>IF(B135="","",SUM($K$6:K135)-SUM($L$6:L135))</f>
        <v/>
      </c>
      <c r="Q135" s="75" t="str">
        <f t="shared" si="17"/>
        <v/>
      </c>
      <c r="R135" s="84"/>
      <c r="S135" s="84"/>
    </row>
    <row r="136" spans="1:19" x14ac:dyDescent="0.35">
      <c r="A136" s="75" t="str">
        <f t="shared" si="18"/>
        <v/>
      </c>
      <c r="B136" s="81"/>
      <c r="C136" s="75" t="str">
        <f t="shared" si="19"/>
        <v/>
      </c>
      <c r="D136" s="75" t="str">
        <f t="shared" si="20"/>
        <v/>
      </c>
      <c r="E136" s="14"/>
      <c r="F136" s="14"/>
      <c r="G136" s="14"/>
      <c r="H136" s="75" t="str">
        <f t="shared" si="21"/>
        <v/>
      </c>
      <c r="I136" s="77" t="str">
        <f>IF(G136="","",IFERROR(VLOOKUP(G136,'Plan Comptable'!$B$5:$C$278,2,FALSE),"Compte inconnu"))</f>
        <v/>
      </c>
      <c r="J136" s="83"/>
      <c r="K136" s="83"/>
      <c r="L136" s="14"/>
      <c r="M136" s="32" t="str">
        <f t="shared" si="16"/>
        <v/>
      </c>
      <c r="N136" s="77" t="str">
        <f t="shared" si="22"/>
        <v/>
      </c>
      <c r="O136" s="75" t="str">
        <f t="shared" si="23"/>
        <v/>
      </c>
      <c r="P136" s="79" t="str">
        <f>IF(B136="","",SUM($K$6:K136)-SUM($L$6:L136))</f>
        <v/>
      </c>
      <c r="Q136" s="75" t="str">
        <f t="shared" si="17"/>
        <v/>
      </c>
      <c r="R136" s="84"/>
      <c r="S136" s="84"/>
    </row>
    <row r="137" spans="1:19" x14ac:dyDescent="0.35">
      <c r="A137" s="75" t="str">
        <f t="shared" si="18"/>
        <v/>
      </c>
      <c r="B137" s="81"/>
      <c r="C137" s="75" t="str">
        <f t="shared" si="19"/>
        <v/>
      </c>
      <c r="D137" s="75" t="str">
        <f t="shared" si="20"/>
        <v/>
      </c>
      <c r="E137" s="14"/>
      <c r="F137" s="14"/>
      <c r="G137" s="14"/>
      <c r="H137" s="75" t="str">
        <f t="shared" si="21"/>
        <v/>
      </c>
      <c r="I137" s="77" t="str">
        <f>IF(G137="","",IFERROR(VLOOKUP(G137,'Plan Comptable'!$B$5:$C$278,2,FALSE),"Compte inconnu"))</f>
        <v/>
      </c>
      <c r="J137" s="83"/>
      <c r="K137" s="83"/>
      <c r="L137" s="14"/>
      <c r="M137" s="32" t="str">
        <f t="shared" si="16"/>
        <v/>
      </c>
      <c r="N137" s="77" t="str">
        <f t="shared" si="22"/>
        <v/>
      </c>
      <c r="O137" s="75" t="str">
        <f t="shared" si="23"/>
        <v/>
      </c>
      <c r="P137" s="79" t="str">
        <f>IF(B137="","",SUM($K$6:K137)-SUM($L$6:L137))</f>
        <v/>
      </c>
      <c r="Q137" s="75" t="str">
        <f t="shared" si="17"/>
        <v/>
      </c>
      <c r="R137" s="84"/>
      <c r="S137" s="84"/>
    </row>
    <row r="138" spans="1:19" x14ac:dyDescent="0.35">
      <c r="A138" s="75" t="str">
        <f t="shared" si="18"/>
        <v/>
      </c>
      <c r="B138" s="81"/>
      <c r="C138" s="75" t="str">
        <f t="shared" si="19"/>
        <v/>
      </c>
      <c r="D138" s="75" t="str">
        <f t="shared" si="20"/>
        <v/>
      </c>
      <c r="E138" s="14"/>
      <c r="F138" s="14"/>
      <c r="G138" s="14"/>
      <c r="H138" s="75" t="str">
        <f t="shared" si="21"/>
        <v/>
      </c>
      <c r="I138" s="77" t="str">
        <f>IF(G138="","",IFERROR(VLOOKUP(G138,'Plan Comptable'!$B$5:$C$278,2,FALSE),"Compte inconnu"))</f>
        <v/>
      </c>
      <c r="J138" s="83"/>
      <c r="K138" s="83"/>
      <c r="L138" s="14"/>
      <c r="M138" s="32" t="str">
        <f t="shared" si="16"/>
        <v/>
      </c>
      <c r="N138" s="77" t="str">
        <f t="shared" si="22"/>
        <v/>
      </c>
      <c r="O138" s="75" t="str">
        <f t="shared" si="23"/>
        <v/>
      </c>
      <c r="P138" s="79" t="str">
        <f>IF(B138="","",SUM($K$6:K138)-SUM($L$6:L138))</f>
        <v/>
      </c>
      <c r="Q138" s="75" t="str">
        <f t="shared" si="17"/>
        <v/>
      </c>
      <c r="R138" s="84"/>
      <c r="S138" s="84"/>
    </row>
    <row r="139" spans="1:19" x14ac:dyDescent="0.35">
      <c r="A139" s="75" t="str">
        <f t="shared" si="18"/>
        <v/>
      </c>
      <c r="B139" s="81"/>
      <c r="C139" s="75" t="str">
        <f t="shared" si="19"/>
        <v/>
      </c>
      <c r="D139" s="75" t="str">
        <f t="shared" si="20"/>
        <v/>
      </c>
      <c r="E139" s="14"/>
      <c r="F139" s="14"/>
      <c r="G139" s="14"/>
      <c r="H139" s="75" t="str">
        <f t="shared" si="21"/>
        <v/>
      </c>
      <c r="I139" s="77" t="str">
        <f>IF(G139="","",IFERROR(VLOOKUP(G139,'Plan Comptable'!$B$5:$C$278,2,FALSE),"Compte inconnu"))</f>
        <v/>
      </c>
      <c r="J139" s="83"/>
      <c r="K139" s="83"/>
      <c r="L139" s="14"/>
      <c r="M139" s="32" t="str">
        <f t="shared" si="16"/>
        <v/>
      </c>
      <c r="N139" s="77" t="str">
        <f t="shared" si="22"/>
        <v/>
      </c>
      <c r="O139" s="75" t="str">
        <f t="shared" si="23"/>
        <v/>
      </c>
      <c r="P139" s="79" t="str">
        <f>IF(B139="","",SUM($K$6:K139)-SUM($L$6:L139))</f>
        <v/>
      </c>
      <c r="Q139" s="75" t="str">
        <f t="shared" si="17"/>
        <v/>
      </c>
      <c r="R139" s="84"/>
      <c r="S139" s="84"/>
    </row>
    <row r="140" spans="1:19" x14ac:dyDescent="0.35">
      <c r="A140" s="75" t="str">
        <f t="shared" si="18"/>
        <v/>
      </c>
      <c r="B140" s="81"/>
      <c r="C140" s="75" t="str">
        <f t="shared" si="19"/>
        <v/>
      </c>
      <c r="D140" s="75" t="str">
        <f t="shared" si="20"/>
        <v/>
      </c>
      <c r="E140" s="14"/>
      <c r="F140" s="14"/>
      <c r="G140" s="14"/>
      <c r="H140" s="75" t="str">
        <f t="shared" si="21"/>
        <v/>
      </c>
      <c r="I140" s="77" t="str">
        <f>IF(G140="","",IFERROR(VLOOKUP(G140,'Plan Comptable'!$B$5:$C$278,2,FALSE),"Compte inconnu"))</f>
        <v/>
      </c>
      <c r="J140" s="83"/>
      <c r="K140" s="83"/>
      <c r="L140" s="14"/>
      <c r="M140" s="32" t="str">
        <f t="shared" si="16"/>
        <v/>
      </c>
      <c r="N140" s="77" t="str">
        <f t="shared" si="22"/>
        <v/>
      </c>
      <c r="O140" s="75" t="str">
        <f t="shared" si="23"/>
        <v/>
      </c>
      <c r="P140" s="79" t="str">
        <f>IF(B140="","",SUM($K$6:K140)-SUM($L$6:L140))</f>
        <v/>
      </c>
      <c r="Q140" s="75" t="str">
        <f t="shared" si="17"/>
        <v/>
      </c>
      <c r="R140" s="84"/>
      <c r="S140" s="84"/>
    </row>
    <row r="141" spans="1:19" x14ac:dyDescent="0.35">
      <c r="A141" s="75" t="str">
        <f t="shared" si="18"/>
        <v/>
      </c>
      <c r="B141" s="81"/>
      <c r="C141" s="75" t="str">
        <f t="shared" si="19"/>
        <v/>
      </c>
      <c r="D141" s="75" t="str">
        <f t="shared" si="20"/>
        <v/>
      </c>
      <c r="E141" s="14"/>
      <c r="F141" s="14"/>
      <c r="G141" s="14"/>
      <c r="H141" s="75" t="str">
        <f t="shared" si="21"/>
        <v/>
      </c>
      <c r="I141" s="77" t="str">
        <f>IF(G141="","",IFERROR(VLOOKUP(G141,'Plan Comptable'!$B$5:$C$278,2,FALSE),"Compte inconnu"))</f>
        <v/>
      </c>
      <c r="J141" s="83"/>
      <c r="K141" s="83"/>
      <c r="L141" s="14"/>
      <c r="M141" s="32" t="str">
        <f t="shared" si="16"/>
        <v/>
      </c>
      <c r="N141" s="77" t="str">
        <f t="shared" si="22"/>
        <v/>
      </c>
      <c r="O141" s="75" t="str">
        <f t="shared" si="23"/>
        <v/>
      </c>
      <c r="P141" s="79" t="str">
        <f>IF(B141="","",SUM($K$6:K141)-SUM($L$6:L141))</f>
        <v/>
      </c>
      <c r="Q141" s="75" t="str">
        <f t="shared" si="17"/>
        <v/>
      </c>
      <c r="R141" s="84"/>
      <c r="S141" s="84"/>
    </row>
    <row r="142" spans="1:19" x14ac:dyDescent="0.35">
      <c r="A142" s="75" t="str">
        <f t="shared" si="18"/>
        <v/>
      </c>
      <c r="B142" s="81"/>
      <c r="C142" s="75" t="str">
        <f t="shared" si="19"/>
        <v/>
      </c>
      <c r="D142" s="75" t="str">
        <f t="shared" si="20"/>
        <v/>
      </c>
      <c r="E142" s="14"/>
      <c r="F142" s="14"/>
      <c r="G142" s="14"/>
      <c r="H142" s="75" t="str">
        <f t="shared" si="21"/>
        <v/>
      </c>
      <c r="I142" s="77" t="str">
        <f>IF(G142="","",IFERROR(VLOOKUP(G142,'Plan Comptable'!$B$5:$C$278,2,FALSE),"Compte inconnu"))</f>
        <v/>
      </c>
      <c r="J142" s="83"/>
      <c r="K142" s="83"/>
      <c r="L142" s="14"/>
      <c r="M142" s="32" t="str">
        <f t="shared" si="16"/>
        <v/>
      </c>
      <c r="N142" s="77" t="str">
        <f t="shared" si="22"/>
        <v/>
      </c>
      <c r="O142" s="75" t="str">
        <f t="shared" si="23"/>
        <v/>
      </c>
      <c r="P142" s="79" t="str">
        <f>IF(B142="","",SUM($K$6:K142)-SUM($L$6:L142))</f>
        <v/>
      </c>
      <c r="Q142" s="75" t="str">
        <f t="shared" si="17"/>
        <v/>
      </c>
      <c r="R142" s="84"/>
      <c r="S142" s="84"/>
    </row>
    <row r="143" spans="1:19" x14ac:dyDescent="0.35">
      <c r="A143" s="75" t="str">
        <f t="shared" si="18"/>
        <v/>
      </c>
      <c r="B143" s="81"/>
      <c r="C143" s="75" t="str">
        <f t="shared" si="19"/>
        <v/>
      </c>
      <c r="D143" s="75" t="str">
        <f t="shared" si="20"/>
        <v/>
      </c>
      <c r="E143" s="14"/>
      <c r="F143" s="14"/>
      <c r="G143" s="14"/>
      <c r="H143" s="75" t="str">
        <f t="shared" si="21"/>
        <v/>
      </c>
      <c r="I143" s="77" t="str">
        <f>IF(G143="","",IFERROR(VLOOKUP(G143,'Plan Comptable'!$B$5:$C$278,2,FALSE),"Compte inconnu"))</f>
        <v/>
      </c>
      <c r="J143" s="83"/>
      <c r="K143" s="83"/>
      <c r="L143" s="14"/>
      <c r="M143" s="32" t="str">
        <f t="shared" si="16"/>
        <v/>
      </c>
      <c r="N143" s="77" t="str">
        <f t="shared" si="22"/>
        <v/>
      </c>
      <c r="O143" s="75" t="str">
        <f t="shared" si="23"/>
        <v/>
      </c>
      <c r="P143" s="79" t="str">
        <f>IF(B143="","",SUM($K$6:K143)-SUM($L$6:L143))</f>
        <v/>
      </c>
      <c r="Q143" s="75" t="str">
        <f t="shared" si="17"/>
        <v/>
      </c>
      <c r="R143" s="84"/>
      <c r="S143" s="84"/>
    </row>
    <row r="144" spans="1:19" x14ac:dyDescent="0.35">
      <c r="A144" s="75" t="str">
        <f t="shared" si="18"/>
        <v/>
      </c>
      <c r="B144" s="81"/>
      <c r="C144" s="75" t="str">
        <f t="shared" si="19"/>
        <v/>
      </c>
      <c r="D144" s="75" t="str">
        <f t="shared" si="20"/>
        <v/>
      </c>
      <c r="E144" s="14"/>
      <c r="F144" s="14"/>
      <c r="G144" s="14"/>
      <c r="H144" s="75" t="str">
        <f t="shared" si="21"/>
        <v/>
      </c>
      <c r="I144" s="77" t="str">
        <f>IF(G144="","",IFERROR(VLOOKUP(G144,'Plan Comptable'!$B$5:$C$278,2,FALSE),"Compte inconnu"))</f>
        <v/>
      </c>
      <c r="J144" s="83"/>
      <c r="K144" s="83"/>
      <c r="L144" s="14"/>
      <c r="M144" s="32" t="str">
        <f t="shared" si="16"/>
        <v/>
      </c>
      <c r="N144" s="77" t="str">
        <f t="shared" si="22"/>
        <v/>
      </c>
      <c r="O144" s="75" t="str">
        <f t="shared" si="23"/>
        <v/>
      </c>
      <c r="P144" s="79" t="str">
        <f>IF(B144="","",SUM($K$6:K144)-SUM($L$6:L144))</f>
        <v/>
      </c>
      <c r="Q144" s="75" t="str">
        <f t="shared" si="17"/>
        <v/>
      </c>
      <c r="R144" s="84"/>
      <c r="S144" s="84"/>
    </row>
    <row r="145" spans="1:19" x14ac:dyDescent="0.35">
      <c r="A145" s="75" t="str">
        <f t="shared" si="18"/>
        <v/>
      </c>
      <c r="B145" s="81"/>
      <c r="C145" s="75" t="str">
        <f t="shared" si="19"/>
        <v/>
      </c>
      <c r="D145" s="75" t="str">
        <f t="shared" si="20"/>
        <v/>
      </c>
      <c r="E145" s="14"/>
      <c r="F145" s="14"/>
      <c r="G145" s="14"/>
      <c r="H145" s="75" t="str">
        <f t="shared" si="21"/>
        <v/>
      </c>
      <c r="I145" s="77" t="str">
        <f>IF(G145="","",IFERROR(VLOOKUP(G145,'Plan Comptable'!$B$5:$C$278,2,FALSE),"Compte inconnu"))</f>
        <v/>
      </c>
      <c r="J145" s="83"/>
      <c r="K145" s="83"/>
      <c r="L145" s="14"/>
      <c r="M145" s="32" t="str">
        <f t="shared" si="16"/>
        <v/>
      </c>
      <c r="N145" s="77" t="str">
        <f t="shared" si="22"/>
        <v/>
      </c>
      <c r="O145" s="75" t="str">
        <f t="shared" si="23"/>
        <v/>
      </c>
      <c r="P145" s="79" t="str">
        <f>IF(B145="","",SUM($K$6:K145)-SUM($L$6:L145))</f>
        <v/>
      </c>
      <c r="Q145" s="75" t="str">
        <f t="shared" si="17"/>
        <v/>
      </c>
      <c r="R145" s="84"/>
      <c r="S145" s="84"/>
    </row>
    <row r="146" spans="1:19" x14ac:dyDescent="0.35">
      <c r="A146" s="75" t="str">
        <f t="shared" si="18"/>
        <v/>
      </c>
      <c r="B146" s="81"/>
      <c r="C146" s="75" t="str">
        <f t="shared" si="19"/>
        <v/>
      </c>
      <c r="D146" s="75" t="str">
        <f t="shared" si="20"/>
        <v/>
      </c>
      <c r="E146" s="14"/>
      <c r="F146" s="14"/>
      <c r="G146" s="14"/>
      <c r="H146" s="75" t="str">
        <f t="shared" si="21"/>
        <v/>
      </c>
      <c r="I146" s="77" t="str">
        <f>IF(G146="","",IFERROR(VLOOKUP(G146,'Plan Comptable'!$B$5:$C$278,2,FALSE),"Compte inconnu"))</f>
        <v/>
      </c>
      <c r="J146" s="83"/>
      <c r="K146" s="83"/>
      <c r="L146" s="14"/>
      <c r="M146" s="32" t="str">
        <f t="shared" si="16"/>
        <v/>
      </c>
      <c r="N146" s="77" t="str">
        <f t="shared" si="22"/>
        <v/>
      </c>
      <c r="O146" s="75" t="str">
        <f t="shared" si="23"/>
        <v/>
      </c>
      <c r="P146" s="79" t="str">
        <f>IF(B146="","",SUM($K$6:K146)-SUM($L$6:L146))</f>
        <v/>
      </c>
      <c r="Q146" s="75" t="str">
        <f t="shared" si="17"/>
        <v/>
      </c>
      <c r="R146" s="84"/>
      <c r="S146" s="84"/>
    </row>
    <row r="147" spans="1:19" x14ac:dyDescent="0.35">
      <c r="A147" s="75" t="str">
        <f t="shared" si="18"/>
        <v/>
      </c>
      <c r="B147" s="81"/>
      <c r="C147" s="75" t="str">
        <f t="shared" si="19"/>
        <v/>
      </c>
      <c r="D147" s="75" t="str">
        <f t="shared" si="20"/>
        <v/>
      </c>
      <c r="E147" s="14"/>
      <c r="F147" s="14"/>
      <c r="G147" s="14"/>
      <c r="H147" s="75" t="str">
        <f t="shared" si="21"/>
        <v/>
      </c>
      <c r="I147" s="77" t="str">
        <f>IF(G147="","",IFERROR(VLOOKUP(G147,'Plan Comptable'!$B$5:$C$278,2,FALSE),"Compte inconnu"))</f>
        <v/>
      </c>
      <c r="J147" s="83"/>
      <c r="K147" s="83"/>
      <c r="L147" s="14"/>
      <c r="M147" s="32" t="str">
        <f t="shared" si="16"/>
        <v/>
      </c>
      <c r="N147" s="77" t="str">
        <f t="shared" si="22"/>
        <v/>
      </c>
      <c r="O147" s="75" t="str">
        <f t="shared" si="23"/>
        <v/>
      </c>
      <c r="P147" s="79" t="str">
        <f>IF(B147="","",SUM($K$6:K147)-SUM($L$6:L147))</f>
        <v/>
      </c>
      <c r="Q147" s="75" t="str">
        <f t="shared" si="17"/>
        <v/>
      </c>
      <c r="R147" s="84"/>
      <c r="S147" s="84"/>
    </row>
    <row r="148" spans="1:19" x14ac:dyDescent="0.35">
      <c r="A148" s="75" t="str">
        <f t="shared" si="18"/>
        <v/>
      </c>
      <c r="B148" s="81"/>
      <c r="C148" s="75" t="str">
        <f t="shared" si="19"/>
        <v/>
      </c>
      <c r="D148" s="75" t="str">
        <f t="shared" si="20"/>
        <v/>
      </c>
      <c r="E148" s="14"/>
      <c r="F148" s="14"/>
      <c r="G148" s="14"/>
      <c r="H148" s="75" t="str">
        <f t="shared" si="21"/>
        <v/>
      </c>
      <c r="I148" s="77" t="str">
        <f>IF(G148="","",IFERROR(VLOOKUP(G148,'Plan Comptable'!$B$5:$C$278,2,FALSE),"Compte inconnu"))</f>
        <v/>
      </c>
      <c r="J148" s="83"/>
      <c r="K148" s="83"/>
      <c r="L148" s="14"/>
      <c r="M148" s="32" t="str">
        <f t="shared" si="16"/>
        <v/>
      </c>
      <c r="N148" s="77" t="str">
        <f t="shared" si="22"/>
        <v/>
      </c>
      <c r="O148" s="75" t="str">
        <f t="shared" si="23"/>
        <v/>
      </c>
      <c r="P148" s="79" t="str">
        <f>IF(B148="","",SUM($K$6:K148)-SUM($L$6:L148))</f>
        <v/>
      </c>
      <c r="Q148" s="75" t="str">
        <f t="shared" si="17"/>
        <v/>
      </c>
      <c r="R148" s="84"/>
      <c r="S148" s="84"/>
    </row>
    <row r="149" spans="1:19" x14ac:dyDescent="0.35">
      <c r="A149" s="75" t="str">
        <f t="shared" si="18"/>
        <v/>
      </c>
      <c r="B149" s="81"/>
      <c r="C149" s="75" t="str">
        <f t="shared" si="19"/>
        <v/>
      </c>
      <c r="D149" s="75" t="str">
        <f t="shared" si="20"/>
        <v/>
      </c>
      <c r="E149" s="14"/>
      <c r="F149" s="14"/>
      <c r="G149" s="14"/>
      <c r="H149" s="75" t="str">
        <f t="shared" si="21"/>
        <v/>
      </c>
      <c r="I149" s="77" t="str">
        <f>IF(G149="","",IFERROR(VLOOKUP(G149,'Plan Comptable'!$B$5:$C$278,2,FALSE),"Compte inconnu"))</f>
        <v/>
      </c>
      <c r="J149" s="83"/>
      <c r="K149" s="83"/>
      <c r="L149" s="14"/>
      <c r="M149" s="32" t="str">
        <f t="shared" si="16"/>
        <v/>
      </c>
      <c r="N149" s="77" t="str">
        <f t="shared" si="22"/>
        <v/>
      </c>
      <c r="O149" s="75" t="str">
        <f t="shared" si="23"/>
        <v/>
      </c>
      <c r="P149" s="79" t="str">
        <f>IF(B149="","",SUM($K$6:K149)-SUM($L$6:L149))</f>
        <v/>
      </c>
      <c r="Q149" s="75" t="str">
        <f t="shared" si="17"/>
        <v/>
      </c>
      <c r="R149" s="84"/>
      <c r="S149" s="84"/>
    </row>
    <row r="150" spans="1:19" x14ac:dyDescent="0.35">
      <c r="A150" s="75" t="str">
        <f t="shared" si="18"/>
        <v/>
      </c>
      <c r="B150" s="81"/>
      <c r="C150" s="75" t="str">
        <f t="shared" si="19"/>
        <v/>
      </c>
      <c r="D150" s="75" t="str">
        <f t="shared" si="20"/>
        <v/>
      </c>
      <c r="E150" s="14"/>
      <c r="F150" s="14"/>
      <c r="G150" s="14"/>
      <c r="H150" s="75" t="str">
        <f t="shared" si="21"/>
        <v/>
      </c>
      <c r="I150" s="77" t="str">
        <f>IF(G150="","",IFERROR(VLOOKUP(G150,'Plan Comptable'!$B$5:$C$278,2,FALSE),"Compte inconnu"))</f>
        <v/>
      </c>
      <c r="J150" s="83"/>
      <c r="K150" s="83"/>
      <c r="L150" s="14"/>
      <c r="M150" s="32" t="str">
        <f t="shared" si="16"/>
        <v/>
      </c>
      <c r="N150" s="77" t="str">
        <f t="shared" si="22"/>
        <v/>
      </c>
      <c r="O150" s="75" t="str">
        <f t="shared" si="23"/>
        <v/>
      </c>
      <c r="P150" s="79" t="str">
        <f>IF(B150="","",SUM($K$6:K150)-SUM($L$6:L150))</f>
        <v/>
      </c>
      <c r="Q150" s="75" t="str">
        <f t="shared" si="17"/>
        <v/>
      </c>
      <c r="R150" s="84"/>
      <c r="S150" s="84"/>
    </row>
    <row r="151" spans="1:19" x14ac:dyDescent="0.35">
      <c r="A151" s="75" t="str">
        <f t="shared" si="18"/>
        <v/>
      </c>
      <c r="B151" s="81"/>
      <c r="C151" s="75" t="str">
        <f t="shared" si="19"/>
        <v/>
      </c>
      <c r="D151" s="75" t="str">
        <f t="shared" si="20"/>
        <v/>
      </c>
      <c r="E151" s="14"/>
      <c r="F151" s="14"/>
      <c r="G151" s="14"/>
      <c r="H151" s="75" t="str">
        <f t="shared" si="21"/>
        <v/>
      </c>
      <c r="I151" s="77" t="str">
        <f>IF(G151="","",IFERROR(VLOOKUP(G151,'Plan Comptable'!$B$5:$C$278,2,FALSE),"Compte inconnu"))</f>
        <v/>
      </c>
      <c r="J151" s="83"/>
      <c r="K151" s="83"/>
      <c r="L151" s="14"/>
      <c r="M151" s="32" t="str">
        <f t="shared" si="16"/>
        <v/>
      </c>
      <c r="N151" s="77" t="str">
        <f t="shared" si="22"/>
        <v/>
      </c>
      <c r="O151" s="75" t="str">
        <f t="shared" si="23"/>
        <v/>
      </c>
      <c r="P151" s="79" t="str">
        <f>IF(B151="","",SUM($K$6:K151)-SUM($L$6:L151))</f>
        <v/>
      </c>
      <c r="Q151" s="75" t="str">
        <f t="shared" si="17"/>
        <v/>
      </c>
      <c r="R151" s="84"/>
      <c r="S151" s="84"/>
    </row>
    <row r="152" spans="1:19" x14ac:dyDescent="0.35">
      <c r="A152" s="75" t="str">
        <f t="shared" si="18"/>
        <v/>
      </c>
      <c r="B152" s="81"/>
      <c r="C152" s="75" t="str">
        <f t="shared" si="19"/>
        <v/>
      </c>
      <c r="D152" s="75" t="str">
        <f t="shared" si="20"/>
        <v/>
      </c>
      <c r="E152" s="14"/>
      <c r="F152" s="14"/>
      <c r="G152" s="14"/>
      <c r="H152" s="75" t="str">
        <f t="shared" si="21"/>
        <v/>
      </c>
      <c r="I152" s="77" t="str">
        <f>IF(G152="","",IFERROR(VLOOKUP(G152,'Plan Comptable'!$B$5:$C$278,2,FALSE),"Compte inconnu"))</f>
        <v/>
      </c>
      <c r="J152" s="83"/>
      <c r="K152" s="83"/>
      <c r="L152" s="14"/>
      <c r="M152" s="32" t="str">
        <f t="shared" si="16"/>
        <v/>
      </c>
      <c r="N152" s="77" t="str">
        <f t="shared" si="22"/>
        <v/>
      </c>
      <c r="O152" s="75" t="str">
        <f t="shared" si="23"/>
        <v/>
      </c>
      <c r="P152" s="79" t="str">
        <f>IF(B152="","",SUM($K$6:K152)-SUM($L$6:L152))</f>
        <v/>
      </c>
      <c r="Q152" s="75" t="str">
        <f t="shared" si="17"/>
        <v/>
      </c>
      <c r="R152" s="84"/>
      <c r="S152" s="84"/>
    </row>
    <row r="153" spans="1:19" x14ac:dyDescent="0.35">
      <c r="A153" s="75" t="str">
        <f t="shared" si="18"/>
        <v/>
      </c>
      <c r="B153" s="81"/>
      <c r="C153" s="75" t="str">
        <f t="shared" si="19"/>
        <v/>
      </c>
      <c r="D153" s="75" t="str">
        <f t="shared" si="20"/>
        <v/>
      </c>
      <c r="E153" s="14"/>
      <c r="F153" s="14"/>
      <c r="G153" s="14"/>
      <c r="H153" s="75" t="str">
        <f t="shared" si="21"/>
        <v/>
      </c>
      <c r="I153" s="77" t="str">
        <f>IF(G153="","",IFERROR(VLOOKUP(G153,'Plan Comptable'!$B$5:$C$278,2,FALSE),"Compte inconnu"))</f>
        <v/>
      </c>
      <c r="J153" s="83"/>
      <c r="K153" s="83"/>
      <c r="L153" s="14"/>
      <c r="M153" s="32" t="str">
        <f t="shared" si="16"/>
        <v/>
      </c>
      <c r="N153" s="77" t="str">
        <f t="shared" si="22"/>
        <v/>
      </c>
      <c r="O153" s="75" t="str">
        <f t="shared" si="23"/>
        <v/>
      </c>
      <c r="P153" s="79" t="str">
        <f>IF(B153="","",SUM($K$6:K153)-SUM($L$6:L153))</f>
        <v/>
      </c>
      <c r="Q153" s="75" t="str">
        <f t="shared" si="17"/>
        <v/>
      </c>
      <c r="R153" s="84"/>
      <c r="S153" s="84"/>
    </row>
    <row r="154" spans="1:19" x14ac:dyDescent="0.35">
      <c r="A154" s="75" t="str">
        <f t="shared" si="18"/>
        <v/>
      </c>
      <c r="B154" s="81"/>
      <c r="C154" s="75" t="str">
        <f t="shared" si="19"/>
        <v/>
      </c>
      <c r="D154" s="75" t="str">
        <f t="shared" si="20"/>
        <v/>
      </c>
      <c r="E154" s="14"/>
      <c r="F154" s="14"/>
      <c r="G154" s="14"/>
      <c r="H154" s="75" t="str">
        <f t="shared" si="21"/>
        <v/>
      </c>
      <c r="I154" s="77" t="str">
        <f>IF(G154="","",IFERROR(VLOOKUP(G154,'Plan Comptable'!$B$5:$C$278,2,FALSE),"Compte inconnu"))</f>
        <v/>
      </c>
      <c r="J154" s="83"/>
      <c r="K154" s="83"/>
      <c r="L154" s="14"/>
      <c r="M154" s="32" t="str">
        <f t="shared" si="16"/>
        <v/>
      </c>
      <c r="N154" s="77" t="str">
        <f t="shared" si="22"/>
        <v/>
      </c>
      <c r="O154" s="75" t="str">
        <f t="shared" si="23"/>
        <v/>
      </c>
      <c r="P154" s="79" t="str">
        <f>IF(B154="","",SUM($K$6:K154)-SUM($L$6:L154))</f>
        <v/>
      </c>
      <c r="Q154" s="75" t="str">
        <f t="shared" si="17"/>
        <v/>
      </c>
      <c r="R154" s="84"/>
      <c r="S154" s="84"/>
    </row>
    <row r="155" spans="1:19" x14ac:dyDescent="0.35">
      <c r="A155" s="75" t="str">
        <f t="shared" si="18"/>
        <v/>
      </c>
      <c r="B155" s="81"/>
      <c r="C155" s="75" t="str">
        <f t="shared" si="19"/>
        <v/>
      </c>
      <c r="D155" s="75" t="str">
        <f t="shared" si="20"/>
        <v/>
      </c>
      <c r="E155" s="14"/>
      <c r="F155" s="14"/>
      <c r="G155" s="14"/>
      <c r="H155" s="75" t="str">
        <f t="shared" si="21"/>
        <v/>
      </c>
      <c r="I155" s="77" t="str">
        <f>IF(G155="","",IFERROR(VLOOKUP(G155,'Plan Comptable'!$B$5:$C$278,2,FALSE),"Compte inconnu"))</f>
        <v/>
      </c>
      <c r="J155" s="83"/>
      <c r="K155" s="83"/>
      <c r="L155" s="14"/>
      <c r="M155" s="32" t="str">
        <f t="shared" si="16"/>
        <v/>
      </c>
      <c r="N155" s="77" t="str">
        <f t="shared" si="22"/>
        <v/>
      </c>
      <c r="O155" s="75" t="str">
        <f t="shared" si="23"/>
        <v/>
      </c>
      <c r="P155" s="79" t="str">
        <f>IF(B155="","",SUM($K$6:K155)-SUM($L$6:L155))</f>
        <v/>
      </c>
      <c r="Q155" s="75" t="str">
        <f t="shared" si="17"/>
        <v/>
      </c>
      <c r="R155" s="84"/>
      <c r="S155" s="84"/>
    </row>
    <row r="156" spans="1:19" x14ac:dyDescent="0.35">
      <c r="A156" s="75" t="str">
        <f t="shared" si="18"/>
        <v/>
      </c>
      <c r="B156" s="81"/>
      <c r="C156" s="75" t="str">
        <f t="shared" si="19"/>
        <v/>
      </c>
      <c r="D156" s="75" t="str">
        <f t="shared" si="20"/>
        <v/>
      </c>
      <c r="E156" s="14"/>
      <c r="F156" s="14"/>
      <c r="G156" s="14"/>
      <c r="H156" s="75" t="str">
        <f t="shared" si="21"/>
        <v/>
      </c>
      <c r="I156" s="77" t="str">
        <f>IF(G156="","",IFERROR(VLOOKUP(G156,'Plan Comptable'!$B$5:$C$278,2,FALSE),"Compte inconnu"))</f>
        <v/>
      </c>
      <c r="J156" s="83"/>
      <c r="K156" s="83"/>
      <c r="L156" s="14"/>
      <c r="M156" s="32" t="str">
        <f t="shared" si="16"/>
        <v/>
      </c>
      <c r="N156" s="77" t="str">
        <f t="shared" si="22"/>
        <v/>
      </c>
      <c r="O156" s="75" t="str">
        <f t="shared" si="23"/>
        <v/>
      </c>
      <c r="P156" s="79" t="str">
        <f>IF(B156="","",SUM($K$6:K156)-SUM($L$6:L156))</f>
        <v/>
      </c>
      <c r="Q156" s="75" t="str">
        <f t="shared" si="17"/>
        <v/>
      </c>
      <c r="R156" s="84"/>
      <c r="S156" s="84"/>
    </row>
    <row r="157" spans="1:19" x14ac:dyDescent="0.35">
      <c r="A157" s="75" t="str">
        <f t="shared" si="18"/>
        <v/>
      </c>
      <c r="B157" s="81"/>
      <c r="C157" s="75" t="str">
        <f t="shared" si="19"/>
        <v/>
      </c>
      <c r="D157" s="75" t="str">
        <f t="shared" si="20"/>
        <v/>
      </c>
      <c r="E157" s="14"/>
      <c r="F157" s="14"/>
      <c r="G157" s="14"/>
      <c r="H157" s="75" t="str">
        <f t="shared" si="21"/>
        <v/>
      </c>
      <c r="I157" s="77" t="str">
        <f>IF(G157="","",IFERROR(VLOOKUP(G157,'Plan Comptable'!$B$5:$C$278,2,FALSE),"Compte inconnu"))</f>
        <v/>
      </c>
      <c r="J157" s="83"/>
      <c r="K157" s="83"/>
      <c r="L157" s="14"/>
      <c r="M157" s="32" t="str">
        <f t="shared" si="16"/>
        <v/>
      </c>
      <c r="N157" s="77" t="str">
        <f t="shared" si="22"/>
        <v/>
      </c>
      <c r="O157" s="75" t="str">
        <f t="shared" si="23"/>
        <v/>
      </c>
      <c r="P157" s="79" t="str">
        <f>IF(B157="","",SUM($K$6:K157)-SUM($L$6:L157))</f>
        <v/>
      </c>
      <c r="Q157" s="75" t="str">
        <f t="shared" si="17"/>
        <v/>
      </c>
      <c r="R157" s="84"/>
      <c r="S157" s="84"/>
    </row>
    <row r="158" spans="1:19" x14ac:dyDescent="0.35">
      <c r="A158" s="75" t="str">
        <f t="shared" si="18"/>
        <v/>
      </c>
      <c r="B158" s="81"/>
      <c r="C158" s="75" t="str">
        <f t="shared" si="19"/>
        <v/>
      </c>
      <c r="D158" s="75" t="str">
        <f t="shared" si="20"/>
        <v/>
      </c>
      <c r="E158" s="14"/>
      <c r="F158" s="14"/>
      <c r="G158" s="14"/>
      <c r="H158" s="75" t="str">
        <f t="shared" si="21"/>
        <v/>
      </c>
      <c r="I158" s="77" t="str">
        <f>IF(G158="","",IFERROR(VLOOKUP(G158,'Plan Comptable'!$B$5:$C$278,2,FALSE),"Compte inconnu"))</f>
        <v/>
      </c>
      <c r="J158" s="83"/>
      <c r="K158" s="83"/>
      <c r="L158" s="14"/>
      <c r="M158" s="32" t="str">
        <f t="shared" si="16"/>
        <v/>
      </c>
      <c r="N158" s="77" t="str">
        <f t="shared" si="22"/>
        <v/>
      </c>
      <c r="O158" s="75" t="str">
        <f t="shared" si="23"/>
        <v/>
      </c>
      <c r="P158" s="79" t="str">
        <f>IF(B158="","",SUM($K$6:K158)-SUM($L$6:L158))</f>
        <v/>
      </c>
      <c r="Q158" s="75" t="str">
        <f t="shared" si="17"/>
        <v/>
      </c>
      <c r="R158" s="84"/>
      <c r="S158" s="84"/>
    </row>
    <row r="159" spans="1:19" x14ac:dyDescent="0.35">
      <c r="A159" s="75" t="str">
        <f t="shared" si="18"/>
        <v/>
      </c>
      <c r="B159" s="81"/>
      <c r="C159" s="75" t="str">
        <f t="shared" si="19"/>
        <v/>
      </c>
      <c r="D159" s="75" t="str">
        <f t="shared" si="20"/>
        <v/>
      </c>
      <c r="E159" s="14"/>
      <c r="F159" s="14"/>
      <c r="G159" s="14"/>
      <c r="H159" s="75" t="str">
        <f t="shared" si="21"/>
        <v/>
      </c>
      <c r="I159" s="77" t="str">
        <f>IF(G159="","",IFERROR(VLOOKUP(G159,'Plan Comptable'!$B$5:$C$278,2,FALSE),"Compte inconnu"))</f>
        <v/>
      </c>
      <c r="J159" s="83"/>
      <c r="K159" s="83"/>
      <c r="L159" s="14"/>
      <c r="M159" s="32" t="str">
        <f t="shared" si="16"/>
        <v/>
      </c>
      <c r="N159" s="77" t="str">
        <f t="shared" si="22"/>
        <v/>
      </c>
      <c r="O159" s="75" t="str">
        <f t="shared" si="23"/>
        <v/>
      </c>
      <c r="P159" s="79" t="str">
        <f>IF(B159="","",SUM($K$6:K159)-SUM($L$6:L159))</f>
        <v/>
      </c>
      <c r="Q159" s="75" t="str">
        <f t="shared" si="17"/>
        <v/>
      </c>
      <c r="R159" s="84"/>
      <c r="S159" s="84"/>
    </row>
    <row r="160" spans="1:19" x14ac:dyDescent="0.35">
      <c r="A160" s="75" t="str">
        <f t="shared" si="18"/>
        <v/>
      </c>
      <c r="B160" s="81"/>
      <c r="C160" s="75" t="str">
        <f t="shared" si="19"/>
        <v/>
      </c>
      <c r="D160" s="75" t="str">
        <f t="shared" si="20"/>
        <v/>
      </c>
      <c r="E160" s="14"/>
      <c r="F160" s="14"/>
      <c r="G160" s="14"/>
      <c r="H160" s="75" t="str">
        <f t="shared" si="21"/>
        <v/>
      </c>
      <c r="I160" s="77" t="str">
        <f>IF(G160="","",IFERROR(VLOOKUP(G160,'Plan Comptable'!$B$5:$C$278,2,FALSE),"Compte inconnu"))</f>
        <v/>
      </c>
      <c r="J160" s="83"/>
      <c r="K160" s="83"/>
      <c r="L160" s="14"/>
      <c r="M160" s="32" t="str">
        <f t="shared" si="16"/>
        <v/>
      </c>
      <c r="N160" s="77" t="str">
        <f t="shared" si="22"/>
        <v/>
      </c>
      <c r="O160" s="75" t="str">
        <f t="shared" si="23"/>
        <v/>
      </c>
      <c r="P160" s="79" t="str">
        <f>IF(B160="","",SUM($K$6:K160)-SUM($L$6:L160))</f>
        <v/>
      </c>
      <c r="Q160" s="75" t="str">
        <f t="shared" si="17"/>
        <v/>
      </c>
      <c r="R160" s="84"/>
      <c r="S160" s="84"/>
    </row>
    <row r="161" spans="1:19" x14ac:dyDescent="0.35">
      <c r="A161" s="75" t="str">
        <f t="shared" si="18"/>
        <v/>
      </c>
      <c r="B161" s="81"/>
      <c r="C161" s="75" t="str">
        <f t="shared" si="19"/>
        <v/>
      </c>
      <c r="D161" s="75" t="str">
        <f t="shared" si="20"/>
        <v/>
      </c>
      <c r="E161" s="14"/>
      <c r="F161" s="14"/>
      <c r="G161" s="14"/>
      <c r="H161" s="75" t="str">
        <f t="shared" si="21"/>
        <v/>
      </c>
      <c r="I161" s="77" t="str">
        <f>IF(G161="","",IFERROR(VLOOKUP(G161,'Plan Comptable'!$B$5:$C$278,2,FALSE),"Compte inconnu"))</f>
        <v/>
      </c>
      <c r="J161" s="83"/>
      <c r="K161" s="83"/>
      <c r="L161" s="14"/>
      <c r="M161" s="32" t="str">
        <f t="shared" si="16"/>
        <v/>
      </c>
      <c r="N161" s="77" t="str">
        <f t="shared" si="22"/>
        <v/>
      </c>
      <c r="O161" s="75" t="str">
        <f t="shared" si="23"/>
        <v/>
      </c>
      <c r="P161" s="79" t="str">
        <f>IF(B161="","",SUM($K$6:K161)-SUM($L$6:L161))</f>
        <v/>
      </c>
      <c r="Q161" s="75" t="str">
        <f t="shared" si="17"/>
        <v/>
      </c>
      <c r="R161" s="84"/>
      <c r="S161" s="84"/>
    </row>
    <row r="162" spans="1:19" x14ac:dyDescent="0.35">
      <c r="A162" s="75" t="str">
        <f t="shared" si="18"/>
        <v/>
      </c>
      <c r="B162" s="81"/>
      <c r="C162" s="75" t="str">
        <f t="shared" si="19"/>
        <v/>
      </c>
      <c r="D162" s="75" t="str">
        <f t="shared" si="20"/>
        <v/>
      </c>
      <c r="E162" s="14"/>
      <c r="F162" s="14"/>
      <c r="G162" s="14"/>
      <c r="H162" s="75" t="str">
        <f t="shared" si="21"/>
        <v/>
      </c>
      <c r="I162" s="77" t="str">
        <f>IF(G162="","",IFERROR(VLOOKUP(G162,'Plan Comptable'!$B$5:$C$278,2,FALSE),"Compte inconnu"))</f>
        <v/>
      </c>
      <c r="J162" s="83"/>
      <c r="K162" s="83"/>
      <c r="L162" s="14"/>
      <c r="M162" s="32" t="str">
        <f t="shared" si="16"/>
        <v/>
      </c>
      <c r="N162" s="77" t="str">
        <f t="shared" si="22"/>
        <v/>
      </c>
      <c r="O162" s="75" t="str">
        <f t="shared" si="23"/>
        <v/>
      </c>
      <c r="P162" s="79" t="str">
        <f>IF(B162="","",SUM($K$6:K162)-SUM($L$6:L162))</f>
        <v/>
      </c>
      <c r="Q162" s="75" t="str">
        <f t="shared" si="17"/>
        <v/>
      </c>
      <c r="R162" s="84"/>
      <c r="S162" s="84"/>
    </row>
    <row r="163" spans="1:19" x14ac:dyDescent="0.35">
      <c r="A163" s="75" t="str">
        <f t="shared" si="18"/>
        <v/>
      </c>
      <c r="B163" s="81"/>
      <c r="C163" s="75" t="str">
        <f t="shared" si="19"/>
        <v/>
      </c>
      <c r="D163" s="75" t="str">
        <f t="shared" si="20"/>
        <v/>
      </c>
      <c r="E163" s="14"/>
      <c r="F163" s="14"/>
      <c r="G163" s="14"/>
      <c r="H163" s="75" t="str">
        <f t="shared" si="21"/>
        <v/>
      </c>
      <c r="I163" s="77" t="str">
        <f>IF(G163="","",IFERROR(VLOOKUP(G163,'Plan Comptable'!$B$5:$C$278,2,FALSE),"Compte inconnu"))</f>
        <v/>
      </c>
      <c r="J163" s="83"/>
      <c r="K163" s="83"/>
      <c r="L163" s="14"/>
      <c r="M163" s="32" t="str">
        <f t="shared" si="16"/>
        <v/>
      </c>
      <c r="N163" s="77" t="str">
        <f t="shared" si="22"/>
        <v/>
      </c>
      <c r="O163" s="75" t="str">
        <f t="shared" si="23"/>
        <v/>
      </c>
      <c r="P163" s="79" t="str">
        <f>IF(B163="","",SUM($K$6:K163)-SUM($L$6:L163))</f>
        <v/>
      </c>
      <c r="Q163" s="75" t="str">
        <f t="shared" si="17"/>
        <v/>
      </c>
      <c r="R163" s="84"/>
      <c r="S163" s="84"/>
    </row>
    <row r="164" spans="1:19" x14ac:dyDescent="0.35">
      <c r="A164" s="75" t="str">
        <f t="shared" si="18"/>
        <v/>
      </c>
      <c r="B164" s="81"/>
      <c r="C164" s="75" t="str">
        <f t="shared" si="19"/>
        <v/>
      </c>
      <c r="D164" s="75" t="str">
        <f t="shared" si="20"/>
        <v/>
      </c>
      <c r="E164" s="14"/>
      <c r="F164" s="14"/>
      <c r="G164" s="14"/>
      <c r="H164" s="75" t="str">
        <f t="shared" si="21"/>
        <v/>
      </c>
      <c r="I164" s="77" t="str">
        <f>IF(G164="","",IFERROR(VLOOKUP(G164,'Plan Comptable'!$B$5:$C$278,2,FALSE),"Compte inconnu"))</f>
        <v/>
      </c>
      <c r="J164" s="83"/>
      <c r="K164" s="83"/>
      <c r="L164" s="14"/>
      <c r="M164" s="32" t="str">
        <f t="shared" si="16"/>
        <v/>
      </c>
      <c r="N164" s="77" t="str">
        <f t="shared" si="22"/>
        <v/>
      </c>
      <c r="O164" s="75" t="str">
        <f t="shared" si="23"/>
        <v/>
      </c>
      <c r="P164" s="79" t="str">
        <f>IF(B164="","",SUM($K$6:K164)-SUM($L$6:L164))</f>
        <v/>
      </c>
      <c r="Q164" s="75" t="str">
        <f t="shared" si="17"/>
        <v/>
      </c>
      <c r="R164" s="84"/>
      <c r="S164" s="84"/>
    </row>
    <row r="165" spans="1:19" x14ac:dyDescent="0.35">
      <c r="A165" s="75" t="str">
        <f t="shared" si="18"/>
        <v/>
      </c>
      <c r="B165" s="81"/>
      <c r="C165" s="75" t="str">
        <f t="shared" si="19"/>
        <v/>
      </c>
      <c r="D165" s="75" t="str">
        <f t="shared" si="20"/>
        <v/>
      </c>
      <c r="E165" s="14"/>
      <c r="F165" s="14"/>
      <c r="G165" s="14"/>
      <c r="H165" s="75" t="str">
        <f t="shared" si="21"/>
        <v/>
      </c>
      <c r="I165" s="77" t="str">
        <f>IF(G165="","",IFERROR(VLOOKUP(G165,'Plan Comptable'!$B$5:$C$278,2,FALSE),"Compte inconnu"))</f>
        <v/>
      </c>
      <c r="J165" s="83"/>
      <c r="K165" s="83"/>
      <c r="L165" s="14"/>
      <c r="M165" s="32" t="str">
        <f t="shared" si="16"/>
        <v/>
      </c>
      <c r="N165" s="77" t="str">
        <f t="shared" si="22"/>
        <v/>
      </c>
      <c r="O165" s="75" t="str">
        <f t="shared" si="23"/>
        <v/>
      </c>
      <c r="P165" s="79" t="str">
        <f>IF(B165="","",SUM($K$6:K165)-SUM($L$6:L165))</f>
        <v/>
      </c>
      <c r="Q165" s="75" t="str">
        <f t="shared" si="17"/>
        <v/>
      </c>
      <c r="R165" s="84"/>
      <c r="S165" s="84"/>
    </row>
    <row r="166" spans="1:19" x14ac:dyDescent="0.35">
      <c r="A166" s="75" t="str">
        <f t="shared" si="18"/>
        <v/>
      </c>
      <c r="B166" s="81"/>
      <c r="C166" s="75" t="str">
        <f t="shared" si="19"/>
        <v/>
      </c>
      <c r="D166" s="75" t="str">
        <f t="shared" si="20"/>
        <v/>
      </c>
      <c r="E166" s="14"/>
      <c r="F166" s="14"/>
      <c r="G166" s="14"/>
      <c r="H166" s="75" t="str">
        <f t="shared" si="21"/>
        <v/>
      </c>
      <c r="I166" s="77" t="str">
        <f>IF(G166="","",IFERROR(VLOOKUP(G166,'Plan Comptable'!$B$5:$C$278,2,FALSE),"Compte inconnu"))</f>
        <v/>
      </c>
      <c r="J166" s="83"/>
      <c r="K166" s="83"/>
      <c r="L166" s="14"/>
      <c r="M166" s="32" t="str">
        <f t="shared" si="16"/>
        <v/>
      </c>
      <c r="N166" s="77" t="str">
        <f t="shared" si="22"/>
        <v/>
      </c>
      <c r="O166" s="75" t="str">
        <f t="shared" si="23"/>
        <v/>
      </c>
      <c r="P166" s="79" t="str">
        <f>IF(B166="","",SUM($K$6:K166)-SUM($L$6:L166))</f>
        <v/>
      </c>
      <c r="Q166" s="75" t="str">
        <f t="shared" si="17"/>
        <v/>
      </c>
      <c r="R166" s="84"/>
      <c r="S166" s="84"/>
    </row>
    <row r="167" spans="1:19" x14ac:dyDescent="0.35">
      <c r="A167" s="75" t="str">
        <f t="shared" si="18"/>
        <v/>
      </c>
      <c r="B167" s="81"/>
      <c r="C167" s="75" t="str">
        <f t="shared" si="19"/>
        <v/>
      </c>
      <c r="D167" s="75" t="str">
        <f t="shared" si="20"/>
        <v/>
      </c>
      <c r="E167" s="14"/>
      <c r="F167" s="14"/>
      <c r="G167" s="14"/>
      <c r="H167" s="75" t="str">
        <f t="shared" si="21"/>
        <v/>
      </c>
      <c r="I167" s="77" t="str">
        <f>IF(G167="","",IFERROR(VLOOKUP(G167,'Plan Comptable'!$B$5:$C$278,2,FALSE),"Compte inconnu"))</f>
        <v/>
      </c>
      <c r="J167" s="83"/>
      <c r="K167" s="83"/>
      <c r="L167" s="14"/>
      <c r="M167" s="32" t="str">
        <f t="shared" si="16"/>
        <v/>
      </c>
      <c r="N167" s="77" t="str">
        <f t="shared" si="22"/>
        <v/>
      </c>
      <c r="O167" s="75" t="str">
        <f t="shared" si="23"/>
        <v/>
      </c>
      <c r="P167" s="79" t="str">
        <f>IF(B167="","",SUM($K$6:K167)-SUM($L$6:L167))</f>
        <v/>
      </c>
      <c r="Q167" s="75" t="str">
        <f t="shared" si="17"/>
        <v/>
      </c>
      <c r="R167" s="84"/>
      <c r="S167" s="84"/>
    </row>
    <row r="168" spans="1:19" x14ac:dyDescent="0.35">
      <c r="A168" s="75" t="str">
        <f t="shared" si="18"/>
        <v/>
      </c>
      <c r="B168" s="81"/>
      <c r="C168" s="75" t="str">
        <f t="shared" si="19"/>
        <v/>
      </c>
      <c r="D168" s="75" t="str">
        <f t="shared" si="20"/>
        <v/>
      </c>
      <c r="E168" s="14"/>
      <c r="F168" s="14"/>
      <c r="G168" s="14"/>
      <c r="H168" s="75" t="str">
        <f t="shared" si="21"/>
        <v/>
      </c>
      <c r="I168" s="77" t="str">
        <f>IF(G168="","",IFERROR(VLOOKUP(G168,'Plan Comptable'!$B$5:$C$278,2,FALSE),"Compte inconnu"))</f>
        <v/>
      </c>
      <c r="J168" s="83"/>
      <c r="K168" s="83"/>
      <c r="L168" s="14"/>
      <c r="M168" s="32" t="str">
        <f t="shared" si="16"/>
        <v/>
      </c>
      <c r="N168" s="77" t="str">
        <f t="shared" si="22"/>
        <v/>
      </c>
      <c r="O168" s="75" t="str">
        <f t="shared" si="23"/>
        <v/>
      </c>
      <c r="P168" s="79" t="str">
        <f>IF(B168="","",SUM($K$6:K168)-SUM($L$6:L168))</f>
        <v/>
      </c>
      <c r="Q168" s="75" t="str">
        <f t="shared" si="17"/>
        <v/>
      </c>
      <c r="R168" s="84"/>
      <c r="S168" s="84"/>
    </row>
    <row r="169" spans="1:19" x14ac:dyDescent="0.35">
      <c r="A169" s="75" t="str">
        <f t="shared" si="18"/>
        <v/>
      </c>
      <c r="B169" s="81"/>
      <c r="C169" s="75" t="str">
        <f t="shared" si="19"/>
        <v/>
      </c>
      <c r="D169" s="75" t="str">
        <f t="shared" si="20"/>
        <v/>
      </c>
      <c r="E169" s="14"/>
      <c r="F169" s="14"/>
      <c r="G169" s="14"/>
      <c r="H169" s="75" t="str">
        <f t="shared" si="21"/>
        <v/>
      </c>
      <c r="I169" s="77" t="str">
        <f>IF(G169="","",IFERROR(VLOOKUP(G169,'Plan Comptable'!$B$5:$C$278,2,FALSE),"Compte inconnu"))</f>
        <v/>
      </c>
      <c r="J169" s="83"/>
      <c r="K169" s="83"/>
      <c r="L169" s="14"/>
      <c r="M169" s="32" t="str">
        <f t="shared" si="16"/>
        <v/>
      </c>
      <c r="N169" s="77" t="str">
        <f t="shared" si="22"/>
        <v/>
      </c>
      <c r="O169" s="75" t="str">
        <f t="shared" si="23"/>
        <v/>
      </c>
      <c r="P169" s="79" t="str">
        <f>IF(B169="","",SUM($K$6:K169)-SUM($L$6:L169))</f>
        <v/>
      </c>
      <c r="Q169" s="75" t="str">
        <f t="shared" si="17"/>
        <v/>
      </c>
      <c r="R169" s="84"/>
      <c r="S169" s="84"/>
    </row>
    <row r="170" spans="1:19" x14ac:dyDescent="0.35">
      <c r="A170" s="75" t="str">
        <f t="shared" si="18"/>
        <v/>
      </c>
      <c r="B170" s="81"/>
      <c r="C170" s="75" t="str">
        <f t="shared" si="19"/>
        <v/>
      </c>
      <c r="D170" s="75" t="str">
        <f t="shared" si="20"/>
        <v/>
      </c>
      <c r="E170" s="14"/>
      <c r="F170" s="14"/>
      <c r="G170" s="14"/>
      <c r="H170" s="75" t="str">
        <f t="shared" si="21"/>
        <v/>
      </c>
      <c r="I170" s="77" t="str">
        <f>IF(G170="","",IFERROR(VLOOKUP(G170,'Plan Comptable'!$B$5:$C$278,2,FALSE),"Compte inconnu"))</f>
        <v/>
      </c>
      <c r="J170" s="83"/>
      <c r="K170" s="83"/>
      <c r="L170" s="14"/>
      <c r="M170" s="32" t="str">
        <f t="shared" si="16"/>
        <v/>
      </c>
      <c r="N170" s="77" t="str">
        <f t="shared" si="22"/>
        <v/>
      </c>
      <c r="O170" s="75" t="str">
        <f t="shared" si="23"/>
        <v/>
      </c>
      <c r="P170" s="79" t="str">
        <f>IF(B170="","",SUM($K$6:K170)-SUM($L$6:L170))</f>
        <v/>
      </c>
      <c r="Q170" s="75" t="str">
        <f t="shared" si="17"/>
        <v/>
      </c>
      <c r="R170" s="84"/>
      <c r="S170" s="84"/>
    </row>
    <row r="171" spans="1:19" x14ac:dyDescent="0.35">
      <c r="A171" s="75" t="str">
        <f t="shared" si="18"/>
        <v/>
      </c>
      <c r="B171" s="81"/>
      <c r="C171" s="75" t="str">
        <f t="shared" si="19"/>
        <v/>
      </c>
      <c r="D171" s="75" t="str">
        <f t="shared" si="20"/>
        <v/>
      </c>
      <c r="E171" s="14"/>
      <c r="F171" s="14"/>
      <c r="G171" s="14"/>
      <c r="H171" s="75" t="str">
        <f t="shared" si="21"/>
        <v/>
      </c>
      <c r="I171" s="77" t="str">
        <f>IF(G171="","",IFERROR(VLOOKUP(G171,'Plan Comptable'!$B$5:$C$278,2,FALSE),"Compte inconnu"))</f>
        <v/>
      </c>
      <c r="J171" s="83"/>
      <c r="K171" s="83"/>
      <c r="L171" s="14"/>
      <c r="M171" s="32" t="str">
        <f t="shared" si="16"/>
        <v/>
      </c>
      <c r="N171" s="77" t="str">
        <f t="shared" si="22"/>
        <v/>
      </c>
      <c r="O171" s="75" t="str">
        <f t="shared" si="23"/>
        <v/>
      </c>
      <c r="P171" s="79" t="str">
        <f>IF(B171="","",SUM($K$6:K171)-SUM($L$6:L171))</f>
        <v/>
      </c>
      <c r="Q171" s="75" t="str">
        <f t="shared" si="17"/>
        <v/>
      </c>
      <c r="R171" s="84"/>
      <c r="S171" s="84"/>
    </row>
    <row r="172" spans="1:19" x14ac:dyDescent="0.35">
      <c r="A172" s="75" t="str">
        <f t="shared" si="18"/>
        <v/>
      </c>
      <c r="B172" s="81"/>
      <c r="C172" s="75" t="str">
        <f t="shared" si="19"/>
        <v/>
      </c>
      <c r="D172" s="75" t="str">
        <f t="shared" si="20"/>
        <v/>
      </c>
      <c r="E172" s="14"/>
      <c r="F172" s="14"/>
      <c r="G172" s="14"/>
      <c r="H172" s="75" t="str">
        <f t="shared" si="21"/>
        <v/>
      </c>
      <c r="I172" s="77" t="str">
        <f>IF(G172="","",IFERROR(VLOOKUP(G172,'Plan Comptable'!$B$5:$C$278,2,FALSE),"Compte inconnu"))</f>
        <v/>
      </c>
      <c r="J172" s="83"/>
      <c r="K172" s="83"/>
      <c r="L172" s="14"/>
      <c r="M172" s="32" t="str">
        <f t="shared" si="16"/>
        <v/>
      </c>
      <c r="N172" s="77" t="str">
        <f t="shared" si="22"/>
        <v/>
      </c>
      <c r="O172" s="75" t="str">
        <f t="shared" si="23"/>
        <v/>
      </c>
      <c r="P172" s="79" t="str">
        <f>IF(B172="","",SUM($K$6:K172)-SUM($L$6:L172))</f>
        <v/>
      </c>
      <c r="Q172" s="75" t="str">
        <f t="shared" si="17"/>
        <v/>
      </c>
      <c r="R172" s="84"/>
      <c r="S172" s="84"/>
    </row>
    <row r="173" spans="1:19" x14ac:dyDescent="0.35">
      <c r="A173" s="75" t="str">
        <f t="shared" si="18"/>
        <v/>
      </c>
      <c r="B173" s="81"/>
      <c r="C173" s="75" t="str">
        <f t="shared" si="19"/>
        <v/>
      </c>
      <c r="D173" s="75" t="str">
        <f t="shared" si="20"/>
        <v/>
      </c>
      <c r="E173" s="14"/>
      <c r="F173" s="14"/>
      <c r="G173" s="14"/>
      <c r="H173" s="75" t="str">
        <f t="shared" si="21"/>
        <v/>
      </c>
      <c r="I173" s="77" t="str">
        <f>IF(G173="","",IFERROR(VLOOKUP(G173,'Plan Comptable'!$B$5:$C$278,2,FALSE),"Compte inconnu"))</f>
        <v/>
      </c>
      <c r="J173" s="83"/>
      <c r="K173" s="83"/>
      <c r="L173" s="14"/>
      <c r="M173" s="32" t="str">
        <f t="shared" si="16"/>
        <v/>
      </c>
      <c r="N173" s="77" t="str">
        <f t="shared" si="22"/>
        <v/>
      </c>
      <c r="O173" s="75" t="str">
        <f t="shared" si="23"/>
        <v/>
      </c>
      <c r="P173" s="79" t="str">
        <f>IF(B173="","",SUM($K$6:K173)-SUM($L$6:L173))</f>
        <v/>
      </c>
      <c r="Q173" s="75" t="str">
        <f t="shared" si="17"/>
        <v/>
      </c>
      <c r="R173" s="84"/>
      <c r="S173" s="84"/>
    </row>
    <row r="174" spans="1:19" x14ac:dyDescent="0.35">
      <c r="A174" s="75" t="str">
        <f t="shared" si="18"/>
        <v/>
      </c>
      <c r="B174" s="81"/>
      <c r="C174" s="75" t="str">
        <f t="shared" si="19"/>
        <v/>
      </c>
      <c r="D174" s="75" t="str">
        <f t="shared" si="20"/>
        <v/>
      </c>
      <c r="E174" s="14"/>
      <c r="F174" s="14"/>
      <c r="G174" s="14"/>
      <c r="H174" s="75" t="str">
        <f t="shared" si="21"/>
        <v/>
      </c>
      <c r="I174" s="77" t="str">
        <f>IF(G174="","",IFERROR(VLOOKUP(G174,'Plan Comptable'!$B$5:$C$278,2,FALSE),"Compte inconnu"))</f>
        <v/>
      </c>
      <c r="J174" s="83"/>
      <c r="K174" s="83"/>
      <c r="L174" s="14"/>
      <c r="M174" s="32" t="str">
        <f t="shared" si="16"/>
        <v/>
      </c>
      <c r="N174" s="77" t="str">
        <f t="shared" si="22"/>
        <v/>
      </c>
      <c r="O174" s="75" t="str">
        <f t="shared" si="23"/>
        <v/>
      </c>
      <c r="P174" s="79" t="str">
        <f>IF(B174="","",SUM($K$6:K174)-SUM($L$6:L174))</f>
        <v/>
      </c>
      <c r="Q174" s="75" t="str">
        <f t="shared" si="17"/>
        <v/>
      </c>
      <c r="R174" s="84"/>
      <c r="S174" s="84"/>
    </row>
    <row r="175" spans="1:19" x14ac:dyDescent="0.35">
      <c r="A175" s="75" t="str">
        <f t="shared" si="18"/>
        <v/>
      </c>
      <c r="B175" s="81"/>
      <c r="C175" s="75" t="str">
        <f t="shared" si="19"/>
        <v/>
      </c>
      <c r="D175" s="75" t="str">
        <f t="shared" si="20"/>
        <v/>
      </c>
      <c r="E175" s="14"/>
      <c r="F175" s="14"/>
      <c r="G175" s="14"/>
      <c r="H175" s="75" t="str">
        <f t="shared" si="21"/>
        <v/>
      </c>
      <c r="I175" s="77" t="str">
        <f>IF(G175="","",IFERROR(VLOOKUP(G175,'Plan Comptable'!$B$5:$C$278,2,FALSE),"Compte inconnu"))</f>
        <v/>
      </c>
      <c r="J175" s="83"/>
      <c r="K175" s="83"/>
      <c r="L175" s="14"/>
      <c r="M175" s="32" t="str">
        <f t="shared" si="16"/>
        <v/>
      </c>
      <c r="N175" s="77" t="str">
        <f t="shared" si="22"/>
        <v/>
      </c>
      <c r="O175" s="75" t="str">
        <f t="shared" si="23"/>
        <v/>
      </c>
      <c r="P175" s="79" t="str">
        <f>IF(B175="","",SUM($K$6:K175)-SUM($L$6:L175))</f>
        <v/>
      </c>
      <c r="Q175" s="75" t="str">
        <f t="shared" si="17"/>
        <v/>
      </c>
      <c r="R175" s="84"/>
      <c r="S175" s="84"/>
    </row>
    <row r="176" spans="1:19" x14ac:dyDescent="0.35">
      <c r="A176" s="75" t="str">
        <f t="shared" si="18"/>
        <v/>
      </c>
      <c r="B176" s="81"/>
      <c r="C176" s="75" t="str">
        <f t="shared" si="19"/>
        <v/>
      </c>
      <c r="D176" s="75" t="str">
        <f t="shared" si="20"/>
        <v/>
      </c>
      <c r="E176" s="14"/>
      <c r="F176" s="14"/>
      <c r="G176" s="14"/>
      <c r="H176" s="75" t="str">
        <f t="shared" si="21"/>
        <v/>
      </c>
      <c r="I176" s="77" t="str">
        <f>IF(G176="","",IFERROR(VLOOKUP(G176,'Plan Comptable'!$B$5:$C$278,2,FALSE),"Compte inconnu"))</f>
        <v/>
      </c>
      <c r="J176" s="83"/>
      <c r="K176" s="83"/>
      <c r="L176" s="14"/>
      <c r="M176" s="32" t="str">
        <f t="shared" si="16"/>
        <v/>
      </c>
      <c r="N176" s="77" t="str">
        <f t="shared" si="22"/>
        <v/>
      </c>
      <c r="O176" s="75" t="str">
        <f t="shared" si="23"/>
        <v/>
      </c>
      <c r="P176" s="79" t="str">
        <f>IF(B176="","",SUM($K$6:K176)-SUM($L$6:L176))</f>
        <v/>
      </c>
      <c r="Q176" s="75" t="str">
        <f t="shared" si="17"/>
        <v/>
      </c>
      <c r="R176" s="84"/>
      <c r="S176" s="84"/>
    </row>
    <row r="177" spans="1:19" x14ac:dyDescent="0.35">
      <c r="A177" s="75" t="str">
        <f t="shared" si="18"/>
        <v/>
      </c>
      <c r="B177" s="81"/>
      <c r="C177" s="75" t="str">
        <f t="shared" si="19"/>
        <v/>
      </c>
      <c r="D177" s="75" t="str">
        <f t="shared" si="20"/>
        <v/>
      </c>
      <c r="E177" s="14"/>
      <c r="F177" s="14"/>
      <c r="G177" s="14"/>
      <c r="H177" s="75" t="str">
        <f t="shared" si="21"/>
        <v/>
      </c>
      <c r="I177" s="77" t="str">
        <f>IF(G177="","",IFERROR(VLOOKUP(G177,'Plan Comptable'!$B$5:$C$278,2,FALSE),"Compte inconnu"))</f>
        <v/>
      </c>
      <c r="J177" s="83"/>
      <c r="K177" s="83"/>
      <c r="L177" s="14"/>
      <c r="M177" s="32" t="str">
        <f t="shared" si="16"/>
        <v/>
      </c>
      <c r="N177" s="77" t="str">
        <f t="shared" si="22"/>
        <v/>
      </c>
      <c r="O177" s="75" t="str">
        <f t="shared" si="23"/>
        <v/>
      </c>
      <c r="P177" s="79" t="str">
        <f>IF(B177="","",SUM($K$6:K177)-SUM($L$6:L177))</f>
        <v/>
      </c>
      <c r="Q177" s="75" t="str">
        <f t="shared" si="17"/>
        <v/>
      </c>
      <c r="R177" s="84"/>
      <c r="S177" s="84"/>
    </row>
    <row r="178" spans="1:19" x14ac:dyDescent="0.35">
      <c r="A178" s="75" t="str">
        <f t="shared" si="18"/>
        <v/>
      </c>
      <c r="B178" s="81"/>
      <c r="C178" s="75" t="str">
        <f t="shared" si="19"/>
        <v/>
      </c>
      <c r="D178" s="75" t="str">
        <f t="shared" si="20"/>
        <v/>
      </c>
      <c r="E178" s="14"/>
      <c r="F178" s="14"/>
      <c r="G178" s="14"/>
      <c r="H178" s="75" t="str">
        <f t="shared" si="21"/>
        <v/>
      </c>
      <c r="I178" s="77" t="str">
        <f>IF(G178="","",IFERROR(VLOOKUP(G178,'Plan Comptable'!$B$5:$C$278,2,FALSE),"Compte inconnu"))</f>
        <v/>
      </c>
      <c r="J178" s="83"/>
      <c r="K178" s="83"/>
      <c r="L178" s="14"/>
      <c r="M178" s="32" t="str">
        <f t="shared" si="16"/>
        <v/>
      </c>
      <c r="N178" s="77" t="str">
        <f t="shared" si="22"/>
        <v/>
      </c>
      <c r="O178" s="75" t="str">
        <f t="shared" si="23"/>
        <v/>
      </c>
      <c r="P178" s="79" t="str">
        <f>IF(B178="","",SUM($K$6:K178)-SUM($L$6:L178))</f>
        <v/>
      </c>
      <c r="Q178" s="75" t="str">
        <f t="shared" si="17"/>
        <v/>
      </c>
      <c r="R178" s="84"/>
      <c r="S178" s="84"/>
    </row>
    <row r="179" spans="1:19" x14ac:dyDescent="0.35">
      <c r="A179" s="75" t="str">
        <f t="shared" si="18"/>
        <v/>
      </c>
      <c r="B179" s="81"/>
      <c r="C179" s="75" t="str">
        <f t="shared" si="19"/>
        <v/>
      </c>
      <c r="D179" s="75" t="str">
        <f t="shared" si="20"/>
        <v/>
      </c>
      <c r="E179" s="14"/>
      <c r="F179" s="14"/>
      <c r="G179" s="14"/>
      <c r="H179" s="75" t="str">
        <f t="shared" si="21"/>
        <v/>
      </c>
      <c r="I179" s="77" t="str">
        <f>IF(G179="","",IFERROR(VLOOKUP(G179,'Plan Comptable'!$B$5:$C$278,2,FALSE),"Compte inconnu"))</f>
        <v/>
      </c>
      <c r="J179" s="83"/>
      <c r="K179" s="83"/>
      <c r="L179" s="14"/>
      <c r="M179" s="32" t="str">
        <f t="shared" si="16"/>
        <v/>
      </c>
      <c r="N179" s="77" t="str">
        <f t="shared" si="22"/>
        <v/>
      </c>
      <c r="O179" s="75" t="str">
        <f t="shared" si="23"/>
        <v/>
      </c>
      <c r="P179" s="79" t="str">
        <f>IF(B179="","",SUM($K$6:K179)-SUM($L$6:L179))</f>
        <v/>
      </c>
      <c r="Q179" s="75" t="str">
        <f t="shared" si="17"/>
        <v/>
      </c>
      <c r="R179" s="84"/>
      <c r="S179" s="84"/>
    </row>
    <row r="180" spans="1:19" x14ac:dyDescent="0.35">
      <c r="A180" s="75" t="str">
        <f t="shared" si="18"/>
        <v/>
      </c>
      <c r="B180" s="81"/>
      <c r="C180" s="75" t="str">
        <f t="shared" si="19"/>
        <v/>
      </c>
      <c r="D180" s="75" t="str">
        <f t="shared" si="20"/>
        <v/>
      </c>
      <c r="E180" s="14"/>
      <c r="F180" s="14"/>
      <c r="G180" s="14"/>
      <c r="H180" s="75" t="str">
        <f t="shared" si="21"/>
        <v/>
      </c>
      <c r="I180" s="77" t="str">
        <f>IF(G180="","",IFERROR(VLOOKUP(G180,'Plan Comptable'!$B$5:$C$278,2,FALSE),"Compte inconnu"))</f>
        <v/>
      </c>
      <c r="J180" s="83"/>
      <c r="K180" s="83"/>
      <c r="L180" s="14"/>
      <c r="M180" s="32" t="str">
        <f t="shared" si="16"/>
        <v/>
      </c>
      <c r="N180" s="77" t="str">
        <f t="shared" si="22"/>
        <v/>
      </c>
      <c r="O180" s="75" t="str">
        <f t="shared" si="23"/>
        <v/>
      </c>
      <c r="P180" s="79" t="str">
        <f>IF(B180="","",SUM($K$6:K180)-SUM($L$6:L180))</f>
        <v/>
      </c>
      <c r="Q180" s="75" t="str">
        <f t="shared" si="17"/>
        <v/>
      </c>
      <c r="R180" s="84"/>
      <c r="S180" s="84"/>
    </row>
    <row r="181" spans="1:19" x14ac:dyDescent="0.35">
      <c r="A181" s="75" t="str">
        <f t="shared" si="18"/>
        <v/>
      </c>
      <c r="B181" s="81"/>
      <c r="C181" s="75" t="str">
        <f t="shared" si="19"/>
        <v/>
      </c>
      <c r="D181" s="75" t="str">
        <f t="shared" si="20"/>
        <v/>
      </c>
      <c r="E181" s="14"/>
      <c r="F181" s="14"/>
      <c r="G181" s="14"/>
      <c r="H181" s="75" t="str">
        <f t="shared" si="21"/>
        <v/>
      </c>
      <c r="I181" s="77" t="str">
        <f>IF(G181="","",IFERROR(VLOOKUP(G181,'Plan Comptable'!$B$5:$C$278,2,FALSE),"Compte inconnu"))</f>
        <v/>
      </c>
      <c r="J181" s="83"/>
      <c r="K181" s="83"/>
      <c r="L181" s="14"/>
      <c r="M181" s="32" t="str">
        <f t="shared" si="16"/>
        <v/>
      </c>
      <c r="N181" s="77" t="str">
        <f t="shared" si="22"/>
        <v/>
      </c>
      <c r="O181" s="75" t="str">
        <f t="shared" si="23"/>
        <v/>
      </c>
      <c r="P181" s="79" t="str">
        <f>IF(B181="","",SUM($K$6:K181)-SUM($L$6:L181))</f>
        <v/>
      </c>
      <c r="Q181" s="75" t="str">
        <f t="shared" si="17"/>
        <v/>
      </c>
      <c r="R181" s="84"/>
      <c r="S181" s="84"/>
    </row>
    <row r="182" spans="1:19" x14ac:dyDescent="0.35">
      <c r="A182" s="75" t="str">
        <f t="shared" si="18"/>
        <v/>
      </c>
      <c r="B182" s="81"/>
      <c r="C182" s="75" t="str">
        <f t="shared" si="19"/>
        <v/>
      </c>
      <c r="D182" s="75" t="str">
        <f t="shared" si="20"/>
        <v/>
      </c>
      <c r="E182" s="14"/>
      <c r="F182" s="14"/>
      <c r="G182" s="14"/>
      <c r="H182" s="75" t="str">
        <f t="shared" si="21"/>
        <v/>
      </c>
      <c r="I182" s="77" t="str">
        <f>IF(G182="","",IFERROR(VLOOKUP(G182,'Plan Comptable'!$B$5:$C$278,2,FALSE),"Compte inconnu"))</f>
        <v/>
      </c>
      <c r="J182" s="83"/>
      <c r="K182" s="83"/>
      <c r="L182" s="14"/>
      <c r="M182" s="32" t="str">
        <f t="shared" si="16"/>
        <v/>
      </c>
      <c r="N182" s="77" t="str">
        <f t="shared" si="22"/>
        <v/>
      </c>
      <c r="O182" s="75" t="str">
        <f t="shared" si="23"/>
        <v/>
      </c>
      <c r="P182" s="79" t="str">
        <f>IF(B182="","",SUM($K$6:K182)-SUM($L$6:L182))</f>
        <v/>
      </c>
      <c r="Q182" s="75" t="str">
        <f t="shared" si="17"/>
        <v/>
      </c>
      <c r="R182" s="84"/>
      <c r="S182" s="84"/>
    </row>
    <row r="183" spans="1:19" x14ac:dyDescent="0.35">
      <c r="A183" s="75" t="str">
        <f t="shared" si="18"/>
        <v/>
      </c>
      <c r="B183" s="81"/>
      <c r="C183" s="75" t="str">
        <f t="shared" si="19"/>
        <v/>
      </c>
      <c r="D183" s="75" t="str">
        <f t="shared" si="20"/>
        <v/>
      </c>
      <c r="E183" s="14"/>
      <c r="F183" s="14"/>
      <c r="G183" s="14"/>
      <c r="H183" s="75" t="str">
        <f t="shared" si="21"/>
        <v/>
      </c>
      <c r="I183" s="77" t="str">
        <f>IF(G183="","",IFERROR(VLOOKUP(G183,'Plan Comptable'!$B$5:$C$278,2,FALSE),"Compte inconnu"))</f>
        <v/>
      </c>
      <c r="J183" s="83"/>
      <c r="K183" s="83"/>
      <c r="L183" s="14"/>
      <c r="M183" s="32" t="str">
        <f t="shared" si="16"/>
        <v/>
      </c>
      <c r="N183" s="77" t="str">
        <f t="shared" si="22"/>
        <v/>
      </c>
      <c r="O183" s="75" t="str">
        <f t="shared" si="23"/>
        <v/>
      </c>
      <c r="P183" s="79" t="str">
        <f>IF(B183="","",SUM($K$6:K183)-SUM($L$6:L183))</f>
        <v/>
      </c>
      <c r="Q183" s="75" t="str">
        <f t="shared" si="17"/>
        <v/>
      </c>
      <c r="R183" s="84"/>
      <c r="S183" s="84"/>
    </row>
    <row r="184" spans="1:19" x14ac:dyDescent="0.35">
      <c r="A184" s="75" t="str">
        <f t="shared" si="18"/>
        <v/>
      </c>
      <c r="B184" s="81"/>
      <c r="C184" s="75" t="str">
        <f t="shared" si="19"/>
        <v/>
      </c>
      <c r="D184" s="75" t="str">
        <f t="shared" si="20"/>
        <v/>
      </c>
      <c r="E184" s="14"/>
      <c r="F184" s="14"/>
      <c r="G184" s="14"/>
      <c r="H184" s="75" t="str">
        <f t="shared" si="21"/>
        <v/>
      </c>
      <c r="I184" s="77" t="str">
        <f>IF(G184="","",IFERROR(VLOOKUP(G184,'Plan Comptable'!$B$5:$C$278,2,FALSE),"Compte inconnu"))</f>
        <v/>
      </c>
      <c r="J184" s="83"/>
      <c r="K184" s="83"/>
      <c r="L184" s="14"/>
      <c r="M184" s="32" t="str">
        <f t="shared" si="16"/>
        <v/>
      </c>
      <c r="N184" s="77" t="str">
        <f t="shared" si="22"/>
        <v/>
      </c>
      <c r="O184" s="75" t="str">
        <f t="shared" si="23"/>
        <v/>
      </c>
      <c r="P184" s="79" t="str">
        <f>IF(B184="","",SUM($K$6:K184)-SUM($L$6:L184))</f>
        <v/>
      </c>
      <c r="Q184" s="75" t="str">
        <f t="shared" si="17"/>
        <v/>
      </c>
      <c r="R184" s="84"/>
      <c r="S184" s="84"/>
    </row>
    <row r="185" spans="1:19" x14ac:dyDescent="0.35">
      <c r="A185" s="75" t="str">
        <f t="shared" si="18"/>
        <v/>
      </c>
      <c r="B185" s="81"/>
      <c r="C185" s="75" t="str">
        <f t="shared" si="19"/>
        <v/>
      </c>
      <c r="D185" s="75" t="str">
        <f t="shared" si="20"/>
        <v/>
      </c>
      <c r="E185" s="14"/>
      <c r="F185" s="14"/>
      <c r="G185" s="14"/>
      <c r="H185" s="75" t="str">
        <f t="shared" si="21"/>
        <v/>
      </c>
      <c r="I185" s="77" t="str">
        <f>IF(G185="","",IFERROR(VLOOKUP(G185,'Plan Comptable'!$B$5:$C$278,2,FALSE),"Compte inconnu"))</f>
        <v/>
      </c>
      <c r="J185" s="83"/>
      <c r="K185" s="83"/>
      <c r="L185" s="14"/>
      <c r="M185" s="32" t="str">
        <f t="shared" si="16"/>
        <v/>
      </c>
      <c r="N185" s="77" t="str">
        <f t="shared" si="22"/>
        <v/>
      </c>
      <c r="O185" s="75" t="str">
        <f t="shared" si="23"/>
        <v/>
      </c>
      <c r="P185" s="79" t="str">
        <f>IF(B185="","",SUM($K$6:K185)-SUM($L$6:L185))</f>
        <v/>
      </c>
      <c r="Q185" s="75" t="str">
        <f t="shared" si="17"/>
        <v/>
      </c>
      <c r="R185" s="84"/>
      <c r="S185" s="84"/>
    </row>
    <row r="186" spans="1:19" x14ac:dyDescent="0.35">
      <c r="A186" s="75" t="str">
        <f t="shared" si="18"/>
        <v/>
      </c>
      <c r="B186" s="81"/>
      <c r="C186" s="75" t="str">
        <f t="shared" si="19"/>
        <v/>
      </c>
      <c r="D186" s="75" t="str">
        <f t="shared" si="20"/>
        <v/>
      </c>
      <c r="E186" s="14"/>
      <c r="F186" s="14"/>
      <c r="G186" s="14"/>
      <c r="H186" s="75" t="str">
        <f t="shared" si="21"/>
        <v/>
      </c>
      <c r="I186" s="77" t="str">
        <f>IF(G186="","",IFERROR(VLOOKUP(G186,'Plan Comptable'!$B$5:$C$278,2,FALSE),"Compte inconnu"))</f>
        <v/>
      </c>
      <c r="J186" s="83"/>
      <c r="K186" s="83"/>
      <c r="L186" s="14"/>
      <c r="M186" s="32" t="str">
        <f t="shared" si="16"/>
        <v/>
      </c>
      <c r="N186" s="77" t="str">
        <f t="shared" si="22"/>
        <v/>
      </c>
      <c r="O186" s="75" t="str">
        <f t="shared" si="23"/>
        <v/>
      </c>
      <c r="P186" s="79" t="str">
        <f>IF(B186="","",SUM($K$6:K186)-SUM($L$6:L186))</f>
        <v/>
      </c>
      <c r="Q186" s="75" t="str">
        <f t="shared" si="17"/>
        <v/>
      </c>
      <c r="R186" s="84"/>
      <c r="S186" s="84"/>
    </row>
    <row r="187" spans="1:19" x14ac:dyDescent="0.35">
      <c r="A187" s="75" t="str">
        <f t="shared" si="18"/>
        <v/>
      </c>
      <c r="B187" s="81"/>
      <c r="C187" s="75" t="str">
        <f t="shared" si="19"/>
        <v/>
      </c>
      <c r="D187" s="75" t="str">
        <f t="shared" si="20"/>
        <v/>
      </c>
      <c r="E187" s="14"/>
      <c r="F187" s="14"/>
      <c r="G187" s="14"/>
      <c r="H187" s="75" t="str">
        <f t="shared" si="21"/>
        <v/>
      </c>
      <c r="I187" s="77" t="str">
        <f>IF(G187="","",IFERROR(VLOOKUP(G187,'Plan Comptable'!$B$5:$C$278,2,FALSE),"Compte inconnu"))</f>
        <v/>
      </c>
      <c r="J187" s="83"/>
      <c r="K187" s="83"/>
      <c r="L187" s="14"/>
      <c r="M187" s="32" t="str">
        <f t="shared" si="16"/>
        <v/>
      </c>
      <c r="N187" s="77" t="str">
        <f t="shared" si="22"/>
        <v/>
      </c>
      <c r="O187" s="75" t="str">
        <f t="shared" si="23"/>
        <v/>
      </c>
      <c r="P187" s="79" t="str">
        <f>IF(B187="","",SUM($K$6:K187)-SUM($L$6:L187))</f>
        <v/>
      </c>
      <c r="Q187" s="75" t="str">
        <f t="shared" si="17"/>
        <v/>
      </c>
      <c r="R187" s="84"/>
      <c r="S187" s="84"/>
    </row>
    <row r="188" spans="1:19" x14ac:dyDescent="0.35">
      <c r="A188" s="75" t="str">
        <f t="shared" si="18"/>
        <v/>
      </c>
      <c r="B188" s="81"/>
      <c r="C188" s="75" t="str">
        <f t="shared" si="19"/>
        <v/>
      </c>
      <c r="D188" s="75" t="str">
        <f t="shared" si="20"/>
        <v/>
      </c>
      <c r="E188" s="14"/>
      <c r="F188" s="14"/>
      <c r="G188" s="14"/>
      <c r="H188" s="75" t="str">
        <f t="shared" si="21"/>
        <v/>
      </c>
      <c r="I188" s="77" t="str">
        <f>IF(G188="","",IFERROR(VLOOKUP(G188,'Plan Comptable'!$B$5:$C$278,2,FALSE),"Compte inconnu"))</f>
        <v/>
      </c>
      <c r="J188" s="83"/>
      <c r="K188" s="83"/>
      <c r="L188" s="14"/>
      <c r="M188" s="32" t="str">
        <f t="shared" si="16"/>
        <v/>
      </c>
      <c r="N188" s="77" t="str">
        <f t="shared" si="22"/>
        <v/>
      </c>
      <c r="O188" s="75" t="str">
        <f t="shared" si="23"/>
        <v/>
      </c>
      <c r="P188" s="79" t="str">
        <f>IF(B188="","",SUM($K$6:K188)-SUM($L$6:L188))</f>
        <v/>
      </c>
      <c r="Q188" s="75" t="str">
        <f t="shared" si="17"/>
        <v/>
      </c>
      <c r="R188" s="84"/>
      <c r="S188" s="84"/>
    </row>
    <row r="189" spans="1:19" x14ac:dyDescent="0.35">
      <c r="A189" s="75" t="str">
        <f t="shared" si="18"/>
        <v/>
      </c>
      <c r="B189" s="81"/>
      <c r="C189" s="75" t="str">
        <f t="shared" si="19"/>
        <v/>
      </c>
      <c r="D189" s="75" t="str">
        <f t="shared" si="20"/>
        <v/>
      </c>
      <c r="E189" s="14"/>
      <c r="F189" s="14"/>
      <c r="G189" s="14"/>
      <c r="H189" s="75" t="str">
        <f t="shared" si="21"/>
        <v/>
      </c>
      <c r="I189" s="77" t="str">
        <f>IF(G189="","",IFERROR(VLOOKUP(G189,'Plan Comptable'!$B$5:$C$278,2,FALSE),"Compte inconnu"))</f>
        <v/>
      </c>
      <c r="J189" s="83"/>
      <c r="K189" s="83"/>
      <c r="L189" s="14"/>
      <c r="M189" s="32" t="str">
        <f t="shared" si="16"/>
        <v/>
      </c>
      <c r="N189" s="77" t="str">
        <f t="shared" si="22"/>
        <v/>
      </c>
      <c r="O189" s="75" t="str">
        <f t="shared" si="23"/>
        <v/>
      </c>
      <c r="P189" s="79" t="str">
        <f>IF(B189="","",SUM($K$6:K189)-SUM($L$6:L189))</f>
        <v/>
      </c>
      <c r="Q189" s="75" t="str">
        <f t="shared" si="17"/>
        <v/>
      </c>
      <c r="R189" s="84"/>
      <c r="S189" s="84"/>
    </row>
    <row r="190" spans="1:19" x14ac:dyDescent="0.35">
      <c r="A190" s="75" t="str">
        <f t="shared" si="18"/>
        <v/>
      </c>
      <c r="B190" s="81"/>
      <c r="C190" s="75" t="str">
        <f t="shared" si="19"/>
        <v/>
      </c>
      <c r="D190" s="75" t="str">
        <f t="shared" si="20"/>
        <v/>
      </c>
      <c r="E190" s="14"/>
      <c r="F190" s="14"/>
      <c r="G190" s="14"/>
      <c r="H190" s="75" t="str">
        <f t="shared" si="21"/>
        <v/>
      </c>
      <c r="I190" s="77" t="str">
        <f>IF(G190="","",IFERROR(VLOOKUP(G190,'Plan Comptable'!$B$5:$C$278,2,FALSE),"Compte inconnu"))</f>
        <v/>
      </c>
      <c r="J190" s="83"/>
      <c r="K190" s="83"/>
      <c r="L190" s="14"/>
      <c r="M190" s="32" t="str">
        <f t="shared" si="16"/>
        <v/>
      </c>
      <c r="N190" s="77" t="str">
        <f t="shared" si="22"/>
        <v/>
      </c>
      <c r="O190" s="75" t="str">
        <f t="shared" si="23"/>
        <v/>
      </c>
      <c r="P190" s="79" t="str">
        <f>IF(B190="","",SUM($K$6:K190)-SUM($L$6:L190))</f>
        <v/>
      </c>
      <c r="Q190" s="75" t="str">
        <f t="shared" si="17"/>
        <v/>
      </c>
      <c r="R190" s="84"/>
      <c r="S190" s="84"/>
    </row>
    <row r="191" spans="1:19" x14ac:dyDescent="0.35">
      <c r="A191" s="75" t="str">
        <f t="shared" si="18"/>
        <v/>
      </c>
      <c r="B191" s="81"/>
      <c r="C191" s="75" t="str">
        <f t="shared" si="19"/>
        <v/>
      </c>
      <c r="D191" s="75" t="str">
        <f t="shared" si="20"/>
        <v/>
      </c>
      <c r="E191" s="14"/>
      <c r="F191" s="14"/>
      <c r="G191" s="14"/>
      <c r="H191" s="75" t="str">
        <f t="shared" si="21"/>
        <v/>
      </c>
      <c r="I191" s="77" t="str">
        <f>IF(G191="","",IFERROR(VLOOKUP(G191,'Plan Comptable'!$B$5:$C$278,2,FALSE),"Compte inconnu"))</f>
        <v/>
      </c>
      <c r="J191" s="83"/>
      <c r="K191" s="83"/>
      <c r="L191" s="14"/>
      <c r="M191" s="32" t="str">
        <f t="shared" si="16"/>
        <v/>
      </c>
      <c r="N191" s="77" t="str">
        <f t="shared" si="22"/>
        <v/>
      </c>
      <c r="O191" s="75" t="str">
        <f t="shared" si="23"/>
        <v/>
      </c>
      <c r="P191" s="79" t="str">
        <f>IF(B191="","",SUM($K$6:K191)-SUM($L$6:L191))</f>
        <v/>
      </c>
      <c r="Q191" s="75" t="str">
        <f t="shared" si="17"/>
        <v/>
      </c>
      <c r="R191" s="84"/>
      <c r="S191" s="84"/>
    </row>
    <row r="192" spans="1:19" x14ac:dyDescent="0.35">
      <c r="A192" s="75" t="str">
        <f t="shared" si="18"/>
        <v/>
      </c>
      <c r="B192" s="81"/>
      <c r="C192" s="75" t="str">
        <f t="shared" si="19"/>
        <v/>
      </c>
      <c r="D192" s="75" t="str">
        <f t="shared" si="20"/>
        <v/>
      </c>
      <c r="E192" s="14"/>
      <c r="F192" s="14"/>
      <c r="G192" s="14"/>
      <c r="H192" s="75" t="str">
        <f t="shared" si="21"/>
        <v/>
      </c>
      <c r="I192" s="77" t="str">
        <f>IF(G192="","",IFERROR(VLOOKUP(G192,'Plan Comptable'!$B$5:$C$278,2,FALSE),"Compte inconnu"))</f>
        <v/>
      </c>
      <c r="J192" s="83"/>
      <c r="K192" s="83"/>
      <c r="L192" s="14"/>
      <c r="M192" s="32" t="str">
        <f t="shared" si="16"/>
        <v/>
      </c>
      <c r="N192" s="77" t="str">
        <f t="shared" si="22"/>
        <v/>
      </c>
      <c r="O192" s="75" t="str">
        <f t="shared" si="23"/>
        <v/>
      </c>
      <c r="P192" s="79" t="str">
        <f>IF(B192="","",SUM($K$6:K192)-SUM($L$6:L192))</f>
        <v/>
      </c>
      <c r="Q192" s="75" t="str">
        <f t="shared" si="17"/>
        <v/>
      </c>
      <c r="R192" s="84"/>
      <c r="S192" s="84"/>
    </row>
    <row r="193" spans="1:19" x14ac:dyDescent="0.35">
      <c r="A193" s="75" t="str">
        <f t="shared" si="18"/>
        <v/>
      </c>
      <c r="B193" s="81"/>
      <c r="C193" s="75" t="str">
        <f t="shared" si="19"/>
        <v/>
      </c>
      <c r="D193" s="75" t="str">
        <f t="shared" si="20"/>
        <v/>
      </c>
      <c r="E193" s="14"/>
      <c r="F193" s="14"/>
      <c r="G193" s="14"/>
      <c r="H193" s="75" t="str">
        <f t="shared" si="21"/>
        <v/>
      </c>
      <c r="I193" s="77" t="str">
        <f>IF(G193="","",IFERROR(VLOOKUP(G193,'Plan Comptable'!$B$5:$C$278,2,FALSE),"Compte inconnu"))</f>
        <v/>
      </c>
      <c r="J193" s="83"/>
      <c r="K193" s="83"/>
      <c r="L193" s="14"/>
      <c r="M193" s="32" t="str">
        <f t="shared" si="16"/>
        <v/>
      </c>
      <c r="N193" s="77" t="str">
        <f t="shared" si="22"/>
        <v/>
      </c>
      <c r="O193" s="75" t="str">
        <f t="shared" si="23"/>
        <v/>
      </c>
      <c r="P193" s="79" t="str">
        <f>IF(B193="","",SUM($K$6:K193)-SUM($L$6:L193))</f>
        <v/>
      </c>
      <c r="Q193" s="75" t="str">
        <f t="shared" si="17"/>
        <v/>
      </c>
      <c r="R193" s="84"/>
      <c r="S193" s="84"/>
    </row>
    <row r="194" spans="1:19" x14ac:dyDescent="0.35">
      <c r="A194" s="75" t="str">
        <f t="shared" si="18"/>
        <v/>
      </c>
      <c r="B194" s="81"/>
      <c r="C194" s="75" t="str">
        <f t="shared" si="19"/>
        <v/>
      </c>
      <c r="D194" s="75" t="str">
        <f t="shared" si="20"/>
        <v/>
      </c>
      <c r="E194" s="14"/>
      <c r="F194" s="14"/>
      <c r="G194" s="14"/>
      <c r="H194" s="75" t="str">
        <f t="shared" si="21"/>
        <v/>
      </c>
      <c r="I194" s="77" t="str">
        <f>IF(G194="","",IFERROR(VLOOKUP(G194,'Plan Comptable'!$B$5:$C$278,2,FALSE),"Compte inconnu"))</f>
        <v/>
      </c>
      <c r="J194" s="83"/>
      <c r="K194" s="83"/>
      <c r="L194" s="14"/>
      <c r="M194" s="32" t="str">
        <f t="shared" si="16"/>
        <v/>
      </c>
      <c r="N194" s="77" t="str">
        <f t="shared" si="22"/>
        <v/>
      </c>
      <c r="O194" s="75" t="str">
        <f t="shared" si="23"/>
        <v/>
      </c>
      <c r="P194" s="79" t="str">
        <f>IF(B194="","",SUM($K$6:K194)-SUM($L$6:L194))</f>
        <v/>
      </c>
      <c r="Q194" s="75" t="str">
        <f t="shared" si="17"/>
        <v/>
      </c>
      <c r="R194" s="84"/>
      <c r="S194" s="84"/>
    </row>
    <row r="195" spans="1:19" x14ac:dyDescent="0.35">
      <c r="A195" s="75" t="str">
        <f t="shared" si="18"/>
        <v/>
      </c>
      <c r="B195" s="81"/>
      <c r="C195" s="75" t="str">
        <f t="shared" si="19"/>
        <v/>
      </c>
      <c r="D195" s="75" t="str">
        <f t="shared" si="20"/>
        <v/>
      </c>
      <c r="E195" s="14"/>
      <c r="F195" s="14"/>
      <c r="G195" s="14"/>
      <c r="H195" s="75" t="str">
        <f t="shared" si="21"/>
        <v/>
      </c>
      <c r="I195" s="77" t="str">
        <f>IF(G195="","",IFERROR(VLOOKUP(G195,'Plan Comptable'!$B$5:$C$278,2,FALSE),"Compte inconnu"))</f>
        <v/>
      </c>
      <c r="J195" s="83"/>
      <c r="K195" s="83"/>
      <c r="L195" s="14"/>
      <c r="M195" s="32" t="str">
        <f t="shared" si="16"/>
        <v/>
      </c>
      <c r="N195" s="77" t="str">
        <f t="shared" si="22"/>
        <v/>
      </c>
      <c r="O195" s="75" t="str">
        <f t="shared" si="23"/>
        <v/>
      </c>
      <c r="P195" s="79" t="str">
        <f>IF(B195="","",SUM($K$6:K195)-SUM($L$6:L195))</f>
        <v/>
      </c>
      <c r="Q195" s="75" t="str">
        <f t="shared" si="17"/>
        <v/>
      </c>
      <c r="R195" s="84"/>
      <c r="S195" s="84"/>
    </row>
    <row r="196" spans="1:19" x14ac:dyDescent="0.35">
      <c r="A196" s="75" t="str">
        <f t="shared" si="18"/>
        <v/>
      </c>
      <c r="B196" s="81"/>
      <c r="C196" s="75" t="str">
        <f t="shared" si="19"/>
        <v/>
      </c>
      <c r="D196" s="75" t="str">
        <f t="shared" si="20"/>
        <v/>
      </c>
      <c r="E196" s="14"/>
      <c r="F196" s="14"/>
      <c r="G196" s="14"/>
      <c r="H196" s="75" t="str">
        <f t="shared" si="21"/>
        <v/>
      </c>
      <c r="I196" s="77" t="str">
        <f>IF(G196="","",IFERROR(VLOOKUP(G196,'Plan Comptable'!$B$5:$C$278,2,FALSE),"Compte inconnu"))</f>
        <v/>
      </c>
      <c r="J196" s="83"/>
      <c r="K196" s="83"/>
      <c r="L196" s="14"/>
      <c r="M196" s="32" t="str">
        <f t="shared" si="16"/>
        <v/>
      </c>
      <c r="N196" s="77" t="str">
        <f t="shared" si="22"/>
        <v/>
      </c>
      <c r="O196" s="75" t="str">
        <f t="shared" si="23"/>
        <v/>
      </c>
      <c r="P196" s="79" t="str">
        <f>IF(B196="","",SUM($K$6:K196)-SUM($L$6:L196))</f>
        <v/>
      </c>
      <c r="Q196" s="75" t="str">
        <f t="shared" si="17"/>
        <v/>
      </c>
      <c r="R196" s="84"/>
      <c r="S196" s="84"/>
    </row>
    <row r="197" spans="1:19" x14ac:dyDescent="0.35">
      <c r="A197" s="75" t="str">
        <f t="shared" si="18"/>
        <v/>
      </c>
      <c r="B197" s="81"/>
      <c r="C197" s="75" t="str">
        <f t="shared" si="19"/>
        <v/>
      </c>
      <c r="D197" s="75" t="str">
        <f t="shared" si="20"/>
        <v/>
      </c>
      <c r="E197" s="14"/>
      <c r="F197" s="14"/>
      <c r="G197" s="14"/>
      <c r="H197" s="75" t="str">
        <f t="shared" si="21"/>
        <v/>
      </c>
      <c r="I197" s="77" t="str">
        <f>IF(G197="","",IFERROR(VLOOKUP(G197,'Plan Comptable'!$B$5:$C$278,2,FALSE),"Compte inconnu"))</f>
        <v/>
      </c>
      <c r="J197" s="83"/>
      <c r="K197" s="83"/>
      <c r="L197" s="14"/>
      <c r="M197" s="32" t="str">
        <f t="shared" si="16"/>
        <v/>
      </c>
      <c r="N197" s="77" t="str">
        <f t="shared" si="22"/>
        <v/>
      </c>
      <c r="O197" s="75" t="str">
        <f t="shared" si="23"/>
        <v/>
      </c>
      <c r="P197" s="79" t="str">
        <f>IF(B197="","",SUM($K$6:K197)-SUM($L$6:L197))</f>
        <v/>
      </c>
      <c r="Q197" s="75" t="str">
        <f t="shared" si="17"/>
        <v/>
      </c>
      <c r="R197" s="84"/>
      <c r="S197" s="84"/>
    </row>
    <row r="198" spans="1:19" x14ac:dyDescent="0.35">
      <c r="A198" s="75" t="str">
        <f t="shared" si="18"/>
        <v/>
      </c>
      <c r="B198" s="81"/>
      <c r="C198" s="75" t="str">
        <f t="shared" si="19"/>
        <v/>
      </c>
      <c r="D198" s="75" t="str">
        <f t="shared" si="20"/>
        <v/>
      </c>
      <c r="E198" s="14"/>
      <c r="F198" s="14"/>
      <c r="G198" s="14"/>
      <c r="H198" s="75" t="str">
        <f t="shared" si="21"/>
        <v/>
      </c>
      <c r="I198" s="77" t="str">
        <f>IF(G198="","",IFERROR(VLOOKUP(G198,'Plan Comptable'!$B$5:$C$278,2,FALSE),"Compte inconnu"))</f>
        <v/>
      </c>
      <c r="J198" s="83"/>
      <c r="K198" s="83"/>
      <c r="L198" s="14"/>
      <c r="M198" s="32" t="str">
        <f t="shared" ref="M198:M261" si="24">IF(B198="","",IF(AND(OR(K198="",L198=""),K198&lt;&gt;L198),"",IF(AND(K198&lt;&gt;"",L198&lt;&gt;"",ABS(K198-L198)&gt;=0.01),"⚠ D/C",IF(AND(E198&lt;&gt;"",F198&lt;&gt;"",COUNTIFS($F$6:$F$508,F198,$E$6:$E$508,E198)&gt;1),"⚠ DBL",IF(AND(E198&lt;&gt;"",ABS(SUMIF($E$6:$E$507,E198,$K$6:$K$507)-SUMIF($E$6:$E$507,E198,$L$6:$L$507))&gt;=0.01),"⚠ PÈC",IF(AND(DebutExercice&lt;&gt;"",FinExercice&lt;&gt;"",OR(B198&lt;DebutExercice,B198&gt;FinExercice)),"⚠ DATE","✓"))))))</f>
        <v/>
      </c>
      <c r="N198" s="77" t="str">
        <f t="shared" si="22"/>
        <v/>
      </c>
      <c r="O198" s="75" t="str">
        <f t="shared" si="23"/>
        <v/>
      </c>
      <c r="P198" s="79" t="str">
        <f>IF(B198="","",SUM($K$6:K198)-SUM($L$6:L198))</f>
        <v/>
      </c>
      <c r="Q198" s="75" t="str">
        <f t="shared" ref="Q198:Q261" si="25">IF(B198="","",IF(OR(DebutExercice="",FinExercice=""),"?",IF(AND(B198&gt;=DebutExercice,B198&lt;=FinExercice),"✓","⚠ Hors")))</f>
        <v/>
      </c>
      <c r="R198" s="84"/>
      <c r="S198" s="84"/>
    </row>
    <row r="199" spans="1:19" x14ac:dyDescent="0.35">
      <c r="A199" s="75" t="str">
        <f t="shared" ref="A199:A262" si="26">IF(B199="","",ROW()-4)</f>
        <v/>
      </c>
      <c r="B199" s="81"/>
      <c r="C199" s="75" t="str">
        <f t="shared" ref="C199:C262" si="27">IF(B199="","",MONTH(B199))</f>
        <v/>
      </c>
      <c r="D199" s="75" t="str">
        <f t="shared" ref="D199:D262" si="28">IF(B199="","",YEAR(B199))</f>
        <v/>
      </c>
      <c r="E199" s="14"/>
      <c r="F199" s="14"/>
      <c r="G199" s="14"/>
      <c r="H199" s="75" t="str">
        <f t="shared" ref="H199:H262" si="29">IF(G199="","",LEFT(G199,1))</f>
        <v/>
      </c>
      <c r="I199" s="77" t="str">
        <f>IF(G199="","",IFERROR(VLOOKUP(G199,'Plan Comptable'!$B$5:$C$278,2,FALSE),"Compte inconnu"))</f>
        <v/>
      </c>
      <c r="J199" s="83"/>
      <c r="K199" s="83"/>
      <c r="L199" s="14"/>
      <c r="M199" s="32" t="str">
        <f t="shared" si="24"/>
        <v/>
      </c>
      <c r="N199" s="77" t="str">
        <f t="shared" ref="N199:N262" si="30">IF(OR(E199="",F199=""),"",IF(COUNTIFS($F$6:$F$508,F199,$E$6:$E$508,E199)&gt;1,"DOUBLON",""))</f>
        <v/>
      </c>
      <c r="O199" s="75" t="str">
        <f t="shared" ref="O199:O262" si="31">IF(E199="","",IF(ABS(SUMIF($E$6:$E$507,E199,$K$6:$K$507)-SUMIF($E$6:$E$507,E199,$L$6:$L$507))&lt;0.01,"✓","⚠"))</f>
        <v/>
      </c>
      <c r="P199" s="79" t="str">
        <f>IF(B199="","",SUM($K$6:K199)-SUM($L$6:L199))</f>
        <v/>
      </c>
      <c r="Q199" s="75" t="str">
        <f t="shared" si="25"/>
        <v/>
      </c>
      <c r="R199" s="84"/>
      <c r="S199" s="84"/>
    </row>
    <row r="200" spans="1:19" x14ac:dyDescent="0.35">
      <c r="A200" s="75" t="str">
        <f t="shared" si="26"/>
        <v/>
      </c>
      <c r="B200" s="81"/>
      <c r="C200" s="75" t="str">
        <f t="shared" si="27"/>
        <v/>
      </c>
      <c r="D200" s="75" t="str">
        <f t="shared" si="28"/>
        <v/>
      </c>
      <c r="E200" s="14"/>
      <c r="F200" s="14"/>
      <c r="G200" s="14"/>
      <c r="H200" s="75" t="str">
        <f t="shared" si="29"/>
        <v/>
      </c>
      <c r="I200" s="77" t="str">
        <f>IF(G200="","",IFERROR(VLOOKUP(G200,'Plan Comptable'!$B$5:$C$278,2,FALSE),"Compte inconnu"))</f>
        <v/>
      </c>
      <c r="J200" s="83"/>
      <c r="K200" s="83"/>
      <c r="L200" s="14"/>
      <c r="M200" s="32" t="str">
        <f t="shared" si="24"/>
        <v/>
      </c>
      <c r="N200" s="77" t="str">
        <f t="shared" si="30"/>
        <v/>
      </c>
      <c r="O200" s="75" t="str">
        <f t="shared" si="31"/>
        <v/>
      </c>
      <c r="P200" s="79" t="str">
        <f>IF(B200="","",SUM($K$6:K200)-SUM($L$6:L200))</f>
        <v/>
      </c>
      <c r="Q200" s="75" t="str">
        <f t="shared" si="25"/>
        <v/>
      </c>
      <c r="R200" s="84"/>
      <c r="S200" s="84"/>
    </row>
    <row r="201" spans="1:19" x14ac:dyDescent="0.35">
      <c r="A201" s="75" t="str">
        <f t="shared" si="26"/>
        <v/>
      </c>
      <c r="B201" s="81"/>
      <c r="C201" s="75" t="str">
        <f t="shared" si="27"/>
        <v/>
      </c>
      <c r="D201" s="75" t="str">
        <f t="shared" si="28"/>
        <v/>
      </c>
      <c r="E201" s="14"/>
      <c r="F201" s="14"/>
      <c r="G201" s="14"/>
      <c r="H201" s="75" t="str">
        <f t="shared" si="29"/>
        <v/>
      </c>
      <c r="I201" s="77" t="str">
        <f>IF(G201="","",IFERROR(VLOOKUP(G201,'Plan Comptable'!$B$5:$C$278,2,FALSE),"Compte inconnu"))</f>
        <v/>
      </c>
      <c r="J201" s="83"/>
      <c r="K201" s="83"/>
      <c r="L201" s="14"/>
      <c r="M201" s="32" t="str">
        <f t="shared" si="24"/>
        <v/>
      </c>
      <c r="N201" s="77" t="str">
        <f t="shared" si="30"/>
        <v/>
      </c>
      <c r="O201" s="75" t="str">
        <f t="shared" si="31"/>
        <v/>
      </c>
      <c r="P201" s="79" t="str">
        <f>IF(B201="","",SUM($K$6:K201)-SUM($L$6:L201))</f>
        <v/>
      </c>
      <c r="Q201" s="75" t="str">
        <f t="shared" si="25"/>
        <v/>
      </c>
      <c r="R201" s="84"/>
      <c r="S201" s="84"/>
    </row>
    <row r="202" spans="1:19" x14ac:dyDescent="0.35">
      <c r="A202" s="75" t="str">
        <f t="shared" si="26"/>
        <v/>
      </c>
      <c r="B202" s="81"/>
      <c r="C202" s="75" t="str">
        <f t="shared" si="27"/>
        <v/>
      </c>
      <c r="D202" s="75" t="str">
        <f t="shared" si="28"/>
        <v/>
      </c>
      <c r="E202" s="14"/>
      <c r="F202" s="14"/>
      <c r="G202" s="14"/>
      <c r="H202" s="75" t="str">
        <f t="shared" si="29"/>
        <v/>
      </c>
      <c r="I202" s="77" t="str">
        <f>IF(G202="","",IFERROR(VLOOKUP(G202,'Plan Comptable'!$B$5:$C$278,2,FALSE),"Compte inconnu"))</f>
        <v/>
      </c>
      <c r="J202" s="83"/>
      <c r="K202" s="83"/>
      <c r="L202" s="14"/>
      <c r="M202" s="32" t="str">
        <f t="shared" si="24"/>
        <v/>
      </c>
      <c r="N202" s="77" t="str">
        <f t="shared" si="30"/>
        <v/>
      </c>
      <c r="O202" s="75" t="str">
        <f t="shared" si="31"/>
        <v/>
      </c>
      <c r="P202" s="79" t="str">
        <f>IF(B202="","",SUM($K$6:K202)-SUM($L$6:L202))</f>
        <v/>
      </c>
      <c r="Q202" s="75" t="str">
        <f t="shared" si="25"/>
        <v/>
      </c>
      <c r="R202" s="84"/>
      <c r="S202" s="84"/>
    </row>
    <row r="203" spans="1:19" x14ac:dyDescent="0.35">
      <c r="A203" s="75" t="str">
        <f t="shared" si="26"/>
        <v/>
      </c>
      <c r="B203" s="81"/>
      <c r="C203" s="75" t="str">
        <f t="shared" si="27"/>
        <v/>
      </c>
      <c r="D203" s="75" t="str">
        <f t="shared" si="28"/>
        <v/>
      </c>
      <c r="E203" s="14"/>
      <c r="F203" s="14"/>
      <c r="G203" s="14"/>
      <c r="H203" s="75" t="str">
        <f t="shared" si="29"/>
        <v/>
      </c>
      <c r="I203" s="77" t="str">
        <f>IF(G203="","",IFERROR(VLOOKUP(G203,'Plan Comptable'!$B$5:$C$278,2,FALSE),"Compte inconnu"))</f>
        <v/>
      </c>
      <c r="J203" s="83"/>
      <c r="K203" s="83"/>
      <c r="L203" s="14"/>
      <c r="M203" s="32" t="str">
        <f t="shared" si="24"/>
        <v/>
      </c>
      <c r="N203" s="77" t="str">
        <f t="shared" si="30"/>
        <v/>
      </c>
      <c r="O203" s="75" t="str">
        <f t="shared" si="31"/>
        <v/>
      </c>
      <c r="P203" s="79" t="str">
        <f>IF(B203="","",SUM($K$6:K203)-SUM($L$6:L203))</f>
        <v/>
      </c>
      <c r="Q203" s="75" t="str">
        <f t="shared" si="25"/>
        <v/>
      </c>
      <c r="R203" s="84"/>
      <c r="S203" s="84"/>
    </row>
    <row r="204" spans="1:19" x14ac:dyDescent="0.35">
      <c r="A204" s="75" t="str">
        <f t="shared" si="26"/>
        <v/>
      </c>
      <c r="B204" s="81"/>
      <c r="C204" s="75" t="str">
        <f t="shared" si="27"/>
        <v/>
      </c>
      <c r="D204" s="75" t="str">
        <f t="shared" si="28"/>
        <v/>
      </c>
      <c r="E204" s="14"/>
      <c r="F204" s="14"/>
      <c r="G204" s="14"/>
      <c r="H204" s="75" t="str">
        <f t="shared" si="29"/>
        <v/>
      </c>
      <c r="I204" s="77" t="str">
        <f>IF(G204="","",IFERROR(VLOOKUP(G204,'Plan Comptable'!$B$5:$C$278,2,FALSE),"Compte inconnu"))</f>
        <v/>
      </c>
      <c r="J204" s="83"/>
      <c r="K204" s="83"/>
      <c r="L204" s="14"/>
      <c r="M204" s="32" t="str">
        <f t="shared" si="24"/>
        <v/>
      </c>
      <c r="N204" s="77" t="str">
        <f t="shared" si="30"/>
        <v/>
      </c>
      <c r="O204" s="75" t="str">
        <f t="shared" si="31"/>
        <v/>
      </c>
      <c r="P204" s="79" t="str">
        <f>IF(B204="","",SUM($K$6:K204)-SUM($L$6:L204))</f>
        <v/>
      </c>
      <c r="Q204" s="75" t="str">
        <f t="shared" si="25"/>
        <v/>
      </c>
      <c r="R204" s="84"/>
      <c r="S204" s="84"/>
    </row>
    <row r="205" spans="1:19" x14ac:dyDescent="0.35">
      <c r="A205" s="75" t="str">
        <f t="shared" si="26"/>
        <v/>
      </c>
      <c r="B205" s="81"/>
      <c r="C205" s="75" t="str">
        <f t="shared" si="27"/>
        <v/>
      </c>
      <c r="D205" s="75" t="str">
        <f t="shared" si="28"/>
        <v/>
      </c>
      <c r="E205" s="14"/>
      <c r="F205" s="14"/>
      <c r="G205" s="14"/>
      <c r="H205" s="75" t="str">
        <f t="shared" si="29"/>
        <v/>
      </c>
      <c r="I205" s="77" t="str">
        <f>IF(G205="","",IFERROR(VLOOKUP(G205,'Plan Comptable'!$B$5:$C$278,2,FALSE),"Compte inconnu"))</f>
        <v/>
      </c>
      <c r="J205" s="83"/>
      <c r="K205" s="83"/>
      <c r="L205" s="14"/>
      <c r="M205" s="32" t="str">
        <f t="shared" si="24"/>
        <v/>
      </c>
      <c r="N205" s="77" t="str">
        <f t="shared" si="30"/>
        <v/>
      </c>
      <c r="O205" s="75" t="str">
        <f t="shared" si="31"/>
        <v/>
      </c>
      <c r="P205" s="79" t="str">
        <f>IF(B205="","",SUM($K$6:K205)-SUM($L$6:L205))</f>
        <v/>
      </c>
      <c r="Q205" s="75" t="str">
        <f t="shared" si="25"/>
        <v/>
      </c>
      <c r="R205" s="84"/>
      <c r="S205" s="84"/>
    </row>
    <row r="206" spans="1:19" x14ac:dyDescent="0.35">
      <c r="A206" s="75" t="str">
        <f t="shared" si="26"/>
        <v/>
      </c>
      <c r="B206" s="81"/>
      <c r="C206" s="75" t="str">
        <f t="shared" si="27"/>
        <v/>
      </c>
      <c r="D206" s="75" t="str">
        <f t="shared" si="28"/>
        <v/>
      </c>
      <c r="E206" s="14"/>
      <c r="F206" s="14"/>
      <c r="G206" s="14"/>
      <c r="H206" s="75" t="str">
        <f t="shared" si="29"/>
        <v/>
      </c>
      <c r="I206" s="77" t="str">
        <f>IF(G206="","",IFERROR(VLOOKUP(G206,'Plan Comptable'!$B$5:$C$278,2,FALSE),"Compte inconnu"))</f>
        <v/>
      </c>
      <c r="J206" s="83"/>
      <c r="K206" s="83"/>
      <c r="L206" s="14"/>
      <c r="M206" s="32" t="str">
        <f t="shared" si="24"/>
        <v/>
      </c>
      <c r="N206" s="77" t="str">
        <f t="shared" si="30"/>
        <v/>
      </c>
      <c r="O206" s="75" t="str">
        <f t="shared" si="31"/>
        <v/>
      </c>
      <c r="P206" s="79" t="str">
        <f>IF(B206="","",SUM($K$6:K206)-SUM($L$6:L206))</f>
        <v/>
      </c>
      <c r="Q206" s="75" t="str">
        <f t="shared" si="25"/>
        <v/>
      </c>
      <c r="R206" s="84"/>
      <c r="S206" s="84"/>
    </row>
    <row r="207" spans="1:19" x14ac:dyDescent="0.35">
      <c r="A207" s="75" t="str">
        <f t="shared" si="26"/>
        <v/>
      </c>
      <c r="B207" s="81"/>
      <c r="C207" s="75" t="str">
        <f t="shared" si="27"/>
        <v/>
      </c>
      <c r="D207" s="75" t="str">
        <f t="shared" si="28"/>
        <v/>
      </c>
      <c r="E207" s="14"/>
      <c r="F207" s="14"/>
      <c r="G207" s="14"/>
      <c r="H207" s="75" t="str">
        <f t="shared" si="29"/>
        <v/>
      </c>
      <c r="I207" s="77" t="str">
        <f>IF(G207="","",IFERROR(VLOOKUP(G207,'Plan Comptable'!$B$5:$C$278,2,FALSE),"Compte inconnu"))</f>
        <v/>
      </c>
      <c r="J207" s="83"/>
      <c r="K207" s="83"/>
      <c r="L207" s="14"/>
      <c r="M207" s="32" t="str">
        <f t="shared" si="24"/>
        <v/>
      </c>
      <c r="N207" s="77" t="str">
        <f t="shared" si="30"/>
        <v/>
      </c>
      <c r="O207" s="75" t="str">
        <f t="shared" si="31"/>
        <v/>
      </c>
      <c r="P207" s="79" t="str">
        <f>IF(B207="","",SUM($K$6:K207)-SUM($L$6:L207))</f>
        <v/>
      </c>
      <c r="Q207" s="75" t="str">
        <f t="shared" si="25"/>
        <v/>
      </c>
      <c r="R207" s="84"/>
      <c r="S207" s="84"/>
    </row>
    <row r="208" spans="1:19" x14ac:dyDescent="0.35">
      <c r="A208" s="75" t="str">
        <f t="shared" si="26"/>
        <v/>
      </c>
      <c r="B208" s="81"/>
      <c r="C208" s="75" t="str">
        <f t="shared" si="27"/>
        <v/>
      </c>
      <c r="D208" s="75" t="str">
        <f t="shared" si="28"/>
        <v/>
      </c>
      <c r="E208" s="14"/>
      <c r="F208" s="14"/>
      <c r="G208" s="14"/>
      <c r="H208" s="75" t="str">
        <f t="shared" si="29"/>
        <v/>
      </c>
      <c r="I208" s="77" t="str">
        <f>IF(G208="","",IFERROR(VLOOKUP(G208,'Plan Comptable'!$B$5:$C$278,2,FALSE),"Compte inconnu"))</f>
        <v/>
      </c>
      <c r="J208" s="83"/>
      <c r="K208" s="83"/>
      <c r="L208" s="14"/>
      <c r="M208" s="32" t="str">
        <f t="shared" si="24"/>
        <v/>
      </c>
      <c r="N208" s="77" t="str">
        <f t="shared" si="30"/>
        <v/>
      </c>
      <c r="O208" s="75" t="str">
        <f t="shared" si="31"/>
        <v/>
      </c>
      <c r="P208" s="79" t="str">
        <f>IF(B208="","",SUM($K$6:K208)-SUM($L$6:L208))</f>
        <v/>
      </c>
      <c r="Q208" s="75" t="str">
        <f t="shared" si="25"/>
        <v/>
      </c>
      <c r="R208" s="84"/>
      <c r="S208" s="84"/>
    </row>
    <row r="209" spans="1:19" x14ac:dyDescent="0.35">
      <c r="A209" s="75" t="str">
        <f t="shared" si="26"/>
        <v/>
      </c>
      <c r="B209" s="81"/>
      <c r="C209" s="75" t="str">
        <f t="shared" si="27"/>
        <v/>
      </c>
      <c r="D209" s="75" t="str">
        <f t="shared" si="28"/>
        <v/>
      </c>
      <c r="E209" s="14"/>
      <c r="F209" s="14"/>
      <c r="G209" s="14"/>
      <c r="H209" s="75" t="str">
        <f t="shared" si="29"/>
        <v/>
      </c>
      <c r="I209" s="77" t="str">
        <f>IF(G209="","",IFERROR(VLOOKUP(G209,'Plan Comptable'!$B$5:$C$278,2,FALSE),"Compte inconnu"))</f>
        <v/>
      </c>
      <c r="J209" s="83"/>
      <c r="K209" s="83"/>
      <c r="L209" s="14"/>
      <c r="M209" s="32" t="str">
        <f t="shared" si="24"/>
        <v/>
      </c>
      <c r="N209" s="77" t="str">
        <f t="shared" si="30"/>
        <v/>
      </c>
      <c r="O209" s="75" t="str">
        <f t="shared" si="31"/>
        <v/>
      </c>
      <c r="P209" s="79" t="str">
        <f>IF(B209="","",SUM($K$6:K209)-SUM($L$6:L209))</f>
        <v/>
      </c>
      <c r="Q209" s="75" t="str">
        <f t="shared" si="25"/>
        <v/>
      </c>
      <c r="R209" s="84"/>
      <c r="S209" s="84"/>
    </row>
    <row r="210" spans="1:19" x14ac:dyDescent="0.35">
      <c r="A210" s="75" t="str">
        <f t="shared" si="26"/>
        <v/>
      </c>
      <c r="B210" s="81"/>
      <c r="C210" s="75" t="str">
        <f t="shared" si="27"/>
        <v/>
      </c>
      <c r="D210" s="75" t="str">
        <f t="shared" si="28"/>
        <v/>
      </c>
      <c r="E210" s="14"/>
      <c r="F210" s="14"/>
      <c r="G210" s="14"/>
      <c r="H210" s="75" t="str">
        <f t="shared" si="29"/>
        <v/>
      </c>
      <c r="I210" s="77" t="str">
        <f>IF(G210="","",IFERROR(VLOOKUP(G210,'Plan Comptable'!$B$5:$C$278,2,FALSE),"Compte inconnu"))</f>
        <v/>
      </c>
      <c r="J210" s="83"/>
      <c r="K210" s="83"/>
      <c r="L210" s="14"/>
      <c r="M210" s="32" t="str">
        <f t="shared" si="24"/>
        <v/>
      </c>
      <c r="N210" s="77" t="str">
        <f t="shared" si="30"/>
        <v/>
      </c>
      <c r="O210" s="75" t="str">
        <f t="shared" si="31"/>
        <v/>
      </c>
      <c r="P210" s="79" t="str">
        <f>IF(B210="","",SUM($K$6:K210)-SUM($L$6:L210))</f>
        <v/>
      </c>
      <c r="Q210" s="75" t="str">
        <f t="shared" si="25"/>
        <v/>
      </c>
      <c r="R210" s="84"/>
      <c r="S210" s="84"/>
    </row>
    <row r="211" spans="1:19" x14ac:dyDescent="0.35">
      <c r="A211" s="75" t="str">
        <f t="shared" si="26"/>
        <v/>
      </c>
      <c r="B211" s="81"/>
      <c r="C211" s="75" t="str">
        <f t="shared" si="27"/>
        <v/>
      </c>
      <c r="D211" s="75" t="str">
        <f t="shared" si="28"/>
        <v/>
      </c>
      <c r="E211" s="14"/>
      <c r="F211" s="14"/>
      <c r="G211" s="14"/>
      <c r="H211" s="75" t="str">
        <f t="shared" si="29"/>
        <v/>
      </c>
      <c r="I211" s="77" t="str">
        <f>IF(G211="","",IFERROR(VLOOKUP(G211,'Plan Comptable'!$B$5:$C$278,2,FALSE),"Compte inconnu"))</f>
        <v/>
      </c>
      <c r="J211" s="83"/>
      <c r="K211" s="83"/>
      <c r="L211" s="14"/>
      <c r="M211" s="32" t="str">
        <f t="shared" si="24"/>
        <v/>
      </c>
      <c r="N211" s="77" t="str">
        <f t="shared" si="30"/>
        <v/>
      </c>
      <c r="O211" s="75" t="str">
        <f t="shared" si="31"/>
        <v/>
      </c>
      <c r="P211" s="79" t="str">
        <f>IF(B211="","",SUM($K$6:K211)-SUM($L$6:L211))</f>
        <v/>
      </c>
      <c r="Q211" s="75" t="str">
        <f t="shared" si="25"/>
        <v/>
      </c>
      <c r="R211" s="84"/>
      <c r="S211" s="84"/>
    </row>
    <row r="212" spans="1:19" x14ac:dyDescent="0.35">
      <c r="A212" s="75" t="str">
        <f t="shared" si="26"/>
        <v/>
      </c>
      <c r="B212" s="81"/>
      <c r="C212" s="75" t="str">
        <f t="shared" si="27"/>
        <v/>
      </c>
      <c r="D212" s="75" t="str">
        <f t="shared" si="28"/>
        <v/>
      </c>
      <c r="E212" s="14"/>
      <c r="F212" s="14"/>
      <c r="G212" s="14"/>
      <c r="H212" s="75" t="str">
        <f t="shared" si="29"/>
        <v/>
      </c>
      <c r="I212" s="77" t="str">
        <f>IF(G212="","",IFERROR(VLOOKUP(G212,'Plan Comptable'!$B$5:$C$278,2,FALSE),"Compte inconnu"))</f>
        <v/>
      </c>
      <c r="J212" s="83"/>
      <c r="K212" s="83"/>
      <c r="L212" s="14"/>
      <c r="M212" s="32" t="str">
        <f t="shared" si="24"/>
        <v/>
      </c>
      <c r="N212" s="77" t="str">
        <f t="shared" si="30"/>
        <v/>
      </c>
      <c r="O212" s="75" t="str">
        <f t="shared" si="31"/>
        <v/>
      </c>
      <c r="P212" s="79" t="str">
        <f>IF(B212="","",SUM($K$6:K212)-SUM($L$6:L212))</f>
        <v/>
      </c>
      <c r="Q212" s="75" t="str">
        <f t="shared" si="25"/>
        <v/>
      </c>
      <c r="R212" s="84"/>
      <c r="S212" s="84"/>
    </row>
    <row r="213" spans="1:19" x14ac:dyDescent="0.35">
      <c r="A213" s="75" t="str">
        <f t="shared" si="26"/>
        <v/>
      </c>
      <c r="B213" s="81"/>
      <c r="C213" s="75" t="str">
        <f t="shared" si="27"/>
        <v/>
      </c>
      <c r="D213" s="75" t="str">
        <f t="shared" si="28"/>
        <v/>
      </c>
      <c r="E213" s="14"/>
      <c r="F213" s="14"/>
      <c r="G213" s="14"/>
      <c r="H213" s="75" t="str">
        <f t="shared" si="29"/>
        <v/>
      </c>
      <c r="I213" s="77" t="str">
        <f>IF(G213="","",IFERROR(VLOOKUP(G213,'Plan Comptable'!$B$5:$C$278,2,FALSE),"Compte inconnu"))</f>
        <v/>
      </c>
      <c r="J213" s="83"/>
      <c r="K213" s="83"/>
      <c r="L213" s="14"/>
      <c r="M213" s="32" t="str">
        <f t="shared" si="24"/>
        <v/>
      </c>
      <c r="N213" s="77" t="str">
        <f t="shared" si="30"/>
        <v/>
      </c>
      <c r="O213" s="75" t="str">
        <f t="shared" si="31"/>
        <v/>
      </c>
      <c r="P213" s="79" t="str">
        <f>IF(B213="","",SUM($K$6:K213)-SUM($L$6:L213))</f>
        <v/>
      </c>
      <c r="Q213" s="75" t="str">
        <f t="shared" si="25"/>
        <v/>
      </c>
      <c r="R213" s="84"/>
      <c r="S213" s="84"/>
    </row>
    <row r="214" spans="1:19" x14ac:dyDescent="0.35">
      <c r="A214" s="75" t="str">
        <f t="shared" si="26"/>
        <v/>
      </c>
      <c r="B214" s="81"/>
      <c r="C214" s="75" t="str">
        <f t="shared" si="27"/>
        <v/>
      </c>
      <c r="D214" s="75" t="str">
        <f t="shared" si="28"/>
        <v/>
      </c>
      <c r="E214" s="14"/>
      <c r="F214" s="14"/>
      <c r="G214" s="14"/>
      <c r="H214" s="75" t="str">
        <f t="shared" si="29"/>
        <v/>
      </c>
      <c r="I214" s="77" t="str">
        <f>IF(G214="","",IFERROR(VLOOKUP(G214,'Plan Comptable'!$B$5:$C$278,2,FALSE),"Compte inconnu"))</f>
        <v/>
      </c>
      <c r="J214" s="83"/>
      <c r="K214" s="83"/>
      <c r="L214" s="14"/>
      <c r="M214" s="32" t="str">
        <f t="shared" si="24"/>
        <v/>
      </c>
      <c r="N214" s="77" t="str">
        <f t="shared" si="30"/>
        <v/>
      </c>
      <c r="O214" s="75" t="str">
        <f t="shared" si="31"/>
        <v/>
      </c>
      <c r="P214" s="79" t="str">
        <f>IF(B214="","",SUM($K$6:K214)-SUM($L$6:L214))</f>
        <v/>
      </c>
      <c r="Q214" s="75" t="str">
        <f t="shared" si="25"/>
        <v/>
      </c>
      <c r="R214" s="84"/>
      <c r="S214" s="84"/>
    </row>
    <row r="215" spans="1:19" x14ac:dyDescent="0.35">
      <c r="A215" s="75" t="str">
        <f t="shared" si="26"/>
        <v/>
      </c>
      <c r="B215" s="81"/>
      <c r="C215" s="75" t="str">
        <f t="shared" si="27"/>
        <v/>
      </c>
      <c r="D215" s="75" t="str">
        <f t="shared" si="28"/>
        <v/>
      </c>
      <c r="E215" s="14"/>
      <c r="F215" s="14"/>
      <c r="G215" s="14"/>
      <c r="H215" s="75" t="str">
        <f t="shared" si="29"/>
        <v/>
      </c>
      <c r="I215" s="77" t="str">
        <f>IF(G215="","",IFERROR(VLOOKUP(G215,'Plan Comptable'!$B$5:$C$278,2,FALSE),"Compte inconnu"))</f>
        <v/>
      </c>
      <c r="J215" s="83"/>
      <c r="K215" s="83"/>
      <c r="L215" s="14"/>
      <c r="M215" s="32" t="str">
        <f t="shared" si="24"/>
        <v/>
      </c>
      <c r="N215" s="77" t="str">
        <f t="shared" si="30"/>
        <v/>
      </c>
      <c r="O215" s="75" t="str">
        <f t="shared" si="31"/>
        <v/>
      </c>
      <c r="P215" s="79" t="str">
        <f>IF(B215="","",SUM($K$6:K215)-SUM($L$6:L215))</f>
        <v/>
      </c>
      <c r="Q215" s="75" t="str">
        <f t="shared" si="25"/>
        <v/>
      </c>
      <c r="R215" s="84"/>
      <c r="S215" s="84"/>
    </row>
    <row r="216" spans="1:19" x14ac:dyDescent="0.35">
      <c r="A216" s="75" t="str">
        <f t="shared" si="26"/>
        <v/>
      </c>
      <c r="B216" s="81"/>
      <c r="C216" s="75" t="str">
        <f t="shared" si="27"/>
        <v/>
      </c>
      <c r="D216" s="75" t="str">
        <f t="shared" si="28"/>
        <v/>
      </c>
      <c r="E216" s="14"/>
      <c r="F216" s="14"/>
      <c r="G216" s="14"/>
      <c r="H216" s="75" t="str">
        <f t="shared" si="29"/>
        <v/>
      </c>
      <c r="I216" s="77" t="str">
        <f>IF(G216="","",IFERROR(VLOOKUP(G216,'Plan Comptable'!$B$5:$C$278,2,FALSE),"Compte inconnu"))</f>
        <v/>
      </c>
      <c r="J216" s="83"/>
      <c r="K216" s="83"/>
      <c r="L216" s="14"/>
      <c r="M216" s="32" t="str">
        <f t="shared" si="24"/>
        <v/>
      </c>
      <c r="N216" s="77" t="str">
        <f t="shared" si="30"/>
        <v/>
      </c>
      <c r="O216" s="75" t="str">
        <f t="shared" si="31"/>
        <v/>
      </c>
      <c r="P216" s="79" t="str">
        <f>IF(B216="","",SUM($K$6:K216)-SUM($L$6:L216))</f>
        <v/>
      </c>
      <c r="Q216" s="75" t="str">
        <f t="shared" si="25"/>
        <v/>
      </c>
      <c r="R216" s="84"/>
      <c r="S216" s="84"/>
    </row>
    <row r="217" spans="1:19" x14ac:dyDescent="0.35">
      <c r="A217" s="75" t="str">
        <f t="shared" si="26"/>
        <v/>
      </c>
      <c r="B217" s="81"/>
      <c r="C217" s="75" t="str">
        <f t="shared" si="27"/>
        <v/>
      </c>
      <c r="D217" s="75" t="str">
        <f t="shared" si="28"/>
        <v/>
      </c>
      <c r="E217" s="14"/>
      <c r="F217" s="14"/>
      <c r="G217" s="14"/>
      <c r="H217" s="75" t="str">
        <f t="shared" si="29"/>
        <v/>
      </c>
      <c r="I217" s="77" t="str">
        <f>IF(G217="","",IFERROR(VLOOKUP(G217,'Plan Comptable'!$B$5:$C$278,2,FALSE),"Compte inconnu"))</f>
        <v/>
      </c>
      <c r="J217" s="83"/>
      <c r="K217" s="83"/>
      <c r="L217" s="14"/>
      <c r="M217" s="32" t="str">
        <f t="shared" si="24"/>
        <v/>
      </c>
      <c r="N217" s="77" t="str">
        <f t="shared" si="30"/>
        <v/>
      </c>
      <c r="O217" s="75" t="str">
        <f t="shared" si="31"/>
        <v/>
      </c>
      <c r="P217" s="79" t="str">
        <f>IF(B217="","",SUM($K$6:K217)-SUM($L$6:L217))</f>
        <v/>
      </c>
      <c r="Q217" s="75" t="str">
        <f t="shared" si="25"/>
        <v/>
      </c>
      <c r="R217" s="84"/>
      <c r="S217" s="84"/>
    </row>
    <row r="218" spans="1:19" x14ac:dyDescent="0.35">
      <c r="A218" s="75" t="str">
        <f t="shared" si="26"/>
        <v/>
      </c>
      <c r="B218" s="81"/>
      <c r="C218" s="75" t="str">
        <f t="shared" si="27"/>
        <v/>
      </c>
      <c r="D218" s="75" t="str">
        <f t="shared" si="28"/>
        <v/>
      </c>
      <c r="E218" s="14"/>
      <c r="F218" s="14"/>
      <c r="G218" s="14"/>
      <c r="H218" s="75" t="str">
        <f t="shared" si="29"/>
        <v/>
      </c>
      <c r="I218" s="77" t="str">
        <f>IF(G218="","",IFERROR(VLOOKUP(G218,'Plan Comptable'!$B$5:$C$278,2,FALSE),"Compte inconnu"))</f>
        <v/>
      </c>
      <c r="J218" s="83"/>
      <c r="K218" s="83"/>
      <c r="L218" s="14"/>
      <c r="M218" s="32" t="str">
        <f t="shared" si="24"/>
        <v/>
      </c>
      <c r="N218" s="77" t="str">
        <f t="shared" si="30"/>
        <v/>
      </c>
      <c r="O218" s="75" t="str">
        <f t="shared" si="31"/>
        <v/>
      </c>
      <c r="P218" s="79" t="str">
        <f>IF(B218="","",SUM($K$6:K218)-SUM($L$6:L218))</f>
        <v/>
      </c>
      <c r="Q218" s="75" t="str">
        <f t="shared" si="25"/>
        <v/>
      </c>
      <c r="R218" s="84"/>
      <c r="S218" s="84"/>
    </row>
    <row r="219" spans="1:19" x14ac:dyDescent="0.35">
      <c r="A219" s="75" t="str">
        <f t="shared" si="26"/>
        <v/>
      </c>
      <c r="B219" s="81"/>
      <c r="C219" s="75" t="str">
        <f t="shared" si="27"/>
        <v/>
      </c>
      <c r="D219" s="75" t="str">
        <f t="shared" si="28"/>
        <v/>
      </c>
      <c r="E219" s="14"/>
      <c r="F219" s="14"/>
      <c r="G219" s="14"/>
      <c r="H219" s="75" t="str">
        <f t="shared" si="29"/>
        <v/>
      </c>
      <c r="I219" s="77" t="str">
        <f>IF(G219="","",IFERROR(VLOOKUP(G219,'Plan Comptable'!$B$5:$C$278,2,FALSE),"Compte inconnu"))</f>
        <v/>
      </c>
      <c r="J219" s="83"/>
      <c r="K219" s="83"/>
      <c r="L219" s="14"/>
      <c r="M219" s="32" t="str">
        <f t="shared" si="24"/>
        <v/>
      </c>
      <c r="N219" s="77" t="str">
        <f t="shared" si="30"/>
        <v/>
      </c>
      <c r="O219" s="75" t="str">
        <f t="shared" si="31"/>
        <v/>
      </c>
      <c r="P219" s="79" t="str">
        <f>IF(B219="","",SUM($K$6:K219)-SUM($L$6:L219))</f>
        <v/>
      </c>
      <c r="Q219" s="75" t="str">
        <f t="shared" si="25"/>
        <v/>
      </c>
      <c r="R219" s="84"/>
      <c r="S219" s="84"/>
    </row>
    <row r="220" spans="1:19" x14ac:dyDescent="0.35">
      <c r="A220" s="75" t="str">
        <f t="shared" si="26"/>
        <v/>
      </c>
      <c r="B220" s="81"/>
      <c r="C220" s="75" t="str">
        <f t="shared" si="27"/>
        <v/>
      </c>
      <c r="D220" s="75" t="str">
        <f t="shared" si="28"/>
        <v/>
      </c>
      <c r="E220" s="14"/>
      <c r="F220" s="14"/>
      <c r="G220" s="14"/>
      <c r="H220" s="75" t="str">
        <f t="shared" si="29"/>
        <v/>
      </c>
      <c r="I220" s="77" t="str">
        <f>IF(G220="","",IFERROR(VLOOKUP(G220,'Plan Comptable'!$B$5:$C$278,2,FALSE),"Compte inconnu"))</f>
        <v/>
      </c>
      <c r="J220" s="83"/>
      <c r="K220" s="83"/>
      <c r="L220" s="14"/>
      <c r="M220" s="32" t="str">
        <f t="shared" si="24"/>
        <v/>
      </c>
      <c r="N220" s="77" t="str">
        <f t="shared" si="30"/>
        <v/>
      </c>
      <c r="O220" s="75" t="str">
        <f t="shared" si="31"/>
        <v/>
      </c>
      <c r="P220" s="79" t="str">
        <f>IF(B220="","",SUM($K$6:K220)-SUM($L$6:L220))</f>
        <v/>
      </c>
      <c r="Q220" s="75" t="str">
        <f t="shared" si="25"/>
        <v/>
      </c>
      <c r="R220" s="84"/>
      <c r="S220" s="84"/>
    </row>
    <row r="221" spans="1:19" x14ac:dyDescent="0.35">
      <c r="A221" s="75" t="str">
        <f t="shared" si="26"/>
        <v/>
      </c>
      <c r="B221" s="81"/>
      <c r="C221" s="75" t="str">
        <f t="shared" si="27"/>
        <v/>
      </c>
      <c r="D221" s="75" t="str">
        <f t="shared" si="28"/>
        <v/>
      </c>
      <c r="E221" s="14"/>
      <c r="F221" s="14"/>
      <c r="G221" s="14"/>
      <c r="H221" s="75" t="str">
        <f t="shared" si="29"/>
        <v/>
      </c>
      <c r="I221" s="77" t="str">
        <f>IF(G221="","",IFERROR(VLOOKUP(G221,'Plan Comptable'!$B$5:$C$278,2,FALSE),"Compte inconnu"))</f>
        <v/>
      </c>
      <c r="J221" s="83"/>
      <c r="K221" s="83"/>
      <c r="L221" s="14"/>
      <c r="M221" s="32" t="str">
        <f t="shared" si="24"/>
        <v/>
      </c>
      <c r="N221" s="77" t="str">
        <f t="shared" si="30"/>
        <v/>
      </c>
      <c r="O221" s="75" t="str">
        <f t="shared" si="31"/>
        <v/>
      </c>
      <c r="P221" s="79" t="str">
        <f>IF(B221="","",SUM($K$6:K221)-SUM($L$6:L221))</f>
        <v/>
      </c>
      <c r="Q221" s="75" t="str">
        <f t="shared" si="25"/>
        <v/>
      </c>
      <c r="R221" s="84"/>
      <c r="S221" s="84"/>
    </row>
    <row r="222" spans="1:19" x14ac:dyDescent="0.35">
      <c r="A222" s="75" t="str">
        <f t="shared" si="26"/>
        <v/>
      </c>
      <c r="B222" s="81"/>
      <c r="C222" s="75" t="str">
        <f t="shared" si="27"/>
        <v/>
      </c>
      <c r="D222" s="75" t="str">
        <f t="shared" si="28"/>
        <v/>
      </c>
      <c r="E222" s="14"/>
      <c r="F222" s="14"/>
      <c r="G222" s="14"/>
      <c r="H222" s="75" t="str">
        <f t="shared" si="29"/>
        <v/>
      </c>
      <c r="I222" s="77" t="str">
        <f>IF(G222="","",IFERROR(VLOOKUP(G222,'Plan Comptable'!$B$5:$C$278,2,FALSE),"Compte inconnu"))</f>
        <v/>
      </c>
      <c r="J222" s="83"/>
      <c r="K222" s="83"/>
      <c r="L222" s="14"/>
      <c r="M222" s="32" t="str">
        <f t="shared" si="24"/>
        <v/>
      </c>
      <c r="N222" s="77" t="str">
        <f t="shared" si="30"/>
        <v/>
      </c>
      <c r="O222" s="75" t="str">
        <f t="shared" si="31"/>
        <v/>
      </c>
      <c r="P222" s="79" t="str">
        <f>IF(B222="","",SUM($K$6:K222)-SUM($L$6:L222))</f>
        <v/>
      </c>
      <c r="Q222" s="75" t="str">
        <f t="shared" si="25"/>
        <v/>
      </c>
      <c r="R222" s="84"/>
      <c r="S222" s="84"/>
    </row>
    <row r="223" spans="1:19" x14ac:dyDescent="0.35">
      <c r="A223" s="75" t="str">
        <f t="shared" si="26"/>
        <v/>
      </c>
      <c r="B223" s="81"/>
      <c r="C223" s="75" t="str">
        <f t="shared" si="27"/>
        <v/>
      </c>
      <c r="D223" s="75" t="str">
        <f t="shared" si="28"/>
        <v/>
      </c>
      <c r="E223" s="14"/>
      <c r="F223" s="14"/>
      <c r="G223" s="14"/>
      <c r="H223" s="75" t="str">
        <f t="shared" si="29"/>
        <v/>
      </c>
      <c r="I223" s="77" t="str">
        <f>IF(G223="","",IFERROR(VLOOKUP(G223,'Plan Comptable'!$B$5:$C$278,2,FALSE),"Compte inconnu"))</f>
        <v/>
      </c>
      <c r="J223" s="83"/>
      <c r="K223" s="83"/>
      <c r="L223" s="14"/>
      <c r="M223" s="32" t="str">
        <f t="shared" si="24"/>
        <v/>
      </c>
      <c r="N223" s="77" t="str">
        <f t="shared" si="30"/>
        <v/>
      </c>
      <c r="O223" s="75" t="str">
        <f t="shared" si="31"/>
        <v/>
      </c>
      <c r="P223" s="79" t="str">
        <f>IF(B223="","",SUM($K$6:K223)-SUM($L$6:L223))</f>
        <v/>
      </c>
      <c r="Q223" s="75" t="str">
        <f t="shared" si="25"/>
        <v/>
      </c>
      <c r="R223" s="84"/>
      <c r="S223" s="84"/>
    </row>
    <row r="224" spans="1:19" x14ac:dyDescent="0.35">
      <c r="A224" s="75" t="str">
        <f t="shared" si="26"/>
        <v/>
      </c>
      <c r="B224" s="81"/>
      <c r="C224" s="75" t="str">
        <f t="shared" si="27"/>
        <v/>
      </c>
      <c r="D224" s="75" t="str">
        <f t="shared" si="28"/>
        <v/>
      </c>
      <c r="E224" s="14"/>
      <c r="F224" s="14"/>
      <c r="G224" s="14"/>
      <c r="H224" s="75" t="str">
        <f t="shared" si="29"/>
        <v/>
      </c>
      <c r="I224" s="77" t="str">
        <f>IF(G224="","",IFERROR(VLOOKUP(G224,'Plan Comptable'!$B$5:$C$278,2,FALSE),"Compte inconnu"))</f>
        <v/>
      </c>
      <c r="J224" s="83"/>
      <c r="K224" s="83"/>
      <c r="L224" s="14"/>
      <c r="M224" s="32" t="str">
        <f t="shared" si="24"/>
        <v/>
      </c>
      <c r="N224" s="77" t="str">
        <f t="shared" si="30"/>
        <v/>
      </c>
      <c r="O224" s="75" t="str">
        <f t="shared" si="31"/>
        <v/>
      </c>
      <c r="P224" s="79" t="str">
        <f>IF(B224="","",SUM($K$6:K224)-SUM($L$6:L224))</f>
        <v/>
      </c>
      <c r="Q224" s="75" t="str">
        <f t="shared" si="25"/>
        <v/>
      </c>
      <c r="R224" s="84"/>
      <c r="S224" s="84"/>
    </row>
    <row r="225" spans="1:19" x14ac:dyDescent="0.35">
      <c r="A225" s="75" t="str">
        <f t="shared" si="26"/>
        <v/>
      </c>
      <c r="B225" s="81"/>
      <c r="C225" s="75" t="str">
        <f t="shared" si="27"/>
        <v/>
      </c>
      <c r="D225" s="75" t="str">
        <f t="shared" si="28"/>
        <v/>
      </c>
      <c r="E225" s="14"/>
      <c r="F225" s="14"/>
      <c r="G225" s="14"/>
      <c r="H225" s="75" t="str">
        <f t="shared" si="29"/>
        <v/>
      </c>
      <c r="I225" s="77" t="str">
        <f>IF(G225="","",IFERROR(VLOOKUP(G225,'Plan Comptable'!$B$5:$C$278,2,FALSE),"Compte inconnu"))</f>
        <v/>
      </c>
      <c r="J225" s="83"/>
      <c r="K225" s="83"/>
      <c r="L225" s="14"/>
      <c r="M225" s="32" t="str">
        <f t="shared" si="24"/>
        <v/>
      </c>
      <c r="N225" s="77" t="str">
        <f t="shared" si="30"/>
        <v/>
      </c>
      <c r="O225" s="75" t="str">
        <f t="shared" si="31"/>
        <v/>
      </c>
      <c r="P225" s="79" t="str">
        <f>IF(B225="","",SUM($K$6:K225)-SUM($L$6:L225))</f>
        <v/>
      </c>
      <c r="Q225" s="75" t="str">
        <f t="shared" si="25"/>
        <v/>
      </c>
      <c r="R225" s="84"/>
      <c r="S225" s="84"/>
    </row>
    <row r="226" spans="1:19" x14ac:dyDescent="0.35">
      <c r="A226" s="75" t="str">
        <f t="shared" si="26"/>
        <v/>
      </c>
      <c r="B226" s="81"/>
      <c r="C226" s="75" t="str">
        <f t="shared" si="27"/>
        <v/>
      </c>
      <c r="D226" s="75" t="str">
        <f t="shared" si="28"/>
        <v/>
      </c>
      <c r="E226" s="14"/>
      <c r="F226" s="14"/>
      <c r="G226" s="14"/>
      <c r="H226" s="75" t="str">
        <f t="shared" si="29"/>
        <v/>
      </c>
      <c r="I226" s="77" t="str">
        <f>IF(G226="","",IFERROR(VLOOKUP(G226,'Plan Comptable'!$B$5:$C$278,2,FALSE),"Compte inconnu"))</f>
        <v/>
      </c>
      <c r="J226" s="83"/>
      <c r="K226" s="83"/>
      <c r="L226" s="14"/>
      <c r="M226" s="32" t="str">
        <f t="shared" si="24"/>
        <v/>
      </c>
      <c r="N226" s="77" t="str">
        <f t="shared" si="30"/>
        <v/>
      </c>
      <c r="O226" s="75" t="str">
        <f t="shared" si="31"/>
        <v/>
      </c>
      <c r="P226" s="79" t="str">
        <f>IF(B226="","",SUM($K$6:K226)-SUM($L$6:L226))</f>
        <v/>
      </c>
      <c r="Q226" s="75" t="str">
        <f t="shared" si="25"/>
        <v/>
      </c>
      <c r="R226" s="84"/>
      <c r="S226" s="84"/>
    </row>
    <row r="227" spans="1:19" x14ac:dyDescent="0.35">
      <c r="A227" s="75" t="str">
        <f t="shared" si="26"/>
        <v/>
      </c>
      <c r="B227" s="81"/>
      <c r="C227" s="75" t="str">
        <f t="shared" si="27"/>
        <v/>
      </c>
      <c r="D227" s="75" t="str">
        <f t="shared" si="28"/>
        <v/>
      </c>
      <c r="E227" s="14"/>
      <c r="F227" s="14"/>
      <c r="G227" s="14"/>
      <c r="H227" s="75" t="str">
        <f t="shared" si="29"/>
        <v/>
      </c>
      <c r="I227" s="77" t="str">
        <f>IF(G227="","",IFERROR(VLOOKUP(G227,'Plan Comptable'!$B$5:$C$278,2,FALSE),"Compte inconnu"))</f>
        <v/>
      </c>
      <c r="J227" s="83"/>
      <c r="K227" s="83"/>
      <c r="L227" s="14"/>
      <c r="M227" s="32" t="str">
        <f t="shared" si="24"/>
        <v/>
      </c>
      <c r="N227" s="77" t="str">
        <f t="shared" si="30"/>
        <v/>
      </c>
      <c r="O227" s="75" t="str">
        <f t="shared" si="31"/>
        <v/>
      </c>
      <c r="P227" s="79" t="str">
        <f>IF(B227="","",SUM($K$6:K227)-SUM($L$6:L227))</f>
        <v/>
      </c>
      <c r="Q227" s="75" t="str">
        <f t="shared" si="25"/>
        <v/>
      </c>
      <c r="R227" s="84"/>
      <c r="S227" s="84"/>
    </row>
    <row r="228" spans="1:19" x14ac:dyDescent="0.35">
      <c r="A228" s="75" t="str">
        <f t="shared" si="26"/>
        <v/>
      </c>
      <c r="B228" s="81"/>
      <c r="C228" s="75" t="str">
        <f t="shared" si="27"/>
        <v/>
      </c>
      <c r="D228" s="75" t="str">
        <f t="shared" si="28"/>
        <v/>
      </c>
      <c r="E228" s="14"/>
      <c r="F228" s="14"/>
      <c r="G228" s="14"/>
      <c r="H228" s="75" t="str">
        <f t="shared" si="29"/>
        <v/>
      </c>
      <c r="I228" s="77" t="str">
        <f>IF(G228="","",IFERROR(VLOOKUP(G228,'Plan Comptable'!$B$5:$C$278,2,FALSE),"Compte inconnu"))</f>
        <v/>
      </c>
      <c r="J228" s="83"/>
      <c r="K228" s="83"/>
      <c r="L228" s="14"/>
      <c r="M228" s="32" t="str">
        <f t="shared" si="24"/>
        <v/>
      </c>
      <c r="N228" s="77" t="str">
        <f t="shared" si="30"/>
        <v/>
      </c>
      <c r="O228" s="75" t="str">
        <f t="shared" si="31"/>
        <v/>
      </c>
      <c r="P228" s="79" t="str">
        <f>IF(B228="","",SUM($K$6:K228)-SUM($L$6:L228))</f>
        <v/>
      </c>
      <c r="Q228" s="75" t="str">
        <f t="shared" si="25"/>
        <v/>
      </c>
      <c r="R228" s="84"/>
      <c r="S228" s="84"/>
    </row>
    <row r="229" spans="1:19" x14ac:dyDescent="0.35">
      <c r="A229" s="75" t="str">
        <f t="shared" si="26"/>
        <v/>
      </c>
      <c r="B229" s="81"/>
      <c r="C229" s="75" t="str">
        <f t="shared" si="27"/>
        <v/>
      </c>
      <c r="D229" s="75" t="str">
        <f t="shared" si="28"/>
        <v/>
      </c>
      <c r="E229" s="14"/>
      <c r="F229" s="14"/>
      <c r="G229" s="14"/>
      <c r="H229" s="75" t="str">
        <f t="shared" si="29"/>
        <v/>
      </c>
      <c r="I229" s="77" t="str">
        <f>IF(G229="","",IFERROR(VLOOKUP(G229,'Plan Comptable'!$B$5:$C$278,2,FALSE),"Compte inconnu"))</f>
        <v/>
      </c>
      <c r="J229" s="83"/>
      <c r="K229" s="83"/>
      <c r="L229" s="14"/>
      <c r="M229" s="32" t="str">
        <f t="shared" si="24"/>
        <v/>
      </c>
      <c r="N229" s="77" t="str">
        <f t="shared" si="30"/>
        <v/>
      </c>
      <c r="O229" s="75" t="str">
        <f t="shared" si="31"/>
        <v/>
      </c>
      <c r="P229" s="79" t="str">
        <f>IF(B229="","",SUM($K$6:K229)-SUM($L$6:L229))</f>
        <v/>
      </c>
      <c r="Q229" s="75" t="str">
        <f t="shared" si="25"/>
        <v/>
      </c>
      <c r="R229" s="84"/>
      <c r="S229" s="84"/>
    </row>
    <row r="230" spans="1:19" x14ac:dyDescent="0.35">
      <c r="A230" s="75" t="str">
        <f t="shared" si="26"/>
        <v/>
      </c>
      <c r="B230" s="81"/>
      <c r="C230" s="75" t="str">
        <f t="shared" si="27"/>
        <v/>
      </c>
      <c r="D230" s="75" t="str">
        <f t="shared" si="28"/>
        <v/>
      </c>
      <c r="E230" s="14"/>
      <c r="F230" s="14"/>
      <c r="G230" s="14"/>
      <c r="H230" s="75" t="str">
        <f t="shared" si="29"/>
        <v/>
      </c>
      <c r="I230" s="77" t="str">
        <f>IF(G230="","",IFERROR(VLOOKUP(G230,'Plan Comptable'!$B$5:$C$278,2,FALSE),"Compte inconnu"))</f>
        <v/>
      </c>
      <c r="J230" s="83"/>
      <c r="K230" s="83"/>
      <c r="L230" s="14"/>
      <c r="M230" s="32" t="str">
        <f t="shared" si="24"/>
        <v/>
      </c>
      <c r="N230" s="77" t="str">
        <f t="shared" si="30"/>
        <v/>
      </c>
      <c r="O230" s="75" t="str">
        <f t="shared" si="31"/>
        <v/>
      </c>
      <c r="P230" s="79" t="str">
        <f>IF(B230="","",SUM($K$6:K230)-SUM($L$6:L230))</f>
        <v/>
      </c>
      <c r="Q230" s="75" t="str">
        <f t="shared" si="25"/>
        <v/>
      </c>
      <c r="R230" s="84"/>
      <c r="S230" s="84"/>
    </row>
    <row r="231" spans="1:19" x14ac:dyDescent="0.35">
      <c r="A231" s="75" t="str">
        <f t="shared" si="26"/>
        <v/>
      </c>
      <c r="B231" s="81"/>
      <c r="C231" s="75" t="str">
        <f t="shared" si="27"/>
        <v/>
      </c>
      <c r="D231" s="75" t="str">
        <f t="shared" si="28"/>
        <v/>
      </c>
      <c r="E231" s="14"/>
      <c r="F231" s="14"/>
      <c r="G231" s="14"/>
      <c r="H231" s="75" t="str">
        <f t="shared" si="29"/>
        <v/>
      </c>
      <c r="I231" s="77" t="str">
        <f>IF(G231="","",IFERROR(VLOOKUP(G231,'Plan Comptable'!$B$5:$C$278,2,FALSE),"Compte inconnu"))</f>
        <v/>
      </c>
      <c r="J231" s="83"/>
      <c r="K231" s="83"/>
      <c r="L231" s="14"/>
      <c r="M231" s="32" t="str">
        <f t="shared" si="24"/>
        <v/>
      </c>
      <c r="N231" s="77" t="str">
        <f t="shared" si="30"/>
        <v/>
      </c>
      <c r="O231" s="75" t="str">
        <f t="shared" si="31"/>
        <v/>
      </c>
      <c r="P231" s="79" t="str">
        <f>IF(B231="","",SUM($K$6:K231)-SUM($L$6:L231))</f>
        <v/>
      </c>
      <c r="Q231" s="75" t="str">
        <f t="shared" si="25"/>
        <v/>
      </c>
      <c r="R231" s="84"/>
      <c r="S231" s="84"/>
    </row>
    <row r="232" spans="1:19" x14ac:dyDescent="0.35">
      <c r="A232" s="75" t="str">
        <f t="shared" si="26"/>
        <v/>
      </c>
      <c r="B232" s="81"/>
      <c r="C232" s="75" t="str">
        <f t="shared" si="27"/>
        <v/>
      </c>
      <c r="D232" s="75" t="str">
        <f t="shared" si="28"/>
        <v/>
      </c>
      <c r="E232" s="14"/>
      <c r="F232" s="14"/>
      <c r="G232" s="14"/>
      <c r="H232" s="75" t="str">
        <f t="shared" si="29"/>
        <v/>
      </c>
      <c r="I232" s="77" t="str">
        <f>IF(G232="","",IFERROR(VLOOKUP(G232,'Plan Comptable'!$B$5:$C$278,2,FALSE),"Compte inconnu"))</f>
        <v/>
      </c>
      <c r="J232" s="83"/>
      <c r="K232" s="83"/>
      <c r="L232" s="14"/>
      <c r="M232" s="32" t="str">
        <f t="shared" si="24"/>
        <v/>
      </c>
      <c r="N232" s="77" t="str">
        <f t="shared" si="30"/>
        <v/>
      </c>
      <c r="O232" s="75" t="str">
        <f t="shared" si="31"/>
        <v/>
      </c>
      <c r="P232" s="79" t="str">
        <f>IF(B232="","",SUM($K$6:K232)-SUM($L$6:L232))</f>
        <v/>
      </c>
      <c r="Q232" s="75" t="str">
        <f t="shared" si="25"/>
        <v/>
      </c>
      <c r="R232" s="84"/>
      <c r="S232" s="84"/>
    </row>
    <row r="233" spans="1:19" x14ac:dyDescent="0.35">
      <c r="A233" s="75" t="str">
        <f t="shared" si="26"/>
        <v/>
      </c>
      <c r="B233" s="81"/>
      <c r="C233" s="75" t="str">
        <f t="shared" si="27"/>
        <v/>
      </c>
      <c r="D233" s="75" t="str">
        <f t="shared" si="28"/>
        <v/>
      </c>
      <c r="E233" s="14"/>
      <c r="F233" s="14"/>
      <c r="G233" s="14"/>
      <c r="H233" s="75" t="str">
        <f t="shared" si="29"/>
        <v/>
      </c>
      <c r="I233" s="77" t="str">
        <f>IF(G233="","",IFERROR(VLOOKUP(G233,'Plan Comptable'!$B$5:$C$278,2,FALSE),"Compte inconnu"))</f>
        <v/>
      </c>
      <c r="J233" s="83"/>
      <c r="K233" s="83"/>
      <c r="L233" s="14"/>
      <c r="M233" s="32" t="str">
        <f t="shared" si="24"/>
        <v/>
      </c>
      <c r="N233" s="77" t="str">
        <f t="shared" si="30"/>
        <v/>
      </c>
      <c r="O233" s="75" t="str">
        <f t="shared" si="31"/>
        <v/>
      </c>
      <c r="P233" s="79" t="str">
        <f>IF(B233="","",SUM($K$6:K233)-SUM($L$6:L233))</f>
        <v/>
      </c>
      <c r="Q233" s="75" t="str">
        <f t="shared" si="25"/>
        <v/>
      </c>
      <c r="R233" s="84"/>
      <c r="S233" s="84"/>
    </row>
    <row r="234" spans="1:19" x14ac:dyDescent="0.35">
      <c r="A234" s="75" t="str">
        <f t="shared" si="26"/>
        <v/>
      </c>
      <c r="B234" s="81"/>
      <c r="C234" s="75" t="str">
        <f t="shared" si="27"/>
        <v/>
      </c>
      <c r="D234" s="75" t="str">
        <f t="shared" si="28"/>
        <v/>
      </c>
      <c r="E234" s="14"/>
      <c r="F234" s="14"/>
      <c r="G234" s="14"/>
      <c r="H234" s="75" t="str">
        <f t="shared" si="29"/>
        <v/>
      </c>
      <c r="I234" s="77" t="str">
        <f>IF(G234="","",IFERROR(VLOOKUP(G234,'Plan Comptable'!$B$5:$C$278,2,FALSE),"Compte inconnu"))</f>
        <v/>
      </c>
      <c r="J234" s="83"/>
      <c r="K234" s="83"/>
      <c r="L234" s="14"/>
      <c r="M234" s="32" t="str">
        <f t="shared" si="24"/>
        <v/>
      </c>
      <c r="N234" s="77" t="str">
        <f t="shared" si="30"/>
        <v/>
      </c>
      <c r="O234" s="75" t="str">
        <f t="shared" si="31"/>
        <v/>
      </c>
      <c r="P234" s="79" t="str">
        <f>IF(B234="","",SUM($K$6:K234)-SUM($L$6:L234))</f>
        <v/>
      </c>
      <c r="Q234" s="75" t="str">
        <f t="shared" si="25"/>
        <v/>
      </c>
      <c r="R234" s="84"/>
      <c r="S234" s="84"/>
    </row>
    <row r="235" spans="1:19" x14ac:dyDescent="0.35">
      <c r="A235" s="75" t="str">
        <f t="shared" si="26"/>
        <v/>
      </c>
      <c r="B235" s="81"/>
      <c r="C235" s="75" t="str">
        <f t="shared" si="27"/>
        <v/>
      </c>
      <c r="D235" s="75" t="str">
        <f t="shared" si="28"/>
        <v/>
      </c>
      <c r="E235" s="14"/>
      <c r="F235" s="14"/>
      <c r="G235" s="14"/>
      <c r="H235" s="75" t="str">
        <f t="shared" si="29"/>
        <v/>
      </c>
      <c r="I235" s="77" t="str">
        <f>IF(G235="","",IFERROR(VLOOKUP(G235,'Plan Comptable'!$B$5:$C$278,2,FALSE),"Compte inconnu"))</f>
        <v/>
      </c>
      <c r="J235" s="83"/>
      <c r="K235" s="83"/>
      <c r="L235" s="14"/>
      <c r="M235" s="32" t="str">
        <f t="shared" si="24"/>
        <v/>
      </c>
      <c r="N235" s="77" t="str">
        <f t="shared" si="30"/>
        <v/>
      </c>
      <c r="O235" s="75" t="str">
        <f t="shared" si="31"/>
        <v/>
      </c>
      <c r="P235" s="79" t="str">
        <f>IF(B235="","",SUM($K$6:K235)-SUM($L$6:L235))</f>
        <v/>
      </c>
      <c r="Q235" s="75" t="str">
        <f t="shared" si="25"/>
        <v/>
      </c>
      <c r="R235" s="84"/>
      <c r="S235" s="84"/>
    </row>
    <row r="236" spans="1:19" x14ac:dyDescent="0.35">
      <c r="A236" s="75" t="str">
        <f t="shared" si="26"/>
        <v/>
      </c>
      <c r="B236" s="81"/>
      <c r="C236" s="75" t="str">
        <f t="shared" si="27"/>
        <v/>
      </c>
      <c r="D236" s="75" t="str">
        <f t="shared" si="28"/>
        <v/>
      </c>
      <c r="E236" s="14"/>
      <c r="F236" s="14"/>
      <c r="G236" s="14"/>
      <c r="H236" s="75" t="str">
        <f t="shared" si="29"/>
        <v/>
      </c>
      <c r="I236" s="77" t="str">
        <f>IF(G236="","",IFERROR(VLOOKUP(G236,'Plan Comptable'!$B$5:$C$278,2,FALSE),"Compte inconnu"))</f>
        <v/>
      </c>
      <c r="J236" s="83"/>
      <c r="K236" s="83"/>
      <c r="L236" s="14"/>
      <c r="M236" s="32" t="str">
        <f t="shared" si="24"/>
        <v/>
      </c>
      <c r="N236" s="77" t="str">
        <f t="shared" si="30"/>
        <v/>
      </c>
      <c r="O236" s="75" t="str">
        <f t="shared" si="31"/>
        <v/>
      </c>
      <c r="P236" s="79" t="str">
        <f>IF(B236="","",SUM($K$6:K236)-SUM($L$6:L236))</f>
        <v/>
      </c>
      <c r="Q236" s="75" t="str">
        <f t="shared" si="25"/>
        <v/>
      </c>
      <c r="R236" s="84"/>
      <c r="S236" s="84"/>
    </row>
    <row r="237" spans="1:19" x14ac:dyDescent="0.35">
      <c r="A237" s="75" t="str">
        <f t="shared" si="26"/>
        <v/>
      </c>
      <c r="B237" s="81"/>
      <c r="C237" s="75" t="str">
        <f t="shared" si="27"/>
        <v/>
      </c>
      <c r="D237" s="75" t="str">
        <f t="shared" si="28"/>
        <v/>
      </c>
      <c r="E237" s="14"/>
      <c r="F237" s="14"/>
      <c r="G237" s="14"/>
      <c r="H237" s="75" t="str">
        <f t="shared" si="29"/>
        <v/>
      </c>
      <c r="I237" s="77" t="str">
        <f>IF(G237="","",IFERROR(VLOOKUP(G237,'Plan Comptable'!$B$5:$C$278,2,FALSE),"Compte inconnu"))</f>
        <v/>
      </c>
      <c r="J237" s="83"/>
      <c r="K237" s="83"/>
      <c r="L237" s="14"/>
      <c r="M237" s="32" t="str">
        <f t="shared" si="24"/>
        <v/>
      </c>
      <c r="N237" s="77" t="str">
        <f t="shared" si="30"/>
        <v/>
      </c>
      <c r="O237" s="75" t="str">
        <f t="shared" si="31"/>
        <v/>
      </c>
      <c r="P237" s="79" t="str">
        <f>IF(B237="","",SUM($K$6:K237)-SUM($L$6:L237))</f>
        <v/>
      </c>
      <c r="Q237" s="75" t="str">
        <f t="shared" si="25"/>
        <v/>
      </c>
      <c r="R237" s="84"/>
      <c r="S237" s="84"/>
    </row>
    <row r="238" spans="1:19" x14ac:dyDescent="0.35">
      <c r="A238" s="75" t="str">
        <f t="shared" si="26"/>
        <v/>
      </c>
      <c r="B238" s="81"/>
      <c r="C238" s="75" t="str">
        <f t="shared" si="27"/>
        <v/>
      </c>
      <c r="D238" s="75" t="str">
        <f t="shared" si="28"/>
        <v/>
      </c>
      <c r="E238" s="14"/>
      <c r="F238" s="14"/>
      <c r="G238" s="14"/>
      <c r="H238" s="75" t="str">
        <f t="shared" si="29"/>
        <v/>
      </c>
      <c r="I238" s="77" t="str">
        <f>IF(G238="","",IFERROR(VLOOKUP(G238,'Plan Comptable'!$B$5:$C$278,2,FALSE),"Compte inconnu"))</f>
        <v/>
      </c>
      <c r="J238" s="83"/>
      <c r="K238" s="83"/>
      <c r="L238" s="14"/>
      <c r="M238" s="32" t="str">
        <f t="shared" si="24"/>
        <v/>
      </c>
      <c r="N238" s="77" t="str">
        <f t="shared" si="30"/>
        <v/>
      </c>
      <c r="O238" s="75" t="str">
        <f t="shared" si="31"/>
        <v/>
      </c>
      <c r="P238" s="79" t="str">
        <f>IF(B238="","",SUM($K$6:K238)-SUM($L$6:L238))</f>
        <v/>
      </c>
      <c r="Q238" s="75" t="str">
        <f t="shared" si="25"/>
        <v/>
      </c>
      <c r="R238" s="84"/>
      <c r="S238" s="84"/>
    </row>
    <row r="239" spans="1:19" x14ac:dyDescent="0.35">
      <c r="A239" s="75" t="str">
        <f t="shared" si="26"/>
        <v/>
      </c>
      <c r="B239" s="81"/>
      <c r="C239" s="75" t="str">
        <f t="shared" si="27"/>
        <v/>
      </c>
      <c r="D239" s="75" t="str">
        <f t="shared" si="28"/>
        <v/>
      </c>
      <c r="E239" s="14"/>
      <c r="F239" s="14"/>
      <c r="G239" s="14"/>
      <c r="H239" s="75" t="str">
        <f t="shared" si="29"/>
        <v/>
      </c>
      <c r="I239" s="77" t="str">
        <f>IF(G239="","",IFERROR(VLOOKUP(G239,'Plan Comptable'!$B$5:$C$278,2,FALSE),"Compte inconnu"))</f>
        <v/>
      </c>
      <c r="J239" s="83"/>
      <c r="K239" s="83"/>
      <c r="L239" s="14"/>
      <c r="M239" s="32" t="str">
        <f t="shared" si="24"/>
        <v/>
      </c>
      <c r="N239" s="77" t="str">
        <f t="shared" si="30"/>
        <v/>
      </c>
      <c r="O239" s="75" t="str">
        <f t="shared" si="31"/>
        <v/>
      </c>
      <c r="P239" s="79" t="str">
        <f>IF(B239="","",SUM($K$6:K239)-SUM($L$6:L239))</f>
        <v/>
      </c>
      <c r="Q239" s="75" t="str">
        <f t="shared" si="25"/>
        <v/>
      </c>
      <c r="R239" s="84"/>
      <c r="S239" s="84"/>
    </row>
    <row r="240" spans="1:19" x14ac:dyDescent="0.35">
      <c r="A240" s="75" t="str">
        <f t="shared" si="26"/>
        <v/>
      </c>
      <c r="B240" s="81"/>
      <c r="C240" s="75" t="str">
        <f t="shared" si="27"/>
        <v/>
      </c>
      <c r="D240" s="75" t="str">
        <f t="shared" si="28"/>
        <v/>
      </c>
      <c r="E240" s="14"/>
      <c r="F240" s="14"/>
      <c r="G240" s="14"/>
      <c r="H240" s="75" t="str">
        <f t="shared" si="29"/>
        <v/>
      </c>
      <c r="I240" s="77" t="str">
        <f>IF(G240="","",IFERROR(VLOOKUP(G240,'Plan Comptable'!$B$5:$C$278,2,FALSE),"Compte inconnu"))</f>
        <v/>
      </c>
      <c r="J240" s="83"/>
      <c r="K240" s="83"/>
      <c r="L240" s="14"/>
      <c r="M240" s="32" t="str">
        <f t="shared" si="24"/>
        <v/>
      </c>
      <c r="N240" s="77" t="str">
        <f t="shared" si="30"/>
        <v/>
      </c>
      <c r="O240" s="75" t="str">
        <f t="shared" si="31"/>
        <v/>
      </c>
      <c r="P240" s="79" t="str">
        <f>IF(B240="","",SUM($K$6:K240)-SUM($L$6:L240))</f>
        <v/>
      </c>
      <c r="Q240" s="75" t="str">
        <f t="shared" si="25"/>
        <v/>
      </c>
      <c r="R240" s="84"/>
      <c r="S240" s="84"/>
    </row>
    <row r="241" spans="1:19" x14ac:dyDescent="0.35">
      <c r="A241" s="75" t="str">
        <f t="shared" si="26"/>
        <v/>
      </c>
      <c r="B241" s="81"/>
      <c r="C241" s="75" t="str">
        <f t="shared" si="27"/>
        <v/>
      </c>
      <c r="D241" s="75" t="str">
        <f t="shared" si="28"/>
        <v/>
      </c>
      <c r="E241" s="14"/>
      <c r="F241" s="14"/>
      <c r="G241" s="14"/>
      <c r="H241" s="75" t="str">
        <f t="shared" si="29"/>
        <v/>
      </c>
      <c r="I241" s="77" t="str">
        <f>IF(G241="","",IFERROR(VLOOKUP(G241,'Plan Comptable'!$B$5:$C$278,2,FALSE),"Compte inconnu"))</f>
        <v/>
      </c>
      <c r="J241" s="83"/>
      <c r="K241" s="83"/>
      <c r="L241" s="14"/>
      <c r="M241" s="32" t="str">
        <f t="shared" si="24"/>
        <v/>
      </c>
      <c r="N241" s="77" t="str">
        <f t="shared" si="30"/>
        <v/>
      </c>
      <c r="O241" s="75" t="str">
        <f t="shared" si="31"/>
        <v/>
      </c>
      <c r="P241" s="79" t="str">
        <f>IF(B241="","",SUM($K$6:K241)-SUM($L$6:L241))</f>
        <v/>
      </c>
      <c r="Q241" s="75" t="str">
        <f t="shared" si="25"/>
        <v/>
      </c>
      <c r="R241" s="84"/>
      <c r="S241" s="84"/>
    </row>
    <row r="242" spans="1:19" x14ac:dyDescent="0.35">
      <c r="A242" s="75" t="str">
        <f t="shared" si="26"/>
        <v/>
      </c>
      <c r="B242" s="81"/>
      <c r="C242" s="75" t="str">
        <f t="shared" si="27"/>
        <v/>
      </c>
      <c r="D242" s="75" t="str">
        <f t="shared" si="28"/>
        <v/>
      </c>
      <c r="E242" s="14"/>
      <c r="F242" s="14"/>
      <c r="G242" s="14"/>
      <c r="H242" s="75" t="str">
        <f t="shared" si="29"/>
        <v/>
      </c>
      <c r="I242" s="77" t="str">
        <f>IF(G242="","",IFERROR(VLOOKUP(G242,'Plan Comptable'!$B$5:$C$278,2,FALSE),"Compte inconnu"))</f>
        <v/>
      </c>
      <c r="J242" s="83"/>
      <c r="K242" s="83"/>
      <c r="L242" s="14"/>
      <c r="M242" s="32" t="str">
        <f t="shared" si="24"/>
        <v/>
      </c>
      <c r="N242" s="77" t="str">
        <f t="shared" si="30"/>
        <v/>
      </c>
      <c r="O242" s="75" t="str">
        <f t="shared" si="31"/>
        <v/>
      </c>
      <c r="P242" s="79" t="str">
        <f>IF(B242="","",SUM($K$6:K242)-SUM($L$6:L242))</f>
        <v/>
      </c>
      <c r="Q242" s="75" t="str">
        <f t="shared" si="25"/>
        <v/>
      </c>
      <c r="R242" s="84"/>
      <c r="S242" s="84"/>
    </row>
    <row r="243" spans="1:19" x14ac:dyDescent="0.35">
      <c r="A243" s="75" t="str">
        <f t="shared" si="26"/>
        <v/>
      </c>
      <c r="B243" s="81"/>
      <c r="C243" s="75" t="str">
        <f t="shared" si="27"/>
        <v/>
      </c>
      <c r="D243" s="75" t="str">
        <f t="shared" si="28"/>
        <v/>
      </c>
      <c r="E243" s="14"/>
      <c r="F243" s="14"/>
      <c r="G243" s="14"/>
      <c r="H243" s="75" t="str">
        <f t="shared" si="29"/>
        <v/>
      </c>
      <c r="I243" s="77" t="str">
        <f>IF(G243="","",IFERROR(VLOOKUP(G243,'Plan Comptable'!$B$5:$C$278,2,FALSE),"Compte inconnu"))</f>
        <v/>
      </c>
      <c r="J243" s="83"/>
      <c r="K243" s="83"/>
      <c r="L243" s="14"/>
      <c r="M243" s="32" t="str">
        <f t="shared" si="24"/>
        <v/>
      </c>
      <c r="N243" s="77" t="str">
        <f t="shared" si="30"/>
        <v/>
      </c>
      <c r="O243" s="75" t="str">
        <f t="shared" si="31"/>
        <v/>
      </c>
      <c r="P243" s="79" t="str">
        <f>IF(B243="","",SUM($K$6:K243)-SUM($L$6:L243))</f>
        <v/>
      </c>
      <c r="Q243" s="75" t="str">
        <f t="shared" si="25"/>
        <v/>
      </c>
      <c r="R243" s="84"/>
      <c r="S243" s="84"/>
    </row>
    <row r="244" spans="1:19" x14ac:dyDescent="0.35">
      <c r="A244" s="75" t="str">
        <f t="shared" si="26"/>
        <v/>
      </c>
      <c r="B244" s="81"/>
      <c r="C244" s="75" t="str">
        <f t="shared" si="27"/>
        <v/>
      </c>
      <c r="D244" s="75" t="str">
        <f t="shared" si="28"/>
        <v/>
      </c>
      <c r="E244" s="14"/>
      <c r="F244" s="14"/>
      <c r="G244" s="14"/>
      <c r="H244" s="75" t="str">
        <f t="shared" si="29"/>
        <v/>
      </c>
      <c r="I244" s="77" t="str">
        <f>IF(G244="","",IFERROR(VLOOKUP(G244,'Plan Comptable'!$B$5:$C$278,2,FALSE),"Compte inconnu"))</f>
        <v/>
      </c>
      <c r="J244" s="83"/>
      <c r="K244" s="83"/>
      <c r="L244" s="14"/>
      <c r="M244" s="32" t="str">
        <f t="shared" si="24"/>
        <v/>
      </c>
      <c r="N244" s="77" t="str">
        <f t="shared" si="30"/>
        <v/>
      </c>
      <c r="O244" s="75" t="str">
        <f t="shared" si="31"/>
        <v/>
      </c>
      <c r="P244" s="79" t="str">
        <f>IF(B244="","",SUM($K$6:K244)-SUM($L$6:L244))</f>
        <v/>
      </c>
      <c r="Q244" s="75" t="str">
        <f t="shared" si="25"/>
        <v/>
      </c>
      <c r="R244" s="84"/>
      <c r="S244" s="84"/>
    </row>
    <row r="245" spans="1:19" x14ac:dyDescent="0.35">
      <c r="A245" s="75" t="str">
        <f t="shared" si="26"/>
        <v/>
      </c>
      <c r="B245" s="81"/>
      <c r="C245" s="75" t="str">
        <f t="shared" si="27"/>
        <v/>
      </c>
      <c r="D245" s="75" t="str">
        <f t="shared" si="28"/>
        <v/>
      </c>
      <c r="E245" s="14"/>
      <c r="F245" s="14"/>
      <c r="G245" s="14"/>
      <c r="H245" s="75" t="str">
        <f t="shared" si="29"/>
        <v/>
      </c>
      <c r="I245" s="77" t="str">
        <f>IF(G245="","",IFERROR(VLOOKUP(G245,'Plan Comptable'!$B$5:$C$278,2,FALSE),"Compte inconnu"))</f>
        <v/>
      </c>
      <c r="J245" s="83"/>
      <c r="K245" s="83"/>
      <c r="L245" s="14"/>
      <c r="M245" s="32" t="str">
        <f t="shared" si="24"/>
        <v/>
      </c>
      <c r="N245" s="77" t="str">
        <f t="shared" si="30"/>
        <v/>
      </c>
      <c r="O245" s="75" t="str">
        <f t="shared" si="31"/>
        <v/>
      </c>
      <c r="P245" s="79" t="str">
        <f>IF(B245="","",SUM($K$6:K245)-SUM($L$6:L245))</f>
        <v/>
      </c>
      <c r="Q245" s="75" t="str">
        <f t="shared" si="25"/>
        <v/>
      </c>
      <c r="R245" s="84"/>
      <c r="S245" s="84"/>
    </row>
    <row r="246" spans="1:19" x14ac:dyDescent="0.35">
      <c r="A246" s="75" t="str">
        <f t="shared" si="26"/>
        <v/>
      </c>
      <c r="B246" s="81"/>
      <c r="C246" s="75" t="str">
        <f t="shared" si="27"/>
        <v/>
      </c>
      <c r="D246" s="75" t="str">
        <f t="shared" si="28"/>
        <v/>
      </c>
      <c r="E246" s="14"/>
      <c r="F246" s="14"/>
      <c r="G246" s="14"/>
      <c r="H246" s="75" t="str">
        <f t="shared" si="29"/>
        <v/>
      </c>
      <c r="I246" s="77" t="str">
        <f>IF(G246="","",IFERROR(VLOOKUP(G246,'Plan Comptable'!$B$5:$C$278,2,FALSE),"Compte inconnu"))</f>
        <v/>
      </c>
      <c r="J246" s="83"/>
      <c r="K246" s="83"/>
      <c r="L246" s="14"/>
      <c r="M246" s="32" t="str">
        <f t="shared" si="24"/>
        <v/>
      </c>
      <c r="N246" s="77" t="str">
        <f t="shared" si="30"/>
        <v/>
      </c>
      <c r="O246" s="75" t="str">
        <f t="shared" si="31"/>
        <v/>
      </c>
      <c r="P246" s="79" t="str">
        <f>IF(B246="","",SUM($K$6:K246)-SUM($L$6:L246))</f>
        <v/>
      </c>
      <c r="Q246" s="75" t="str">
        <f t="shared" si="25"/>
        <v/>
      </c>
      <c r="R246" s="84"/>
      <c r="S246" s="84"/>
    </row>
    <row r="247" spans="1:19" x14ac:dyDescent="0.35">
      <c r="A247" s="75" t="str">
        <f t="shared" si="26"/>
        <v/>
      </c>
      <c r="B247" s="81"/>
      <c r="C247" s="75" t="str">
        <f t="shared" si="27"/>
        <v/>
      </c>
      <c r="D247" s="75" t="str">
        <f t="shared" si="28"/>
        <v/>
      </c>
      <c r="E247" s="14"/>
      <c r="F247" s="14"/>
      <c r="G247" s="14"/>
      <c r="H247" s="75" t="str">
        <f t="shared" si="29"/>
        <v/>
      </c>
      <c r="I247" s="77" t="str">
        <f>IF(G247="","",IFERROR(VLOOKUP(G247,'Plan Comptable'!$B$5:$C$278,2,FALSE),"Compte inconnu"))</f>
        <v/>
      </c>
      <c r="J247" s="83"/>
      <c r="K247" s="83"/>
      <c r="L247" s="14"/>
      <c r="M247" s="32" t="str">
        <f t="shared" si="24"/>
        <v/>
      </c>
      <c r="N247" s="77" t="str">
        <f t="shared" si="30"/>
        <v/>
      </c>
      <c r="O247" s="75" t="str">
        <f t="shared" si="31"/>
        <v/>
      </c>
      <c r="P247" s="79" t="str">
        <f>IF(B247="","",SUM($K$6:K247)-SUM($L$6:L247))</f>
        <v/>
      </c>
      <c r="Q247" s="75" t="str">
        <f t="shared" si="25"/>
        <v/>
      </c>
      <c r="R247" s="84"/>
      <c r="S247" s="84"/>
    </row>
    <row r="248" spans="1:19" x14ac:dyDescent="0.35">
      <c r="A248" s="75" t="str">
        <f t="shared" si="26"/>
        <v/>
      </c>
      <c r="B248" s="81"/>
      <c r="C248" s="75" t="str">
        <f t="shared" si="27"/>
        <v/>
      </c>
      <c r="D248" s="75" t="str">
        <f t="shared" si="28"/>
        <v/>
      </c>
      <c r="E248" s="14"/>
      <c r="F248" s="14"/>
      <c r="G248" s="14"/>
      <c r="H248" s="75" t="str">
        <f t="shared" si="29"/>
        <v/>
      </c>
      <c r="I248" s="77" t="str">
        <f>IF(G248="","",IFERROR(VLOOKUP(G248,'Plan Comptable'!$B$5:$C$278,2,FALSE),"Compte inconnu"))</f>
        <v/>
      </c>
      <c r="J248" s="83"/>
      <c r="K248" s="83"/>
      <c r="L248" s="14"/>
      <c r="M248" s="32" t="str">
        <f t="shared" si="24"/>
        <v/>
      </c>
      <c r="N248" s="77" t="str">
        <f t="shared" si="30"/>
        <v/>
      </c>
      <c r="O248" s="75" t="str">
        <f t="shared" si="31"/>
        <v/>
      </c>
      <c r="P248" s="79" t="str">
        <f>IF(B248="","",SUM($K$6:K248)-SUM($L$6:L248))</f>
        <v/>
      </c>
      <c r="Q248" s="75" t="str">
        <f t="shared" si="25"/>
        <v/>
      </c>
      <c r="R248" s="84"/>
      <c r="S248" s="84"/>
    </row>
    <row r="249" spans="1:19" x14ac:dyDescent="0.35">
      <c r="A249" s="75" t="str">
        <f t="shared" si="26"/>
        <v/>
      </c>
      <c r="B249" s="81"/>
      <c r="C249" s="75" t="str">
        <f t="shared" si="27"/>
        <v/>
      </c>
      <c r="D249" s="75" t="str">
        <f t="shared" si="28"/>
        <v/>
      </c>
      <c r="E249" s="14"/>
      <c r="F249" s="14"/>
      <c r="G249" s="14"/>
      <c r="H249" s="75" t="str">
        <f t="shared" si="29"/>
        <v/>
      </c>
      <c r="I249" s="77" t="str">
        <f>IF(G249="","",IFERROR(VLOOKUP(G249,'Plan Comptable'!$B$5:$C$278,2,FALSE),"Compte inconnu"))</f>
        <v/>
      </c>
      <c r="J249" s="83"/>
      <c r="K249" s="83"/>
      <c r="L249" s="14"/>
      <c r="M249" s="32" t="str">
        <f t="shared" si="24"/>
        <v/>
      </c>
      <c r="N249" s="77" t="str">
        <f t="shared" si="30"/>
        <v/>
      </c>
      <c r="O249" s="75" t="str">
        <f t="shared" si="31"/>
        <v/>
      </c>
      <c r="P249" s="79" t="str">
        <f>IF(B249="","",SUM($K$6:K249)-SUM($L$6:L249))</f>
        <v/>
      </c>
      <c r="Q249" s="75" t="str">
        <f t="shared" si="25"/>
        <v/>
      </c>
      <c r="R249" s="84"/>
      <c r="S249" s="84"/>
    </row>
    <row r="250" spans="1:19" x14ac:dyDescent="0.35">
      <c r="A250" s="75" t="str">
        <f t="shared" si="26"/>
        <v/>
      </c>
      <c r="B250" s="81"/>
      <c r="C250" s="75" t="str">
        <f t="shared" si="27"/>
        <v/>
      </c>
      <c r="D250" s="75" t="str">
        <f t="shared" si="28"/>
        <v/>
      </c>
      <c r="E250" s="14"/>
      <c r="F250" s="14"/>
      <c r="G250" s="14"/>
      <c r="H250" s="75" t="str">
        <f t="shared" si="29"/>
        <v/>
      </c>
      <c r="I250" s="77" t="str">
        <f>IF(G250="","",IFERROR(VLOOKUP(G250,'Plan Comptable'!$B$5:$C$278,2,FALSE),"Compte inconnu"))</f>
        <v/>
      </c>
      <c r="J250" s="83"/>
      <c r="K250" s="83"/>
      <c r="L250" s="14"/>
      <c r="M250" s="32" t="str">
        <f t="shared" si="24"/>
        <v/>
      </c>
      <c r="N250" s="77" t="str">
        <f t="shared" si="30"/>
        <v/>
      </c>
      <c r="O250" s="75" t="str">
        <f t="shared" si="31"/>
        <v/>
      </c>
      <c r="P250" s="79" t="str">
        <f>IF(B250="","",SUM($K$6:K250)-SUM($L$6:L250))</f>
        <v/>
      </c>
      <c r="Q250" s="75" t="str">
        <f t="shared" si="25"/>
        <v/>
      </c>
      <c r="R250" s="84"/>
      <c r="S250" s="84"/>
    </row>
    <row r="251" spans="1:19" x14ac:dyDescent="0.35">
      <c r="A251" s="75" t="str">
        <f t="shared" si="26"/>
        <v/>
      </c>
      <c r="B251" s="81"/>
      <c r="C251" s="75" t="str">
        <f t="shared" si="27"/>
        <v/>
      </c>
      <c r="D251" s="75" t="str">
        <f t="shared" si="28"/>
        <v/>
      </c>
      <c r="E251" s="14"/>
      <c r="F251" s="14"/>
      <c r="G251" s="14"/>
      <c r="H251" s="75" t="str">
        <f t="shared" si="29"/>
        <v/>
      </c>
      <c r="I251" s="77" t="str">
        <f>IF(G251="","",IFERROR(VLOOKUP(G251,'Plan Comptable'!$B$5:$C$278,2,FALSE),"Compte inconnu"))</f>
        <v/>
      </c>
      <c r="J251" s="83"/>
      <c r="K251" s="83"/>
      <c r="L251" s="14"/>
      <c r="M251" s="32" t="str">
        <f t="shared" si="24"/>
        <v/>
      </c>
      <c r="N251" s="77" t="str">
        <f t="shared" si="30"/>
        <v/>
      </c>
      <c r="O251" s="75" t="str">
        <f t="shared" si="31"/>
        <v/>
      </c>
      <c r="P251" s="79" t="str">
        <f>IF(B251="","",SUM($K$6:K251)-SUM($L$6:L251))</f>
        <v/>
      </c>
      <c r="Q251" s="75" t="str">
        <f t="shared" si="25"/>
        <v/>
      </c>
      <c r="R251" s="84"/>
      <c r="S251" s="84"/>
    </row>
    <row r="252" spans="1:19" x14ac:dyDescent="0.35">
      <c r="A252" s="75" t="str">
        <f t="shared" si="26"/>
        <v/>
      </c>
      <c r="B252" s="81"/>
      <c r="C252" s="75" t="str">
        <f t="shared" si="27"/>
        <v/>
      </c>
      <c r="D252" s="75" t="str">
        <f t="shared" si="28"/>
        <v/>
      </c>
      <c r="E252" s="14"/>
      <c r="F252" s="14"/>
      <c r="G252" s="14"/>
      <c r="H252" s="75" t="str">
        <f t="shared" si="29"/>
        <v/>
      </c>
      <c r="I252" s="77" t="str">
        <f>IF(G252="","",IFERROR(VLOOKUP(G252,'Plan Comptable'!$B$5:$C$278,2,FALSE),"Compte inconnu"))</f>
        <v/>
      </c>
      <c r="J252" s="83"/>
      <c r="K252" s="83"/>
      <c r="L252" s="14"/>
      <c r="M252" s="32" t="str">
        <f t="shared" si="24"/>
        <v/>
      </c>
      <c r="N252" s="77" t="str">
        <f t="shared" si="30"/>
        <v/>
      </c>
      <c r="O252" s="75" t="str">
        <f t="shared" si="31"/>
        <v/>
      </c>
      <c r="P252" s="79" t="str">
        <f>IF(B252="","",SUM($K$6:K252)-SUM($L$6:L252))</f>
        <v/>
      </c>
      <c r="Q252" s="75" t="str">
        <f t="shared" si="25"/>
        <v/>
      </c>
      <c r="R252" s="84"/>
      <c r="S252" s="84"/>
    </row>
    <row r="253" spans="1:19" x14ac:dyDescent="0.35">
      <c r="A253" s="75" t="str">
        <f t="shared" si="26"/>
        <v/>
      </c>
      <c r="B253" s="81"/>
      <c r="C253" s="75" t="str">
        <f t="shared" si="27"/>
        <v/>
      </c>
      <c r="D253" s="75" t="str">
        <f t="shared" si="28"/>
        <v/>
      </c>
      <c r="E253" s="14"/>
      <c r="F253" s="14"/>
      <c r="G253" s="14"/>
      <c r="H253" s="75" t="str">
        <f t="shared" si="29"/>
        <v/>
      </c>
      <c r="I253" s="77" t="str">
        <f>IF(G253="","",IFERROR(VLOOKUP(G253,'Plan Comptable'!$B$5:$C$278,2,FALSE),"Compte inconnu"))</f>
        <v/>
      </c>
      <c r="J253" s="83"/>
      <c r="K253" s="83"/>
      <c r="L253" s="14"/>
      <c r="M253" s="32" t="str">
        <f t="shared" si="24"/>
        <v/>
      </c>
      <c r="N253" s="77" t="str">
        <f t="shared" si="30"/>
        <v/>
      </c>
      <c r="O253" s="75" t="str">
        <f t="shared" si="31"/>
        <v/>
      </c>
      <c r="P253" s="79" t="str">
        <f>IF(B253="","",SUM($K$6:K253)-SUM($L$6:L253))</f>
        <v/>
      </c>
      <c r="Q253" s="75" t="str">
        <f t="shared" si="25"/>
        <v/>
      </c>
      <c r="R253" s="84"/>
      <c r="S253" s="84"/>
    </row>
    <row r="254" spans="1:19" x14ac:dyDescent="0.35">
      <c r="A254" s="75" t="str">
        <f t="shared" si="26"/>
        <v/>
      </c>
      <c r="B254" s="81"/>
      <c r="C254" s="75" t="str">
        <f t="shared" si="27"/>
        <v/>
      </c>
      <c r="D254" s="75" t="str">
        <f t="shared" si="28"/>
        <v/>
      </c>
      <c r="E254" s="14"/>
      <c r="F254" s="14"/>
      <c r="G254" s="14"/>
      <c r="H254" s="75" t="str">
        <f t="shared" si="29"/>
        <v/>
      </c>
      <c r="I254" s="77" t="str">
        <f>IF(G254="","",IFERROR(VLOOKUP(G254,'Plan Comptable'!$B$5:$C$278,2,FALSE),"Compte inconnu"))</f>
        <v/>
      </c>
      <c r="J254" s="83"/>
      <c r="K254" s="83"/>
      <c r="L254" s="14"/>
      <c r="M254" s="32" t="str">
        <f t="shared" si="24"/>
        <v/>
      </c>
      <c r="N254" s="77" t="str">
        <f t="shared" si="30"/>
        <v/>
      </c>
      <c r="O254" s="75" t="str">
        <f t="shared" si="31"/>
        <v/>
      </c>
      <c r="P254" s="79" t="str">
        <f>IF(B254="","",SUM($K$6:K254)-SUM($L$6:L254))</f>
        <v/>
      </c>
      <c r="Q254" s="75" t="str">
        <f t="shared" si="25"/>
        <v/>
      </c>
      <c r="R254" s="84"/>
      <c r="S254" s="84"/>
    </row>
    <row r="255" spans="1:19" x14ac:dyDescent="0.35">
      <c r="A255" s="75" t="str">
        <f t="shared" si="26"/>
        <v/>
      </c>
      <c r="B255" s="81"/>
      <c r="C255" s="75" t="str">
        <f t="shared" si="27"/>
        <v/>
      </c>
      <c r="D255" s="75" t="str">
        <f t="shared" si="28"/>
        <v/>
      </c>
      <c r="E255" s="14"/>
      <c r="F255" s="14"/>
      <c r="G255" s="14"/>
      <c r="H255" s="75" t="str">
        <f t="shared" si="29"/>
        <v/>
      </c>
      <c r="I255" s="77" t="str">
        <f>IF(G255="","",IFERROR(VLOOKUP(G255,'Plan Comptable'!$B$5:$C$278,2,FALSE),"Compte inconnu"))</f>
        <v/>
      </c>
      <c r="J255" s="83"/>
      <c r="K255" s="83"/>
      <c r="L255" s="14"/>
      <c r="M255" s="32" t="str">
        <f t="shared" si="24"/>
        <v/>
      </c>
      <c r="N255" s="77" t="str">
        <f t="shared" si="30"/>
        <v/>
      </c>
      <c r="O255" s="75" t="str">
        <f t="shared" si="31"/>
        <v/>
      </c>
      <c r="P255" s="79" t="str">
        <f>IF(B255="","",SUM($K$6:K255)-SUM($L$6:L255))</f>
        <v/>
      </c>
      <c r="Q255" s="75" t="str">
        <f t="shared" si="25"/>
        <v/>
      </c>
      <c r="R255" s="84"/>
      <c r="S255" s="84"/>
    </row>
    <row r="256" spans="1:19" x14ac:dyDescent="0.35">
      <c r="A256" s="75" t="str">
        <f t="shared" si="26"/>
        <v/>
      </c>
      <c r="B256" s="81"/>
      <c r="C256" s="75" t="str">
        <f t="shared" si="27"/>
        <v/>
      </c>
      <c r="D256" s="75" t="str">
        <f t="shared" si="28"/>
        <v/>
      </c>
      <c r="E256" s="14"/>
      <c r="F256" s="14"/>
      <c r="G256" s="14"/>
      <c r="H256" s="75" t="str">
        <f t="shared" si="29"/>
        <v/>
      </c>
      <c r="I256" s="77" t="str">
        <f>IF(G256="","",IFERROR(VLOOKUP(G256,'Plan Comptable'!$B$5:$C$278,2,FALSE),"Compte inconnu"))</f>
        <v/>
      </c>
      <c r="J256" s="83"/>
      <c r="K256" s="83"/>
      <c r="L256" s="14"/>
      <c r="M256" s="32" t="str">
        <f t="shared" si="24"/>
        <v/>
      </c>
      <c r="N256" s="77" t="str">
        <f t="shared" si="30"/>
        <v/>
      </c>
      <c r="O256" s="75" t="str">
        <f t="shared" si="31"/>
        <v/>
      </c>
      <c r="P256" s="79" t="str">
        <f>IF(B256="","",SUM($K$6:K256)-SUM($L$6:L256))</f>
        <v/>
      </c>
      <c r="Q256" s="75" t="str">
        <f t="shared" si="25"/>
        <v/>
      </c>
      <c r="R256" s="84"/>
      <c r="S256" s="84"/>
    </row>
    <row r="257" spans="1:19" x14ac:dyDescent="0.35">
      <c r="A257" s="75" t="str">
        <f t="shared" si="26"/>
        <v/>
      </c>
      <c r="B257" s="81"/>
      <c r="C257" s="75" t="str">
        <f t="shared" si="27"/>
        <v/>
      </c>
      <c r="D257" s="75" t="str">
        <f t="shared" si="28"/>
        <v/>
      </c>
      <c r="E257" s="14"/>
      <c r="F257" s="14"/>
      <c r="G257" s="14"/>
      <c r="H257" s="75" t="str">
        <f t="shared" si="29"/>
        <v/>
      </c>
      <c r="I257" s="77" t="str">
        <f>IF(G257="","",IFERROR(VLOOKUP(G257,'Plan Comptable'!$B$5:$C$278,2,FALSE),"Compte inconnu"))</f>
        <v/>
      </c>
      <c r="J257" s="83"/>
      <c r="K257" s="83"/>
      <c r="L257" s="14"/>
      <c r="M257" s="32" t="str">
        <f t="shared" si="24"/>
        <v/>
      </c>
      <c r="N257" s="77" t="str">
        <f t="shared" si="30"/>
        <v/>
      </c>
      <c r="O257" s="75" t="str">
        <f t="shared" si="31"/>
        <v/>
      </c>
      <c r="P257" s="79" t="str">
        <f>IF(B257="","",SUM($K$6:K257)-SUM($L$6:L257))</f>
        <v/>
      </c>
      <c r="Q257" s="75" t="str">
        <f t="shared" si="25"/>
        <v/>
      </c>
      <c r="R257" s="84"/>
      <c r="S257" s="84"/>
    </row>
    <row r="258" spans="1:19" x14ac:dyDescent="0.35">
      <c r="A258" s="75" t="str">
        <f t="shared" si="26"/>
        <v/>
      </c>
      <c r="B258" s="81"/>
      <c r="C258" s="75" t="str">
        <f t="shared" si="27"/>
        <v/>
      </c>
      <c r="D258" s="75" t="str">
        <f t="shared" si="28"/>
        <v/>
      </c>
      <c r="E258" s="14"/>
      <c r="F258" s="14"/>
      <c r="G258" s="14"/>
      <c r="H258" s="75" t="str">
        <f t="shared" si="29"/>
        <v/>
      </c>
      <c r="I258" s="77" t="str">
        <f>IF(G258="","",IFERROR(VLOOKUP(G258,'Plan Comptable'!$B$5:$C$278,2,FALSE),"Compte inconnu"))</f>
        <v/>
      </c>
      <c r="J258" s="83"/>
      <c r="K258" s="83"/>
      <c r="L258" s="14"/>
      <c r="M258" s="32" t="str">
        <f t="shared" si="24"/>
        <v/>
      </c>
      <c r="N258" s="77" t="str">
        <f t="shared" si="30"/>
        <v/>
      </c>
      <c r="O258" s="75" t="str">
        <f t="shared" si="31"/>
        <v/>
      </c>
      <c r="P258" s="79" t="str">
        <f>IF(B258="","",SUM($K$6:K258)-SUM($L$6:L258))</f>
        <v/>
      </c>
      <c r="Q258" s="75" t="str">
        <f t="shared" si="25"/>
        <v/>
      </c>
      <c r="R258" s="84"/>
      <c r="S258" s="84"/>
    </row>
    <row r="259" spans="1:19" x14ac:dyDescent="0.35">
      <c r="A259" s="75" t="str">
        <f t="shared" si="26"/>
        <v/>
      </c>
      <c r="B259" s="81"/>
      <c r="C259" s="75" t="str">
        <f t="shared" si="27"/>
        <v/>
      </c>
      <c r="D259" s="75" t="str">
        <f t="shared" si="28"/>
        <v/>
      </c>
      <c r="E259" s="14"/>
      <c r="F259" s="14"/>
      <c r="G259" s="14"/>
      <c r="H259" s="75" t="str">
        <f t="shared" si="29"/>
        <v/>
      </c>
      <c r="I259" s="77" t="str">
        <f>IF(G259="","",IFERROR(VLOOKUP(G259,'Plan Comptable'!$B$5:$C$278,2,FALSE),"Compte inconnu"))</f>
        <v/>
      </c>
      <c r="J259" s="83"/>
      <c r="K259" s="83"/>
      <c r="L259" s="14"/>
      <c r="M259" s="32" t="str">
        <f t="shared" si="24"/>
        <v/>
      </c>
      <c r="N259" s="77" t="str">
        <f t="shared" si="30"/>
        <v/>
      </c>
      <c r="O259" s="75" t="str">
        <f t="shared" si="31"/>
        <v/>
      </c>
      <c r="P259" s="79" t="str">
        <f>IF(B259="","",SUM($K$6:K259)-SUM($L$6:L259))</f>
        <v/>
      </c>
      <c r="Q259" s="75" t="str">
        <f t="shared" si="25"/>
        <v/>
      </c>
      <c r="R259" s="84"/>
      <c r="S259" s="84"/>
    </row>
    <row r="260" spans="1:19" x14ac:dyDescent="0.35">
      <c r="A260" s="75" t="str">
        <f t="shared" si="26"/>
        <v/>
      </c>
      <c r="B260" s="81"/>
      <c r="C260" s="75" t="str">
        <f t="shared" si="27"/>
        <v/>
      </c>
      <c r="D260" s="75" t="str">
        <f t="shared" si="28"/>
        <v/>
      </c>
      <c r="E260" s="14"/>
      <c r="F260" s="14"/>
      <c r="G260" s="14"/>
      <c r="H260" s="75" t="str">
        <f t="shared" si="29"/>
        <v/>
      </c>
      <c r="I260" s="77" t="str">
        <f>IF(G260="","",IFERROR(VLOOKUP(G260,'Plan Comptable'!$B$5:$C$278,2,FALSE),"Compte inconnu"))</f>
        <v/>
      </c>
      <c r="J260" s="83"/>
      <c r="K260" s="83"/>
      <c r="L260" s="14"/>
      <c r="M260" s="32" t="str">
        <f t="shared" si="24"/>
        <v/>
      </c>
      <c r="N260" s="77" t="str">
        <f t="shared" si="30"/>
        <v/>
      </c>
      <c r="O260" s="75" t="str">
        <f t="shared" si="31"/>
        <v/>
      </c>
      <c r="P260" s="79" t="str">
        <f>IF(B260="","",SUM($K$6:K260)-SUM($L$6:L260))</f>
        <v/>
      </c>
      <c r="Q260" s="75" t="str">
        <f t="shared" si="25"/>
        <v/>
      </c>
      <c r="R260" s="84"/>
      <c r="S260" s="84"/>
    </row>
    <row r="261" spans="1:19" x14ac:dyDescent="0.35">
      <c r="A261" s="75" t="str">
        <f t="shared" si="26"/>
        <v/>
      </c>
      <c r="B261" s="81"/>
      <c r="C261" s="75" t="str">
        <f t="shared" si="27"/>
        <v/>
      </c>
      <c r="D261" s="75" t="str">
        <f t="shared" si="28"/>
        <v/>
      </c>
      <c r="E261" s="14"/>
      <c r="F261" s="14"/>
      <c r="G261" s="14"/>
      <c r="H261" s="75" t="str">
        <f t="shared" si="29"/>
        <v/>
      </c>
      <c r="I261" s="77" t="str">
        <f>IF(G261="","",IFERROR(VLOOKUP(G261,'Plan Comptable'!$B$5:$C$278,2,FALSE),"Compte inconnu"))</f>
        <v/>
      </c>
      <c r="J261" s="83"/>
      <c r="K261" s="83"/>
      <c r="L261" s="14"/>
      <c r="M261" s="32" t="str">
        <f t="shared" si="24"/>
        <v/>
      </c>
      <c r="N261" s="77" t="str">
        <f t="shared" si="30"/>
        <v/>
      </c>
      <c r="O261" s="75" t="str">
        <f t="shared" si="31"/>
        <v/>
      </c>
      <c r="P261" s="79" t="str">
        <f>IF(B261="","",SUM($K$6:K261)-SUM($L$6:L261))</f>
        <v/>
      </c>
      <c r="Q261" s="75" t="str">
        <f t="shared" si="25"/>
        <v/>
      </c>
      <c r="R261" s="84"/>
      <c r="S261" s="84"/>
    </row>
    <row r="262" spans="1:19" x14ac:dyDescent="0.35">
      <c r="A262" s="75" t="str">
        <f t="shared" si="26"/>
        <v/>
      </c>
      <c r="B262" s="81"/>
      <c r="C262" s="75" t="str">
        <f t="shared" si="27"/>
        <v/>
      </c>
      <c r="D262" s="75" t="str">
        <f t="shared" si="28"/>
        <v/>
      </c>
      <c r="E262" s="14"/>
      <c r="F262" s="14"/>
      <c r="G262" s="14"/>
      <c r="H262" s="75" t="str">
        <f t="shared" si="29"/>
        <v/>
      </c>
      <c r="I262" s="77" t="str">
        <f>IF(G262="","",IFERROR(VLOOKUP(G262,'Plan Comptable'!$B$5:$C$278,2,FALSE),"Compte inconnu"))</f>
        <v/>
      </c>
      <c r="J262" s="83"/>
      <c r="K262" s="83"/>
      <c r="L262" s="14"/>
      <c r="M262" s="32" t="str">
        <f t="shared" ref="M262:M325" si="32">IF(B262="","",IF(AND(OR(K262="",L262=""),K262&lt;&gt;L262),"",IF(AND(K262&lt;&gt;"",L262&lt;&gt;"",ABS(K262-L262)&gt;=0.01),"⚠ D/C",IF(AND(E262&lt;&gt;"",F262&lt;&gt;"",COUNTIFS($F$6:$F$508,F262,$E$6:$E$508,E262)&gt;1),"⚠ DBL",IF(AND(E262&lt;&gt;"",ABS(SUMIF($E$6:$E$507,E262,$K$6:$K$507)-SUMIF($E$6:$E$507,E262,$L$6:$L$507))&gt;=0.01),"⚠ PÈC",IF(AND(DebutExercice&lt;&gt;"",FinExercice&lt;&gt;"",OR(B262&lt;DebutExercice,B262&gt;FinExercice)),"⚠ DATE","✓"))))))</f>
        <v/>
      </c>
      <c r="N262" s="77" t="str">
        <f t="shared" si="30"/>
        <v/>
      </c>
      <c r="O262" s="75" t="str">
        <f t="shared" si="31"/>
        <v/>
      </c>
      <c r="P262" s="79" t="str">
        <f>IF(B262="","",SUM($K$6:K262)-SUM($L$6:L262))</f>
        <v/>
      </c>
      <c r="Q262" s="75" t="str">
        <f t="shared" ref="Q262:Q325" si="33">IF(B262="","",IF(OR(DebutExercice="",FinExercice=""),"?",IF(AND(B262&gt;=DebutExercice,B262&lt;=FinExercice),"✓","⚠ Hors")))</f>
        <v/>
      </c>
      <c r="R262" s="84"/>
      <c r="S262" s="84"/>
    </row>
    <row r="263" spans="1:19" x14ac:dyDescent="0.35">
      <c r="A263" s="75" t="str">
        <f t="shared" ref="A263:A326" si="34">IF(B263="","",ROW()-4)</f>
        <v/>
      </c>
      <c r="B263" s="81"/>
      <c r="C263" s="75" t="str">
        <f t="shared" ref="C263:C326" si="35">IF(B263="","",MONTH(B263))</f>
        <v/>
      </c>
      <c r="D263" s="75" t="str">
        <f t="shared" ref="D263:D326" si="36">IF(B263="","",YEAR(B263))</f>
        <v/>
      </c>
      <c r="E263" s="14"/>
      <c r="F263" s="14"/>
      <c r="G263" s="14"/>
      <c r="H263" s="75" t="str">
        <f t="shared" ref="H263:H326" si="37">IF(G263="","",LEFT(G263,1))</f>
        <v/>
      </c>
      <c r="I263" s="77" t="str">
        <f>IF(G263="","",IFERROR(VLOOKUP(G263,'Plan Comptable'!$B$5:$C$278,2,FALSE),"Compte inconnu"))</f>
        <v/>
      </c>
      <c r="J263" s="83"/>
      <c r="K263" s="83"/>
      <c r="L263" s="14"/>
      <c r="M263" s="32" t="str">
        <f t="shared" si="32"/>
        <v/>
      </c>
      <c r="N263" s="77" t="str">
        <f t="shared" ref="N263:N326" si="38">IF(OR(E263="",F263=""),"",IF(COUNTIFS($F$6:$F$508,F263,$E$6:$E$508,E263)&gt;1,"DOUBLON",""))</f>
        <v/>
      </c>
      <c r="O263" s="75" t="str">
        <f t="shared" ref="O263:O326" si="39">IF(E263="","",IF(ABS(SUMIF($E$6:$E$507,E263,$K$6:$K$507)-SUMIF($E$6:$E$507,E263,$L$6:$L$507))&lt;0.01,"✓","⚠"))</f>
        <v/>
      </c>
      <c r="P263" s="79" t="str">
        <f>IF(B263="","",SUM($K$6:K263)-SUM($L$6:L263))</f>
        <v/>
      </c>
      <c r="Q263" s="75" t="str">
        <f t="shared" si="33"/>
        <v/>
      </c>
      <c r="R263" s="84"/>
      <c r="S263" s="84"/>
    </row>
    <row r="264" spans="1:19" x14ac:dyDescent="0.35">
      <c r="A264" s="75" t="str">
        <f t="shared" si="34"/>
        <v/>
      </c>
      <c r="B264" s="81"/>
      <c r="C264" s="75" t="str">
        <f t="shared" si="35"/>
        <v/>
      </c>
      <c r="D264" s="75" t="str">
        <f t="shared" si="36"/>
        <v/>
      </c>
      <c r="E264" s="14"/>
      <c r="F264" s="14"/>
      <c r="G264" s="14"/>
      <c r="H264" s="75" t="str">
        <f t="shared" si="37"/>
        <v/>
      </c>
      <c r="I264" s="77" t="str">
        <f>IF(G264="","",IFERROR(VLOOKUP(G264,'Plan Comptable'!$B$5:$C$278,2,FALSE),"Compte inconnu"))</f>
        <v/>
      </c>
      <c r="J264" s="83"/>
      <c r="K264" s="83"/>
      <c r="L264" s="14"/>
      <c r="M264" s="32" t="str">
        <f t="shared" si="32"/>
        <v/>
      </c>
      <c r="N264" s="77" t="str">
        <f t="shared" si="38"/>
        <v/>
      </c>
      <c r="O264" s="75" t="str">
        <f t="shared" si="39"/>
        <v/>
      </c>
      <c r="P264" s="79" t="str">
        <f>IF(B264="","",SUM($K$6:K264)-SUM($L$6:L264))</f>
        <v/>
      </c>
      <c r="Q264" s="75" t="str">
        <f t="shared" si="33"/>
        <v/>
      </c>
      <c r="R264" s="84"/>
      <c r="S264" s="84"/>
    </row>
    <row r="265" spans="1:19" x14ac:dyDescent="0.35">
      <c r="A265" s="75" t="str">
        <f t="shared" si="34"/>
        <v/>
      </c>
      <c r="B265" s="81"/>
      <c r="C265" s="75" t="str">
        <f t="shared" si="35"/>
        <v/>
      </c>
      <c r="D265" s="75" t="str">
        <f t="shared" si="36"/>
        <v/>
      </c>
      <c r="E265" s="14"/>
      <c r="F265" s="14"/>
      <c r="G265" s="14"/>
      <c r="H265" s="75" t="str">
        <f t="shared" si="37"/>
        <v/>
      </c>
      <c r="I265" s="77" t="str">
        <f>IF(G265="","",IFERROR(VLOOKUP(G265,'Plan Comptable'!$B$5:$C$278,2,FALSE),"Compte inconnu"))</f>
        <v/>
      </c>
      <c r="J265" s="83"/>
      <c r="K265" s="83"/>
      <c r="L265" s="14"/>
      <c r="M265" s="32" t="str">
        <f t="shared" si="32"/>
        <v/>
      </c>
      <c r="N265" s="77" t="str">
        <f t="shared" si="38"/>
        <v/>
      </c>
      <c r="O265" s="75" t="str">
        <f t="shared" si="39"/>
        <v/>
      </c>
      <c r="P265" s="79" t="str">
        <f>IF(B265="","",SUM($K$6:K265)-SUM($L$6:L265))</f>
        <v/>
      </c>
      <c r="Q265" s="75" t="str">
        <f t="shared" si="33"/>
        <v/>
      </c>
      <c r="R265" s="84"/>
      <c r="S265" s="84"/>
    </row>
    <row r="266" spans="1:19" x14ac:dyDescent="0.35">
      <c r="A266" s="75" t="str">
        <f t="shared" si="34"/>
        <v/>
      </c>
      <c r="B266" s="81"/>
      <c r="C266" s="75" t="str">
        <f t="shared" si="35"/>
        <v/>
      </c>
      <c r="D266" s="75" t="str">
        <f t="shared" si="36"/>
        <v/>
      </c>
      <c r="E266" s="14"/>
      <c r="F266" s="14"/>
      <c r="G266" s="14"/>
      <c r="H266" s="75" t="str">
        <f t="shared" si="37"/>
        <v/>
      </c>
      <c r="I266" s="77" t="str">
        <f>IF(G266="","",IFERROR(VLOOKUP(G266,'Plan Comptable'!$B$5:$C$278,2,FALSE),"Compte inconnu"))</f>
        <v/>
      </c>
      <c r="J266" s="83"/>
      <c r="K266" s="83"/>
      <c r="L266" s="14"/>
      <c r="M266" s="32" t="str">
        <f t="shared" si="32"/>
        <v/>
      </c>
      <c r="N266" s="77" t="str">
        <f t="shared" si="38"/>
        <v/>
      </c>
      <c r="O266" s="75" t="str">
        <f t="shared" si="39"/>
        <v/>
      </c>
      <c r="P266" s="79" t="str">
        <f>IF(B266="","",SUM($K$6:K266)-SUM($L$6:L266))</f>
        <v/>
      </c>
      <c r="Q266" s="75" t="str">
        <f t="shared" si="33"/>
        <v/>
      </c>
      <c r="R266" s="84"/>
      <c r="S266" s="84"/>
    </row>
    <row r="267" spans="1:19" x14ac:dyDescent="0.35">
      <c r="A267" s="75" t="str">
        <f t="shared" si="34"/>
        <v/>
      </c>
      <c r="B267" s="81"/>
      <c r="C267" s="75" t="str">
        <f t="shared" si="35"/>
        <v/>
      </c>
      <c r="D267" s="75" t="str">
        <f t="shared" si="36"/>
        <v/>
      </c>
      <c r="E267" s="14"/>
      <c r="F267" s="14"/>
      <c r="G267" s="14"/>
      <c r="H267" s="75" t="str">
        <f t="shared" si="37"/>
        <v/>
      </c>
      <c r="I267" s="77" t="str">
        <f>IF(G267="","",IFERROR(VLOOKUP(G267,'Plan Comptable'!$B$5:$C$278,2,FALSE),"Compte inconnu"))</f>
        <v/>
      </c>
      <c r="J267" s="83"/>
      <c r="K267" s="83"/>
      <c r="L267" s="14"/>
      <c r="M267" s="32" t="str">
        <f t="shared" si="32"/>
        <v/>
      </c>
      <c r="N267" s="77" t="str">
        <f t="shared" si="38"/>
        <v/>
      </c>
      <c r="O267" s="75" t="str">
        <f t="shared" si="39"/>
        <v/>
      </c>
      <c r="P267" s="79" t="str">
        <f>IF(B267="","",SUM($K$6:K267)-SUM($L$6:L267))</f>
        <v/>
      </c>
      <c r="Q267" s="75" t="str">
        <f t="shared" si="33"/>
        <v/>
      </c>
      <c r="R267" s="84"/>
      <c r="S267" s="84"/>
    </row>
    <row r="268" spans="1:19" x14ac:dyDescent="0.35">
      <c r="A268" s="75" t="str">
        <f t="shared" si="34"/>
        <v/>
      </c>
      <c r="B268" s="81"/>
      <c r="C268" s="75" t="str">
        <f t="shared" si="35"/>
        <v/>
      </c>
      <c r="D268" s="75" t="str">
        <f t="shared" si="36"/>
        <v/>
      </c>
      <c r="E268" s="14"/>
      <c r="F268" s="14"/>
      <c r="G268" s="14"/>
      <c r="H268" s="75" t="str">
        <f t="shared" si="37"/>
        <v/>
      </c>
      <c r="I268" s="77" t="str">
        <f>IF(G268="","",IFERROR(VLOOKUP(G268,'Plan Comptable'!$B$5:$C$278,2,FALSE),"Compte inconnu"))</f>
        <v/>
      </c>
      <c r="J268" s="83"/>
      <c r="K268" s="83"/>
      <c r="L268" s="14"/>
      <c r="M268" s="32" t="str">
        <f t="shared" si="32"/>
        <v/>
      </c>
      <c r="N268" s="77" t="str">
        <f t="shared" si="38"/>
        <v/>
      </c>
      <c r="O268" s="75" t="str">
        <f t="shared" si="39"/>
        <v/>
      </c>
      <c r="P268" s="79" t="str">
        <f>IF(B268="","",SUM($K$6:K268)-SUM($L$6:L268))</f>
        <v/>
      </c>
      <c r="Q268" s="75" t="str">
        <f t="shared" si="33"/>
        <v/>
      </c>
      <c r="R268" s="84"/>
      <c r="S268" s="84"/>
    </row>
    <row r="269" spans="1:19" x14ac:dyDescent="0.35">
      <c r="A269" s="75" t="str">
        <f t="shared" si="34"/>
        <v/>
      </c>
      <c r="B269" s="81"/>
      <c r="C269" s="75" t="str">
        <f t="shared" si="35"/>
        <v/>
      </c>
      <c r="D269" s="75" t="str">
        <f t="shared" si="36"/>
        <v/>
      </c>
      <c r="E269" s="14"/>
      <c r="F269" s="14"/>
      <c r="G269" s="14"/>
      <c r="H269" s="75" t="str">
        <f t="shared" si="37"/>
        <v/>
      </c>
      <c r="I269" s="77" t="str">
        <f>IF(G269="","",IFERROR(VLOOKUP(G269,'Plan Comptable'!$B$5:$C$278,2,FALSE),"Compte inconnu"))</f>
        <v/>
      </c>
      <c r="J269" s="83"/>
      <c r="K269" s="83"/>
      <c r="L269" s="14"/>
      <c r="M269" s="32" t="str">
        <f t="shared" si="32"/>
        <v/>
      </c>
      <c r="N269" s="77" t="str">
        <f t="shared" si="38"/>
        <v/>
      </c>
      <c r="O269" s="75" t="str">
        <f t="shared" si="39"/>
        <v/>
      </c>
      <c r="P269" s="79" t="str">
        <f>IF(B269="","",SUM($K$6:K269)-SUM($L$6:L269))</f>
        <v/>
      </c>
      <c r="Q269" s="75" t="str">
        <f t="shared" si="33"/>
        <v/>
      </c>
      <c r="R269" s="84"/>
      <c r="S269" s="84"/>
    </row>
    <row r="270" spans="1:19" x14ac:dyDescent="0.35">
      <c r="A270" s="75" t="str">
        <f t="shared" si="34"/>
        <v/>
      </c>
      <c r="B270" s="81"/>
      <c r="C270" s="75" t="str">
        <f t="shared" si="35"/>
        <v/>
      </c>
      <c r="D270" s="75" t="str">
        <f t="shared" si="36"/>
        <v/>
      </c>
      <c r="E270" s="14"/>
      <c r="F270" s="14"/>
      <c r="G270" s="14"/>
      <c r="H270" s="75" t="str">
        <f t="shared" si="37"/>
        <v/>
      </c>
      <c r="I270" s="77" t="str">
        <f>IF(G270="","",IFERROR(VLOOKUP(G270,'Plan Comptable'!$B$5:$C$278,2,FALSE),"Compte inconnu"))</f>
        <v/>
      </c>
      <c r="J270" s="83"/>
      <c r="K270" s="83"/>
      <c r="L270" s="14"/>
      <c r="M270" s="32" t="str">
        <f t="shared" si="32"/>
        <v/>
      </c>
      <c r="N270" s="77" t="str">
        <f t="shared" si="38"/>
        <v/>
      </c>
      <c r="O270" s="75" t="str">
        <f t="shared" si="39"/>
        <v/>
      </c>
      <c r="P270" s="79" t="str">
        <f>IF(B270="","",SUM($K$6:K270)-SUM($L$6:L270))</f>
        <v/>
      </c>
      <c r="Q270" s="75" t="str">
        <f t="shared" si="33"/>
        <v/>
      </c>
      <c r="R270" s="84"/>
      <c r="S270" s="84"/>
    </row>
    <row r="271" spans="1:19" x14ac:dyDescent="0.35">
      <c r="A271" s="75" t="str">
        <f t="shared" si="34"/>
        <v/>
      </c>
      <c r="B271" s="81"/>
      <c r="C271" s="75" t="str">
        <f t="shared" si="35"/>
        <v/>
      </c>
      <c r="D271" s="75" t="str">
        <f t="shared" si="36"/>
        <v/>
      </c>
      <c r="E271" s="14"/>
      <c r="F271" s="14"/>
      <c r="G271" s="14"/>
      <c r="H271" s="75" t="str">
        <f t="shared" si="37"/>
        <v/>
      </c>
      <c r="I271" s="77" t="str">
        <f>IF(G271="","",IFERROR(VLOOKUP(G271,'Plan Comptable'!$B$5:$C$278,2,FALSE),"Compte inconnu"))</f>
        <v/>
      </c>
      <c r="J271" s="83"/>
      <c r="K271" s="83"/>
      <c r="L271" s="14"/>
      <c r="M271" s="32" t="str">
        <f t="shared" si="32"/>
        <v/>
      </c>
      <c r="N271" s="77" t="str">
        <f t="shared" si="38"/>
        <v/>
      </c>
      <c r="O271" s="75" t="str">
        <f t="shared" si="39"/>
        <v/>
      </c>
      <c r="P271" s="79" t="str">
        <f>IF(B271="","",SUM($K$6:K271)-SUM($L$6:L271))</f>
        <v/>
      </c>
      <c r="Q271" s="75" t="str">
        <f t="shared" si="33"/>
        <v/>
      </c>
      <c r="R271" s="84"/>
      <c r="S271" s="84"/>
    </row>
    <row r="272" spans="1:19" x14ac:dyDescent="0.35">
      <c r="A272" s="75" t="str">
        <f t="shared" si="34"/>
        <v/>
      </c>
      <c r="B272" s="81"/>
      <c r="C272" s="75" t="str">
        <f t="shared" si="35"/>
        <v/>
      </c>
      <c r="D272" s="75" t="str">
        <f t="shared" si="36"/>
        <v/>
      </c>
      <c r="E272" s="14"/>
      <c r="F272" s="14"/>
      <c r="G272" s="14"/>
      <c r="H272" s="75" t="str">
        <f t="shared" si="37"/>
        <v/>
      </c>
      <c r="I272" s="77" t="str">
        <f>IF(G272="","",IFERROR(VLOOKUP(G272,'Plan Comptable'!$B$5:$C$278,2,FALSE),"Compte inconnu"))</f>
        <v/>
      </c>
      <c r="J272" s="83"/>
      <c r="K272" s="83"/>
      <c r="L272" s="14"/>
      <c r="M272" s="32" t="str">
        <f t="shared" si="32"/>
        <v/>
      </c>
      <c r="N272" s="77" t="str">
        <f t="shared" si="38"/>
        <v/>
      </c>
      <c r="O272" s="75" t="str">
        <f t="shared" si="39"/>
        <v/>
      </c>
      <c r="P272" s="79" t="str">
        <f>IF(B272="","",SUM($K$6:K272)-SUM($L$6:L272))</f>
        <v/>
      </c>
      <c r="Q272" s="75" t="str">
        <f t="shared" si="33"/>
        <v/>
      </c>
      <c r="R272" s="84"/>
      <c r="S272" s="84"/>
    </row>
    <row r="273" spans="1:19" x14ac:dyDescent="0.35">
      <c r="A273" s="75" t="str">
        <f t="shared" si="34"/>
        <v/>
      </c>
      <c r="B273" s="81"/>
      <c r="C273" s="75" t="str">
        <f t="shared" si="35"/>
        <v/>
      </c>
      <c r="D273" s="75" t="str">
        <f t="shared" si="36"/>
        <v/>
      </c>
      <c r="E273" s="14"/>
      <c r="F273" s="14"/>
      <c r="G273" s="14"/>
      <c r="H273" s="75" t="str">
        <f t="shared" si="37"/>
        <v/>
      </c>
      <c r="I273" s="77" t="str">
        <f>IF(G273="","",IFERROR(VLOOKUP(G273,'Plan Comptable'!$B$5:$C$278,2,FALSE),"Compte inconnu"))</f>
        <v/>
      </c>
      <c r="J273" s="83"/>
      <c r="K273" s="83"/>
      <c r="L273" s="14"/>
      <c r="M273" s="32" t="str">
        <f t="shared" si="32"/>
        <v/>
      </c>
      <c r="N273" s="77" t="str">
        <f t="shared" si="38"/>
        <v/>
      </c>
      <c r="O273" s="75" t="str">
        <f t="shared" si="39"/>
        <v/>
      </c>
      <c r="P273" s="79" t="str">
        <f>IF(B273="","",SUM($K$6:K273)-SUM($L$6:L273))</f>
        <v/>
      </c>
      <c r="Q273" s="75" t="str">
        <f t="shared" si="33"/>
        <v/>
      </c>
      <c r="R273" s="84"/>
      <c r="S273" s="84"/>
    </row>
    <row r="274" spans="1:19" x14ac:dyDescent="0.35">
      <c r="A274" s="75" t="str">
        <f t="shared" si="34"/>
        <v/>
      </c>
      <c r="B274" s="81"/>
      <c r="C274" s="75" t="str">
        <f t="shared" si="35"/>
        <v/>
      </c>
      <c r="D274" s="75" t="str">
        <f t="shared" si="36"/>
        <v/>
      </c>
      <c r="E274" s="14"/>
      <c r="F274" s="14"/>
      <c r="G274" s="14"/>
      <c r="H274" s="75" t="str">
        <f t="shared" si="37"/>
        <v/>
      </c>
      <c r="I274" s="77" t="str">
        <f>IF(G274="","",IFERROR(VLOOKUP(G274,'Plan Comptable'!$B$5:$C$278,2,FALSE),"Compte inconnu"))</f>
        <v/>
      </c>
      <c r="J274" s="83"/>
      <c r="K274" s="83"/>
      <c r="L274" s="14"/>
      <c r="M274" s="32" t="str">
        <f t="shared" si="32"/>
        <v/>
      </c>
      <c r="N274" s="77" t="str">
        <f t="shared" si="38"/>
        <v/>
      </c>
      <c r="O274" s="75" t="str">
        <f t="shared" si="39"/>
        <v/>
      </c>
      <c r="P274" s="79" t="str">
        <f>IF(B274="","",SUM($K$6:K274)-SUM($L$6:L274))</f>
        <v/>
      </c>
      <c r="Q274" s="75" t="str">
        <f t="shared" si="33"/>
        <v/>
      </c>
      <c r="R274" s="84"/>
      <c r="S274" s="84"/>
    </row>
    <row r="275" spans="1:19" x14ac:dyDescent="0.35">
      <c r="A275" s="75" t="str">
        <f t="shared" si="34"/>
        <v/>
      </c>
      <c r="B275" s="81"/>
      <c r="C275" s="75" t="str">
        <f t="shared" si="35"/>
        <v/>
      </c>
      <c r="D275" s="75" t="str">
        <f t="shared" si="36"/>
        <v/>
      </c>
      <c r="E275" s="14"/>
      <c r="F275" s="14"/>
      <c r="G275" s="14"/>
      <c r="H275" s="75" t="str">
        <f t="shared" si="37"/>
        <v/>
      </c>
      <c r="I275" s="77" t="str">
        <f>IF(G275="","",IFERROR(VLOOKUP(G275,'Plan Comptable'!$B$5:$C$278,2,FALSE),"Compte inconnu"))</f>
        <v/>
      </c>
      <c r="J275" s="83"/>
      <c r="K275" s="83"/>
      <c r="L275" s="14"/>
      <c r="M275" s="32" t="str">
        <f t="shared" si="32"/>
        <v/>
      </c>
      <c r="N275" s="77" t="str">
        <f t="shared" si="38"/>
        <v/>
      </c>
      <c r="O275" s="75" t="str">
        <f t="shared" si="39"/>
        <v/>
      </c>
      <c r="P275" s="79" t="str">
        <f>IF(B275="","",SUM($K$6:K275)-SUM($L$6:L275))</f>
        <v/>
      </c>
      <c r="Q275" s="75" t="str">
        <f t="shared" si="33"/>
        <v/>
      </c>
      <c r="R275" s="84"/>
      <c r="S275" s="84"/>
    </row>
    <row r="276" spans="1:19" x14ac:dyDescent="0.35">
      <c r="A276" s="75" t="str">
        <f t="shared" si="34"/>
        <v/>
      </c>
      <c r="B276" s="81"/>
      <c r="C276" s="75" t="str">
        <f t="shared" si="35"/>
        <v/>
      </c>
      <c r="D276" s="75" t="str">
        <f t="shared" si="36"/>
        <v/>
      </c>
      <c r="E276" s="14"/>
      <c r="F276" s="14"/>
      <c r="G276" s="14"/>
      <c r="H276" s="75" t="str">
        <f t="shared" si="37"/>
        <v/>
      </c>
      <c r="I276" s="77" t="str">
        <f>IF(G276="","",IFERROR(VLOOKUP(G276,'Plan Comptable'!$B$5:$C$278,2,FALSE),"Compte inconnu"))</f>
        <v/>
      </c>
      <c r="J276" s="83"/>
      <c r="K276" s="83"/>
      <c r="L276" s="14"/>
      <c r="M276" s="32" t="str">
        <f t="shared" si="32"/>
        <v/>
      </c>
      <c r="N276" s="77" t="str">
        <f t="shared" si="38"/>
        <v/>
      </c>
      <c r="O276" s="75" t="str">
        <f t="shared" si="39"/>
        <v/>
      </c>
      <c r="P276" s="79" t="str">
        <f>IF(B276="","",SUM($K$6:K276)-SUM($L$6:L276))</f>
        <v/>
      </c>
      <c r="Q276" s="75" t="str">
        <f t="shared" si="33"/>
        <v/>
      </c>
      <c r="R276" s="84"/>
      <c r="S276" s="84"/>
    </row>
    <row r="277" spans="1:19" x14ac:dyDescent="0.35">
      <c r="A277" s="75" t="str">
        <f t="shared" si="34"/>
        <v/>
      </c>
      <c r="B277" s="81"/>
      <c r="C277" s="75" t="str">
        <f t="shared" si="35"/>
        <v/>
      </c>
      <c r="D277" s="75" t="str">
        <f t="shared" si="36"/>
        <v/>
      </c>
      <c r="E277" s="14"/>
      <c r="F277" s="14"/>
      <c r="G277" s="14"/>
      <c r="H277" s="75" t="str">
        <f t="shared" si="37"/>
        <v/>
      </c>
      <c r="I277" s="77" t="str">
        <f>IF(G277="","",IFERROR(VLOOKUP(G277,'Plan Comptable'!$B$5:$C$278,2,FALSE),"Compte inconnu"))</f>
        <v/>
      </c>
      <c r="J277" s="83"/>
      <c r="K277" s="83"/>
      <c r="L277" s="14"/>
      <c r="M277" s="32" t="str">
        <f t="shared" si="32"/>
        <v/>
      </c>
      <c r="N277" s="77" t="str">
        <f t="shared" si="38"/>
        <v/>
      </c>
      <c r="O277" s="75" t="str">
        <f t="shared" si="39"/>
        <v/>
      </c>
      <c r="P277" s="79" t="str">
        <f>IF(B277="","",SUM($K$6:K277)-SUM($L$6:L277))</f>
        <v/>
      </c>
      <c r="Q277" s="75" t="str">
        <f t="shared" si="33"/>
        <v/>
      </c>
      <c r="R277" s="84"/>
      <c r="S277" s="84"/>
    </row>
    <row r="278" spans="1:19" x14ac:dyDescent="0.35">
      <c r="A278" s="75" t="str">
        <f t="shared" si="34"/>
        <v/>
      </c>
      <c r="B278" s="81"/>
      <c r="C278" s="75" t="str">
        <f t="shared" si="35"/>
        <v/>
      </c>
      <c r="D278" s="75" t="str">
        <f t="shared" si="36"/>
        <v/>
      </c>
      <c r="E278" s="14"/>
      <c r="F278" s="14"/>
      <c r="G278" s="14"/>
      <c r="H278" s="75" t="str">
        <f t="shared" si="37"/>
        <v/>
      </c>
      <c r="I278" s="77" t="str">
        <f>IF(G278="","",IFERROR(VLOOKUP(G278,'Plan Comptable'!$B$5:$C$278,2,FALSE),"Compte inconnu"))</f>
        <v/>
      </c>
      <c r="J278" s="83"/>
      <c r="K278" s="83"/>
      <c r="L278" s="14"/>
      <c r="M278" s="32" t="str">
        <f t="shared" si="32"/>
        <v/>
      </c>
      <c r="N278" s="77" t="str">
        <f t="shared" si="38"/>
        <v/>
      </c>
      <c r="O278" s="75" t="str">
        <f t="shared" si="39"/>
        <v/>
      </c>
      <c r="P278" s="79" t="str">
        <f>IF(B278="","",SUM($K$6:K278)-SUM($L$6:L278))</f>
        <v/>
      </c>
      <c r="Q278" s="75" t="str">
        <f t="shared" si="33"/>
        <v/>
      </c>
      <c r="R278" s="84"/>
      <c r="S278" s="84"/>
    </row>
    <row r="279" spans="1:19" x14ac:dyDescent="0.35">
      <c r="A279" s="75" t="str">
        <f t="shared" si="34"/>
        <v/>
      </c>
      <c r="B279" s="81"/>
      <c r="C279" s="75" t="str">
        <f t="shared" si="35"/>
        <v/>
      </c>
      <c r="D279" s="75" t="str">
        <f t="shared" si="36"/>
        <v/>
      </c>
      <c r="E279" s="14"/>
      <c r="F279" s="14"/>
      <c r="G279" s="14"/>
      <c r="H279" s="75" t="str">
        <f t="shared" si="37"/>
        <v/>
      </c>
      <c r="I279" s="77" t="str">
        <f>IF(G279="","",IFERROR(VLOOKUP(G279,'Plan Comptable'!$B$5:$C$278,2,FALSE),"Compte inconnu"))</f>
        <v/>
      </c>
      <c r="J279" s="83"/>
      <c r="K279" s="83"/>
      <c r="L279" s="14"/>
      <c r="M279" s="32" t="str">
        <f t="shared" si="32"/>
        <v/>
      </c>
      <c r="N279" s="77" t="str">
        <f t="shared" si="38"/>
        <v/>
      </c>
      <c r="O279" s="75" t="str">
        <f t="shared" si="39"/>
        <v/>
      </c>
      <c r="P279" s="79" t="str">
        <f>IF(B279="","",SUM($K$6:K279)-SUM($L$6:L279))</f>
        <v/>
      </c>
      <c r="Q279" s="75" t="str">
        <f t="shared" si="33"/>
        <v/>
      </c>
      <c r="R279" s="84"/>
      <c r="S279" s="84"/>
    </row>
    <row r="280" spans="1:19" x14ac:dyDescent="0.35">
      <c r="A280" s="75" t="str">
        <f t="shared" si="34"/>
        <v/>
      </c>
      <c r="B280" s="81"/>
      <c r="C280" s="75" t="str">
        <f t="shared" si="35"/>
        <v/>
      </c>
      <c r="D280" s="75" t="str">
        <f t="shared" si="36"/>
        <v/>
      </c>
      <c r="E280" s="14"/>
      <c r="F280" s="14"/>
      <c r="G280" s="14"/>
      <c r="H280" s="75" t="str">
        <f t="shared" si="37"/>
        <v/>
      </c>
      <c r="I280" s="77" t="str">
        <f>IF(G280="","",IFERROR(VLOOKUP(G280,'Plan Comptable'!$B$5:$C$278,2,FALSE),"Compte inconnu"))</f>
        <v/>
      </c>
      <c r="J280" s="83"/>
      <c r="K280" s="83"/>
      <c r="L280" s="14"/>
      <c r="M280" s="32" t="str">
        <f t="shared" si="32"/>
        <v/>
      </c>
      <c r="N280" s="77" t="str">
        <f t="shared" si="38"/>
        <v/>
      </c>
      <c r="O280" s="75" t="str">
        <f t="shared" si="39"/>
        <v/>
      </c>
      <c r="P280" s="79" t="str">
        <f>IF(B280="","",SUM($K$6:K280)-SUM($L$6:L280))</f>
        <v/>
      </c>
      <c r="Q280" s="75" t="str">
        <f t="shared" si="33"/>
        <v/>
      </c>
      <c r="R280" s="84"/>
      <c r="S280" s="84"/>
    </row>
    <row r="281" spans="1:19" x14ac:dyDescent="0.35">
      <c r="A281" s="75" t="str">
        <f t="shared" si="34"/>
        <v/>
      </c>
      <c r="B281" s="81"/>
      <c r="C281" s="75" t="str">
        <f t="shared" si="35"/>
        <v/>
      </c>
      <c r="D281" s="75" t="str">
        <f t="shared" si="36"/>
        <v/>
      </c>
      <c r="E281" s="14"/>
      <c r="F281" s="14"/>
      <c r="G281" s="14"/>
      <c r="H281" s="75" t="str">
        <f t="shared" si="37"/>
        <v/>
      </c>
      <c r="I281" s="77" t="str">
        <f>IF(G281="","",IFERROR(VLOOKUP(G281,'Plan Comptable'!$B$5:$C$278,2,FALSE),"Compte inconnu"))</f>
        <v/>
      </c>
      <c r="J281" s="83"/>
      <c r="K281" s="83"/>
      <c r="L281" s="14"/>
      <c r="M281" s="32" t="str">
        <f t="shared" si="32"/>
        <v/>
      </c>
      <c r="N281" s="77" t="str">
        <f t="shared" si="38"/>
        <v/>
      </c>
      <c r="O281" s="75" t="str">
        <f t="shared" si="39"/>
        <v/>
      </c>
      <c r="P281" s="79" t="str">
        <f>IF(B281="","",SUM($K$6:K281)-SUM($L$6:L281))</f>
        <v/>
      </c>
      <c r="Q281" s="75" t="str">
        <f t="shared" si="33"/>
        <v/>
      </c>
      <c r="R281" s="84"/>
      <c r="S281" s="84"/>
    </row>
    <row r="282" spans="1:19" x14ac:dyDescent="0.35">
      <c r="A282" s="75" t="str">
        <f t="shared" si="34"/>
        <v/>
      </c>
      <c r="B282" s="81"/>
      <c r="C282" s="75" t="str">
        <f t="shared" si="35"/>
        <v/>
      </c>
      <c r="D282" s="75" t="str">
        <f t="shared" si="36"/>
        <v/>
      </c>
      <c r="E282" s="14"/>
      <c r="F282" s="14"/>
      <c r="G282" s="14"/>
      <c r="H282" s="75" t="str">
        <f t="shared" si="37"/>
        <v/>
      </c>
      <c r="I282" s="77" t="str">
        <f>IF(G282="","",IFERROR(VLOOKUP(G282,'Plan Comptable'!$B$5:$C$278,2,FALSE),"Compte inconnu"))</f>
        <v/>
      </c>
      <c r="J282" s="83"/>
      <c r="K282" s="83"/>
      <c r="L282" s="14"/>
      <c r="M282" s="32" t="str">
        <f t="shared" si="32"/>
        <v/>
      </c>
      <c r="N282" s="77" t="str">
        <f t="shared" si="38"/>
        <v/>
      </c>
      <c r="O282" s="75" t="str">
        <f t="shared" si="39"/>
        <v/>
      </c>
      <c r="P282" s="79" t="str">
        <f>IF(B282="","",SUM($K$6:K282)-SUM($L$6:L282))</f>
        <v/>
      </c>
      <c r="Q282" s="75" t="str">
        <f t="shared" si="33"/>
        <v/>
      </c>
      <c r="R282" s="84"/>
      <c r="S282" s="84"/>
    </row>
    <row r="283" spans="1:19" x14ac:dyDescent="0.35">
      <c r="A283" s="75" t="str">
        <f t="shared" si="34"/>
        <v/>
      </c>
      <c r="B283" s="81"/>
      <c r="C283" s="75" t="str">
        <f t="shared" si="35"/>
        <v/>
      </c>
      <c r="D283" s="75" t="str">
        <f t="shared" si="36"/>
        <v/>
      </c>
      <c r="E283" s="14"/>
      <c r="F283" s="14"/>
      <c r="G283" s="14"/>
      <c r="H283" s="75" t="str">
        <f t="shared" si="37"/>
        <v/>
      </c>
      <c r="I283" s="77" t="str">
        <f>IF(G283="","",IFERROR(VLOOKUP(G283,'Plan Comptable'!$B$5:$C$278,2,FALSE),"Compte inconnu"))</f>
        <v/>
      </c>
      <c r="J283" s="83"/>
      <c r="K283" s="83"/>
      <c r="L283" s="14"/>
      <c r="M283" s="32" t="str">
        <f t="shared" si="32"/>
        <v/>
      </c>
      <c r="N283" s="77" t="str">
        <f t="shared" si="38"/>
        <v/>
      </c>
      <c r="O283" s="75" t="str">
        <f t="shared" si="39"/>
        <v/>
      </c>
      <c r="P283" s="79" t="str">
        <f>IF(B283="","",SUM($K$6:K283)-SUM($L$6:L283))</f>
        <v/>
      </c>
      <c r="Q283" s="75" t="str">
        <f t="shared" si="33"/>
        <v/>
      </c>
      <c r="R283" s="84"/>
      <c r="S283" s="84"/>
    </row>
    <row r="284" spans="1:19" x14ac:dyDescent="0.35">
      <c r="A284" s="75" t="str">
        <f t="shared" si="34"/>
        <v/>
      </c>
      <c r="B284" s="81"/>
      <c r="C284" s="75" t="str">
        <f t="shared" si="35"/>
        <v/>
      </c>
      <c r="D284" s="75" t="str">
        <f t="shared" si="36"/>
        <v/>
      </c>
      <c r="E284" s="14"/>
      <c r="F284" s="14"/>
      <c r="G284" s="14"/>
      <c r="H284" s="75" t="str">
        <f t="shared" si="37"/>
        <v/>
      </c>
      <c r="I284" s="77" t="str">
        <f>IF(G284="","",IFERROR(VLOOKUP(G284,'Plan Comptable'!$B$5:$C$278,2,FALSE),"Compte inconnu"))</f>
        <v/>
      </c>
      <c r="J284" s="83"/>
      <c r="K284" s="83"/>
      <c r="L284" s="14"/>
      <c r="M284" s="32" t="str">
        <f t="shared" si="32"/>
        <v/>
      </c>
      <c r="N284" s="77" t="str">
        <f t="shared" si="38"/>
        <v/>
      </c>
      <c r="O284" s="75" t="str">
        <f t="shared" si="39"/>
        <v/>
      </c>
      <c r="P284" s="79" t="str">
        <f>IF(B284="","",SUM($K$6:K284)-SUM($L$6:L284))</f>
        <v/>
      </c>
      <c r="Q284" s="75" t="str">
        <f t="shared" si="33"/>
        <v/>
      </c>
      <c r="R284" s="84"/>
      <c r="S284" s="84"/>
    </row>
    <row r="285" spans="1:19" x14ac:dyDescent="0.35">
      <c r="A285" s="75" t="str">
        <f t="shared" si="34"/>
        <v/>
      </c>
      <c r="B285" s="81"/>
      <c r="C285" s="75" t="str">
        <f t="shared" si="35"/>
        <v/>
      </c>
      <c r="D285" s="75" t="str">
        <f t="shared" si="36"/>
        <v/>
      </c>
      <c r="E285" s="14"/>
      <c r="F285" s="14"/>
      <c r="G285" s="14"/>
      <c r="H285" s="75" t="str">
        <f t="shared" si="37"/>
        <v/>
      </c>
      <c r="I285" s="77" t="str">
        <f>IF(G285="","",IFERROR(VLOOKUP(G285,'Plan Comptable'!$B$5:$C$278,2,FALSE),"Compte inconnu"))</f>
        <v/>
      </c>
      <c r="J285" s="83"/>
      <c r="K285" s="83"/>
      <c r="L285" s="14"/>
      <c r="M285" s="32" t="str">
        <f t="shared" si="32"/>
        <v/>
      </c>
      <c r="N285" s="77" t="str">
        <f t="shared" si="38"/>
        <v/>
      </c>
      <c r="O285" s="75" t="str">
        <f t="shared" si="39"/>
        <v/>
      </c>
      <c r="P285" s="79" t="str">
        <f>IF(B285="","",SUM($K$6:K285)-SUM($L$6:L285))</f>
        <v/>
      </c>
      <c r="Q285" s="75" t="str">
        <f t="shared" si="33"/>
        <v/>
      </c>
      <c r="R285" s="84"/>
      <c r="S285" s="84"/>
    </row>
    <row r="286" spans="1:19" x14ac:dyDescent="0.35">
      <c r="A286" s="75" t="str">
        <f t="shared" si="34"/>
        <v/>
      </c>
      <c r="B286" s="81"/>
      <c r="C286" s="75" t="str">
        <f t="shared" si="35"/>
        <v/>
      </c>
      <c r="D286" s="75" t="str">
        <f t="shared" si="36"/>
        <v/>
      </c>
      <c r="E286" s="14"/>
      <c r="F286" s="14"/>
      <c r="G286" s="14"/>
      <c r="H286" s="75" t="str">
        <f t="shared" si="37"/>
        <v/>
      </c>
      <c r="I286" s="77" t="str">
        <f>IF(G286="","",IFERROR(VLOOKUP(G286,'Plan Comptable'!$B$5:$C$278,2,FALSE),"Compte inconnu"))</f>
        <v/>
      </c>
      <c r="J286" s="83"/>
      <c r="K286" s="83"/>
      <c r="L286" s="14"/>
      <c r="M286" s="32" t="str">
        <f t="shared" si="32"/>
        <v/>
      </c>
      <c r="N286" s="77" t="str">
        <f t="shared" si="38"/>
        <v/>
      </c>
      <c r="O286" s="75" t="str">
        <f t="shared" si="39"/>
        <v/>
      </c>
      <c r="P286" s="79" t="str">
        <f>IF(B286="","",SUM($K$6:K286)-SUM($L$6:L286))</f>
        <v/>
      </c>
      <c r="Q286" s="75" t="str">
        <f t="shared" si="33"/>
        <v/>
      </c>
      <c r="R286" s="84"/>
      <c r="S286" s="84"/>
    </row>
    <row r="287" spans="1:19" x14ac:dyDescent="0.35">
      <c r="A287" s="75" t="str">
        <f t="shared" si="34"/>
        <v/>
      </c>
      <c r="B287" s="81"/>
      <c r="C287" s="75" t="str">
        <f t="shared" si="35"/>
        <v/>
      </c>
      <c r="D287" s="75" t="str">
        <f t="shared" si="36"/>
        <v/>
      </c>
      <c r="E287" s="14"/>
      <c r="F287" s="14"/>
      <c r="G287" s="14"/>
      <c r="H287" s="75" t="str">
        <f t="shared" si="37"/>
        <v/>
      </c>
      <c r="I287" s="77" t="str">
        <f>IF(G287="","",IFERROR(VLOOKUP(G287,'Plan Comptable'!$B$5:$C$278,2,FALSE),"Compte inconnu"))</f>
        <v/>
      </c>
      <c r="J287" s="83"/>
      <c r="K287" s="83"/>
      <c r="L287" s="14"/>
      <c r="M287" s="32" t="str">
        <f t="shared" si="32"/>
        <v/>
      </c>
      <c r="N287" s="77" t="str">
        <f t="shared" si="38"/>
        <v/>
      </c>
      <c r="O287" s="75" t="str">
        <f t="shared" si="39"/>
        <v/>
      </c>
      <c r="P287" s="79" t="str">
        <f>IF(B287="","",SUM($K$6:K287)-SUM($L$6:L287))</f>
        <v/>
      </c>
      <c r="Q287" s="75" t="str">
        <f t="shared" si="33"/>
        <v/>
      </c>
      <c r="R287" s="84"/>
      <c r="S287" s="84"/>
    </row>
    <row r="288" spans="1:19" x14ac:dyDescent="0.35">
      <c r="A288" s="75" t="str">
        <f t="shared" si="34"/>
        <v/>
      </c>
      <c r="B288" s="81"/>
      <c r="C288" s="75" t="str">
        <f t="shared" si="35"/>
        <v/>
      </c>
      <c r="D288" s="75" t="str">
        <f t="shared" si="36"/>
        <v/>
      </c>
      <c r="E288" s="14"/>
      <c r="F288" s="14"/>
      <c r="G288" s="14"/>
      <c r="H288" s="75" t="str">
        <f t="shared" si="37"/>
        <v/>
      </c>
      <c r="I288" s="77" t="str">
        <f>IF(G288="","",IFERROR(VLOOKUP(G288,'Plan Comptable'!$B$5:$C$278,2,FALSE),"Compte inconnu"))</f>
        <v/>
      </c>
      <c r="J288" s="83"/>
      <c r="K288" s="83"/>
      <c r="L288" s="14"/>
      <c r="M288" s="32" t="str">
        <f t="shared" si="32"/>
        <v/>
      </c>
      <c r="N288" s="77" t="str">
        <f t="shared" si="38"/>
        <v/>
      </c>
      <c r="O288" s="75" t="str">
        <f t="shared" si="39"/>
        <v/>
      </c>
      <c r="P288" s="79" t="str">
        <f>IF(B288="","",SUM($K$6:K288)-SUM($L$6:L288))</f>
        <v/>
      </c>
      <c r="Q288" s="75" t="str">
        <f t="shared" si="33"/>
        <v/>
      </c>
      <c r="R288" s="84"/>
      <c r="S288" s="84"/>
    </row>
    <row r="289" spans="1:19" x14ac:dyDescent="0.35">
      <c r="A289" s="75" t="str">
        <f t="shared" si="34"/>
        <v/>
      </c>
      <c r="B289" s="81"/>
      <c r="C289" s="75" t="str">
        <f t="shared" si="35"/>
        <v/>
      </c>
      <c r="D289" s="75" t="str">
        <f t="shared" si="36"/>
        <v/>
      </c>
      <c r="E289" s="14"/>
      <c r="F289" s="14"/>
      <c r="G289" s="14"/>
      <c r="H289" s="75" t="str">
        <f t="shared" si="37"/>
        <v/>
      </c>
      <c r="I289" s="77" t="str">
        <f>IF(G289="","",IFERROR(VLOOKUP(G289,'Plan Comptable'!$B$5:$C$278,2,FALSE),"Compte inconnu"))</f>
        <v/>
      </c>
      <c r="J289" s="83"/>
      <c r="K289" s="83"/>
      <c r="L289" s="14"/>
      <c r="M289" s="32" t="str">
        <f t="shared" si="32"/>
        <v/>
      </c>
      <c r="N289" s="77" t="str">
        <f t="shared" si="38"/>
        <v/>
      </c>
      <c r="O289" s="75" t="str">
        <f t="shared" si="39"/>
        <v/>
      </c>
      <c r="P289" s="79" t="str">
        <f>IF(B289="","",SUM($K$6:K289)-SUM($L$6:L289))</f>
        <v/>
      </c>
      <c r="Q289" s="75" t="str">
        <f t="shared" si="33"/>
        <v/>
      </c>
      <c r="R289" s="84"/>
      <c r="S289" s="84"/>
    </row>
    <row r="290" spans="1:19" x14ac:dyDescent="0.35">
      <c r="A290" s="75" t="str">
        <f t="shared" si="34"/>
        <v/>
      </c>
      <c r="B290" s="81"/>
      <c r="C290" s="75" t="str">
        <f t="shared" si="35"/>
        <v/>
      </c>
      <c r="D290" s="75" t="str">
        <f t="shared" si="36"/>
        <v/>
      </c>
      <c r="E290" s="14"/>
      <c r="F290" s="14"/>
      <c r="G290" s="14"/>
      <c r="H290" s="75" t="str">
        <f t="shared" si="37"/>
        <v/>
      </c>
      <c r="I290" s="77" t="str">
        <f>IF(G290="","",IFERROR(VLOOKUP(G290,'Plan Comptable'!$B$5:$C$278,2,FALSE),"Compte inconnu"))</f>
        <v/>
      </c>
      <c r="J290" s="83"/>
      <c r="K290" s="83"/>
      <c r="L290" s="14"/>
      <c r="M290" s="32" t="str">
        <f t="shared" si="32"/>
        <v/>
      </c>
      <c r="N290" s="77" t="str">
        <f t="shared" si="38"/>
        <v/>
      </c>
      <c r="O290" s="75" t="str">
        <f t="shared" si="39"/>
        <v/>
      </c>
      <c r="P290" s="79" t="str">
        <f>IF(B290="","",SUM($K$6:K290)-SUM($L$6:L290))</f>
        <v/>
      </c>
      <c r="Q290" s="75" t="str">
        <f t="shared" si="33"/>
        <v/>
      </c>
      <c r="R290" s="84"/>
      <c r="S290" s="84"/>
    </row>
    <row r="291" spans="1:19" x14ac:dyDescent="0.35">
      <c r="A291" s="75" t="str">
        <f t="shared" si="34"/>
        <v/>
      </c>
      <c r="B291" s="81"/>
      <c r="C291" s="75" t="str">
        <f t="shared" si="35"/>
        <v/>
      </c>
      <c r="D291" s="75" t="str">
        <f t="shared" si="36"/>
        <v/>
      </c>
      <c r="E291" s="14"/>
      <c r="F291" s="14"/>
      <c r="G291" s="14"/>
      <c r="H291" s="75" t="str">
        <f t="shared" si="37"/>
        <v/>
      </c>
      <c r="I291" s="77" t="str">
        <f>IF(G291="","",IFERROR(VLOOKUP(G291,'Plan Comptable'!$B$5:$C$278,2,FALSE),"Compte inconnu"))</f>
        <v/>
      </c>
      <c r="J291" s="83"/>
      <c r="K291" s="83"/>
      <c r="L291" s="14"/>
      <c r="M291" s="32" t="str">
        <f t="shared" si="32"/>
        <v/>
      </c>
      <c r="N291" s="77" t="str">
        <f t="shared" si="38"/>
        <v/>
      </c>
      <c r="O291" s="75" t="str">
        <f t="shared" si="39"/>
        <v/>
      </c>
      <c r="P291" s="79" t="str">
        <f>IF(B291="","",SUM($K$6:K291)-SUM($L$6:L291))</f>
        <v/>
      </c>
      <c r="Q291" s="75" t="str">
        <f t="shared" si="33"/>
        <v/>
      </c>
      <c r="R291" s="84"/>
      <c r="S291" s="84"/>
    </row>
    <row r="292" spans="1:19" x14ac:dyDescent="0.35">
      <c r="A292" s="75" t="str">
        <f t="shared" si="34"/>
        <v/>
      </c>
      <c r="B292" s="81"/>
      <c r="C292" s="75" t="str">
        <f t="shared" si="35"/>
        <v/>
      </c>
      <c r="D292" s="75" t="str">
        <f t="shared" si="36"/>
        <v/>
      </c>
      <c r="E292" s="14"/>
      <c r="F292" s="14"/>
      <c r="G292" s="14"/>
      <c r="H292" s="75" t="str">
        <f t="shared" si="37"/>
        <v/>
      </c>
      <c r="I292" s="77" t="str">
        <f>IF(G292="","",IFERROR(VLOOKUP(G292,'Plan Comptable'!$B$5:$C$278,2,FALSE),"Compte inconnu"))</f>
        <v/>
      </c>
      <c r="J292" s="83"/>
      <c r="K292" s="83"/>
      <c r="L292" s="14"/>
      <c r="M292" s="32" t="str">
        <f t="shared" si="32"/>
        <v/>
      </c>
      <c r="N292" s="77" t="str">
        <f t="shared" si="38"/>
        <v/>
      </c>
      <c r="O292" s="75" t="str">
        <f t="shared" si="39"/>
        <v/>
      </c>
      <c r="P292" s="79" t="str">
        <f>IF(B292="","",SUM($K$6:K292)-SUM($L$6:L292))</f>
        <v/>
      </c>
      <c r="Q292" s="75" t="str">
        <f t="shared" si="33"/>
        <v/>
      </c>
      <c r="R292" s="84"/>
      <c r="S292" s="84"/>
    </row>
    <row r="293" spans="1:19" x14ac:dyDescent="0.35">
      <c r="A293" s="75" t="str">
        <f t="shared" si="34"/>
        <v/>
      </c>
      <c r="B293" s="81"/>
      <c r="C293" s="75" t="str">
        <f t="shared" si="35"/>
        <v/>
      </c>
      <c r="D293" s="75" t="str">
        <f t="shared" si="36"/>
        <v/>
      </c>
      <c r="E293" s="14"/>
      <c r="F293" s="14"/>
      <c r="G293" s="14"/>
      <c r="H293" s="75" t="str">
        <f t="shared" si="37"/>
        <v/>
      </c>
      <c r="I293" s="77" t="str">
        <f>IF(G293="","",IFERROR(VLOOKUP(G293,'Plan Comptable'!$B$5:$C$278,2,FALSE),"Compte inconnu"))</f>
        <v/>
      </c>
      <c r="J293" s="83"/>
      <c r="K293" s="83"/>
      <c r="L293" s="14"/>
      <c r="M293" s="32" t="str">
        <f t="shared" si="32"/>
        <v/>
      </c>
      <c r="N293" s="77" t="str">
        <f t="shared" si="38"/>
        <v/>
      </c>
      <c r="O293" s="75" t="str">
        <f t="shared" si="39"/>
        <v/>
      </c>
      <c r="P293" s="79" t="str">
        <f>IF(B293="","",SUM($K$6:K293)-SUM($L$6:L293))</f>
        <v/>
      </c>
      <c r="Q293" s="75" t="str">
        <f t="shared" si="33"/>
        <v/>
      </c>
      <c r="R293" s="84"/>
      <c r="S293" s="84"/>
    </row>
    <row r="294" spans="1:19" x14ac:dyDescent="0.35">
      <c r="A294" s="75" t="str">
        <f t="shared" si="34"/>
        <v/>
      </c>
      <c r="B294" s="81"/>
      <c r="C294" s="75" t="str">
        <f t="shared" si="35"/>
        <v/>
      </c>
      <c r="D294" s="75" t="str">
        <f t="shared" si="36"/>
        <v/>
      </c>
      <c r="E294" s="14"/>
      <c r="F294" s="14"/>
      <c r="G294" s="14"/>
      <c r="H294" s="75" t="str">
        <f t="shared" si="37"/>
        <v/>
      </c>
      <c r="I294" s="77" t="str">
        <f>IF(G294="","",IFERROR(VLOOKUP(G294,'Plan Comptable'!$B$5:$C$278,2,FALSE),"Compte inconnu"))</f>
        <v/>
      </c>
      <c r="J294" s="83"/>
      <c r="K294" s="83"/>
      <c r="L294" s="14"/>
      <c r="M294" s="32" t="str">
        <f t="shared" si="32"/>
        <v/>
      </c>
      <c r="N294" s="77" t="str">
        <f t="shared" si="38"/>
        <v/>
      </c>
      <c r="O294" s="75" t="str">
        <f t="shared" si="39"/>
        <v/>
      </c>
      <c r="P294" s="79" t="str">
        <f>IF(B294="","",SUM($K$6:K294)-SUM($L$6:L294))</f>
        <v/>
      </c>
      <c r="Q294" s="75" t="str">
        <f t="shared" si="33"/>
        <v/>
      </c>
      <c r="R294" s="84"/>
      <c r="S294" s="84"/>
    </row>
    <row r="295" spans="1:19" x14ac:dyDescent="0.35">
      <c r="A295" s="75" t="str">
        <f t="shared" si="34"/>
        <v/>
      </c>
      <c r="B295" s="81"/>
      <c r="C295" s="75" t="str">
        <f t="shared" si="35"/>
        <v/>
      </c>
      <c r="D295" s="75" t="str">
        <f t="shared" si="36"/>
        <v/>
      </c>
      <c r="E295" s="14"/>
      <c r="F295" s="14"/>
      <c r="G295" s="14"/>
      <c r="H295" s="75" t="str">
        <f t="shared" si="37"/>
        <v/>
      </c>
      <c r="I295" s="77" t="str">
        <f>IF(G295="","",IFERROR(VLOOKUP(G295,'Plan Comptable'!$B$5:$C$278,2,FALSE),"Compte inconnu"))</f>
        <v/>
      </c>
      <c r="J295" s="83"/>
      <c r="K295" s="83"/>
      <c r="L295" s="14"/>
      <c r="M295" s="32" t="str">
        <f t="shared" si="32"/>
        <v/>
      </c>
      <c r="N295" s="77" t="str">
        <f t="shared" si="38"/>
        <v/>
      </c>
      <c r="O295" s="75" t="str">
        <f t="shared" si="39"/>
        <v/>
      </c>
      <c r="P295" s="79" t="str">
        <f>IF(B295="","",SUM($K$6:K295)-SUM($L$6:L295))</f>
        <v/>
      </c>
      <c r="Q295" s="75" t="str">
        <f t="shared" si="33"/>
        <v/>
      </c>
      <c r="R295" s="84"/>
      <c r="S295" s="84"/>
    </row>
    <row r="296" spans="1:19" x14ac:dyDescent="0.35">
      <c r="A296" s="75" t="str">
        <f t="shared" si="34"/>
        <v/>
      </c>
      <c r="B296" s="81"/>
      <c r="C296" s="75" t="str">
        <f t="shared" si="35"/>
        <v/>
      </c>
      <c r="D296" s="75" t="str">
        <f t="shared" si="36"/>
        <v/>
      </c>
      <c r="E296" s="14"/>
      <c r="F296" s="14"/>
      <c r="G296" s="14"/>
      <c r="H296" s="75" t="str">
        <f t="shared" si="37"/>
        <v/>
      </c>
      <c r="I296" s="77" t="str">
        <f>IF(G296="","",IFERROR(VLOOKUP(G296,'Plan Comptable'!$B$5:$C$278,2,FALSE),"Compte inconnu"))</f>
        <v/>
      </c>
      <c r="J296" s="83"/>
      <c r="K296" s="83"/>
      <c r="L296" s="14"/>
      <c r="M296" s="32" t="str">
        <f t="shared" si="32"/>
        <v/>
      </c>
      <c r="N296" s="77" t="str">
        <f t="shared" si="38"/>
        <v/>
      </c>
      <c r="O296" s="75" t="str">
        <f t="shared" si="39"/>
        <v/>
      </c>
      <c r="P296" s="79" t="str">
        <f>IF(B296="","",SUM($K$6:K296)-SUM($L$6:L296))</f>
        <v/>
      </c>
      <c r="Q296" s="75" t="str">
        <f t="shared" si="33"/>
        <v/>
      </c>
      <c r="R296" s="84"/>
      <c r="S296" s="84"/>
    </row>
    <row r="297" spans="1:19" x14ac:dyDescent="0.35">
      <c r="A297" s="75" t="str">
        <f t="shared" si="34"/>
        <v/>
      </c>
      <c r="B297" s="81"/>
      <c r="C297" s="75" t="str">
        <f t="shared" si="35"/>
        <v/>
      </c>
      <c r="D297" s="75" t="str">
        <f t="shared" si="36"/>
        <v/>
      </c>
      <c r="E297" s="14"/>
      <c r="F297" s="14"/>
      <c r="G297" s="14"/>
      <c r="H297" s="75" t="str">
        <f t="shared" si="37"/>
        <v/>
      </c>
      <c r="I297" s="77" t="str">
        <f>IF(G297="","",IFERROR(VLOOKUP(G297,'Plan Comptable'!$B$5:$C$278,2,FALSE),"Compte inconnu"))</f>
        <v/>
      </c>
      <c r="J297" s="83"/>
      <c r="K297" s="83"/>
      <c r="L297" s="14"/>
      <c r="M297" s="32" t="str">
        <f t="shared" si="32"/>
        <v/>
      </c>
      <c r="N297" s="77" t="str">
        <f t="shared" si="38"/>
        <v/>
      </c>
      <c r="O297" s="75" t="str">
        <f t="shared" si="39"/>
        <v/>
      </c>
      <c r="P297" s="79" t="str">
        <f>IF(B297="","",SUM($K$6:K297)-SUM($L$6:L297))</f>
        <v/>
      </c>
      <c r="Q297" s="75" t="str">
        <f t="shared" si="33"/>
        <v/>
      </c>
      <c r="R297" s="84"/>
      <c r="S297" s="84"/>
    </row>
    <row r="298" spans="1:19" x14ac:dyDescent="0.35">
      <c r="A298" s="75" t="str">
        <f t="shared" si="34"/>
        <v/>
      </c>
      <c r="B298" s="81"/>
      <c r="C298" s="75" t="str">
        <f t="shared" si="35"/>
        <v/>
      </c>
      <c r="D298" s="75" t="str">
        <f t="shared" si="36"/>
        <v/>
      </c>
      <c r="E298" s="14"/>
      <c r="F298" s="14"/>
      <c r="G298" s="14"/>
      <c r="H298" s="75" t="str">
        <f t="shared" si="37"/>
        <v/>
      </c>
      <c r="I298" s="77" t="str">
        <f>IF(G298="","",IFERROR(VLOOKUP(G298,'Plan Comptable'!$B$5:$C$278,2,FALSE),"Compte inconnu"))</f>
        <v/>
      </c>
      <c r="J298" s="83"/>
      <c r="K298" s="83"/>
      <c r="L298" s="14"/>
      <c r="M298" s="32" t="str">
        <f t="shared" si="32"/>
        <v/>
      </c>
      <c r="N298" s="77" t="str">
        <f t="shared" si="38"/>
        <v/>
      </c>
      <c r="O298" s="75" t="str">
        <f t="shared" si="39"/>
        <v/>
      </c>
      <c r="P298" s="79" t="str">
        <f>IF(B298="","",SUM($K$6:K298)-SUM($L$6:L298))</f>
        <v/>
      </c>
      <c r="Q298" s="75" t="str">
        <f t="shared" si="33"/>
        <v/>
      </c>
      <c r="R298" s="84"/>
      <c r="S298" s="84"/>
    </row>
    <row r="299" spans="1:19" x14ac:dyDescent="0.35">
      <c r="A299" s="75" t="str">
        <f t="shared" si="34"/>
        <v/>
      </c>
      <c r="B299" s="81"/>
      <c r="C299" s="75" t="str">
        <f t="shared" si="35"/>
        <v/>
      </c>
      <c r="D299" s="75" t="str">
        <f t="shared" si="36"/>
        <v/>
      </c>
      <c r="E299" s="14"/>
      <c r="F299" s="14"/>
      <c r="G299" s="14"/>
      <c r="H299" s="75" t="str">
        <f t="shared" si="37"/>
        <v/>
      </c>
      <c r="I299" s="77" t="str">
        <f>IF(G299="","",IFERROR(VLOOKUP(G299,'Plan Comptable'!$B$5:$C$278,2,FALSE),"Compte inconnu"))</f>
        <v/>
      </c>
      <c r="J299" s="83"/>
      <c r="K299" s="83"/>
      <c r="L299" s="14"/>
      <c r="M299" s="32" t="str">
        <f t="shared" si="32"/>
        <v/>
      </c>
      <c r="N299" s="77" t="str">
        <f t="shared" si="38"/>
        <v/>
      </c>
      <c r="O299" s="75" t="str">
        <f t="shared" si="39"/>
        <v/>
      </c>
      <c r="P299" s="79" t="str">
        <f>IF(B299="","",SUM($K$6:K299)-SUM($L$6:L299))</f>
        <v/>
      </c>
      <c r="Q299" s="75" t="str">
        <f t="shared" si="33"/>
        <v/>
      </c>
      <c r="R299" s="84"/>
      <c r="S299" s="84"/>
    </row>
    <row r="300" spans="1:19" x14ac:dyDescent="0.35">
      <c r="A300" s="75" t="str">
        <f t="shared" si="34"/>
        <v/>
      </c>
      <c r="B300" s="81"/>
      <c r="C300" s="75" t="str">
        <f t="shared" si="35"/>
        <v/>
      </c>
      <c r="D300" s="75" t="str">
        <f t="shared" si="36"/>
        <v/>
      </c>
      <c r="E300" s="14"/>
      <c r="F300" s="14"/>
      <c r="G300" s="14"/>
      <c r="H300" s="75" t="str">
        <f t="shared" si="37"/>
        <v/>
      </c>
      <c r="I300" s="77" t="str">
        <f>IF(G300="","",IFERROR(VLOOKUP(G300,'Plan Comptable'!$B$5:$C$278,2,FALSE),"Compte inconnu"))</f>
        <v/>
      </c>
      <c r="J300" s="83"/>
      <c r="K300" s="83"/>
      <c r="L300" s="14"/>
      <c r="M300" s="32" t="str">
        <f t="shared" si="32"/>
        <v/>
      </c>
      <c r="N300" s="77" t="str">
        <f t="shared" si="38"/>
        <v/>
      </c>
      <c r="O300" s="75" t="str">
        <f t="shared" si="39"/>
        <v/>
      </c>
      <c r="P300" s="79" t="str">
        <f>IF(B300="","",SUM($K$6:K300)-SUM($L$6:L300))</f>
        <v/>
      </c>
      <c r="Q300" s="75" t="str">
        <f t="shared" si="33"/>
        <v/>
      </c>
      <c r="R300" s="84"/>
      <c r="S300" s="84"/>
    </row>
    <row r="301" spans="1:19" x14ac:dyDescent="0.35">
      <c r="A301" s="75" t="str">
        <f t="shared" si="34"/>
        <v/>
      </c>
      <c r="B301" s="81"/>
      <c r="C301" s="75" t="str">
        <f t="shared" si="35"/>
        <v/>
      </c>
      <c r="D301" s="75" t="str">
        <f t="shared" si="36"/>
        <v/>
      </c>
      <c r="E301" s="14"/>
      <c r="F301" s="14"/>
      <c r="G301" s="14"/>
      <c r="H301" s="75" t="str">
        <f t="shared" si="37"/>
        <v/>
      </c>
      <c r="I301" s="77" t="str">
        <f>IF(G301="","",IFERROR(VLOOKUP(G301,'Plan Comptable'!$B$5:$C$278,2,FALSE),"Compte inconnu"))</f>
        <v/>
      </c>
      <c r="J301" s="83"/>
      <c r="K301" s="83"/>
      <c r="L301" s="14"/>
      <c r="M301" s="32" t="str">
        <f t="shared" si="32"/>
        <v/>
      </c>
      <c r="N301" s="77" t="str">
        <f t="shared" si="38"/>
        <v/>
      </c>
      <c r="O301" s="75" t="str">
        <f t="shared" si="39"/>
        <v/>
      </c>
      <c r="P301" s="79" t="str">
        <f>IF(B301="","",SUM($K$6:K301)-SUM($L$6:L301))</f>
        <v/>
      </c>
      <c r="Q301" s="75" t="str">
        <f t="shared" si="33"/>
        <v/>
      </c>
      <c r="R301" s="84"/>
      <c r="S301" s="84"/>
    </row>
    <row r="302" spans="1:19" x14ac:dyDescent="0.35">
      <c r="A302" s="75" t="str">
        <f t="shared" si="34"/>
        <v/>
      </c>
      <c r="B302" s="81"/>
      <c r="C302" s="75" t="str">
        <f t="shared" si="35"/>
        <v/>
      </c>
      <c r="D302" s="75" t="str">
        <f t="shared" si="36"/>
        <v/>
      </c>
      <c r="E302" s="14"/>
      <c r="F302" s="14"/>
      <c r="G302" s="14"/>
      <c r="H302" s="75" t="str">
        <f t="shared" si="37"/>
        <v/>
      </c>
      <c r="I302" s="77" t="str">
        <f>IF(G302="","",IFERROR(VLOOKUP(G302,'Plan Comptable'!$B$5:$C$278,2,FALSE),"Compte inconnu"))</f>
        <v/>
      </c>
      <c r="J302" s="83"/>
      <c r="K302" s="83"/>
      <c r="L302" s="14"/>
      <c r="M302" s="32" t="str">
        <f t="shared" si="32"/>
        <v/>
      </c>
      <c r="N302" s="77" t="str">
        <f t="shared" si="38"/>
        <v/>
      </c>
      <c r="O302" s="75" t="str">
        <f t="shared" si="39"/>
        <v/>
      </c>
      <c r="P302" s="79" t="str">
        <f>IF(B302="","",SUM($K$6:K302)-SUM($L$6:L302))</f>
        <v/>
      </c>
      <c r="Q302" s="75" t="str">
        <f t="shared" si="33"/>
        <v/>
      </c>
      <c r="R302" s="84"/>
      <c r="S302" s="84"/>
    </row>
    <row r="303" spans="1:19" x14ac:dyDescent="0.35">
      <c r="A303" s="75" t="str">
        <f t="shared" si="34"/>
        <v/>
      </c>
      <c r="B303" s="81"/>
      <c r="C303" s="75" t="str">
        <f t="shared" si="35"/>
        <v/>
      </c>
      <c r="D303" s="75" t="str">
        <f t="shared" si="36"/>
        <v/>
      </c>
      <c r="E303" s="14"/>
      <c r="F303" s="14"/>
      <c r="G303" s="14"/>
      <c r="H303" s="75" t="str">
        <f t="shared" si="37"/>
        <v/>
      </c>
      <c r="I303" s="77" t="str">
        <f>IF(G303="","",IFERROR(VLOOKUP(G303,'Plan Comptable'!$B$5:$C$278,2,FALSE),"Compte inconnu"))</f>
        <v/>
      </c>
      <c r="J303" s="83"/>
      <c r="K303" s="83"/>
      <c r="L303" s="14"/>
      <c r="M303" s="32" t="str">
        <f t="shared" si="32"/>
        <v/>
      </c>
      <c r="N303" s="77" t="str">
        <f t="shared" si="38"/>
        <v/>
      </c>
      <c r="O303" s="75" t="str">
        <f t="shared" si="39"/>
        <v/>
      </c>
      <c r="P303" s="79" t="str">
        <f>IF(B303="","",SUM($K$6:K303)-SUM($L$6:L303))</f>
        <v/>
      </c>
      <c r="Q303" s="75" t="str">
        <f t="shared" si="33"/>
        <v/>
      </c>
      <c r="R303" s="84"/>
      <c r="S303" s="84"/>
    </row>
    <row r="304" spans="1:19" x14ac:dyDescent="0.35">
      <c r="A304" s="75" t="str">
        <f t="shared" si="34"/>
        <v/>
      </c>
      <c r="B304" s="81"/>
      <c r="C304" s="75" t="str">
        <f t="shared" si="35"/>
        <v/>
      </c>
      <c r="D304" s="75" t="str">
        <f t="shared" si="36"/>
        <v/>
      </c>
      <c r="E304" s="14"/>
      <c r="F304" s="14"/>
      <c r="G304" s="14"/>
      <c r="H304" s="75" t="str">
        <f t="shared" si="37"/>
        <v/>
      </c>
      <c r="I304" s="77" t="str">
        <f>IF(G304="","",IFERROR(VLOOKUP(G304,'Plan Comptable'!$B$5:$C$278,2,FALSE),"Compte inconnu"))</f>
        <v/>
      </c>
      <c r="J304" s="83"/>
      <c r="K304" s="83"/>
      <c r="L304" s="14"/>
      <c r="M304" s="32" t="str">
        <f t="shared" si="32"/>
        <v/>
      </c>
      <c r="N304" s="77" t="str">
        <f t="shared" si="38"/>
        <v/>
      </c>
      <c r="O304" s="75" t="str">
        <f t="shared" si="39"/>
        <v/>
      </c>
      <c r="P304" s="79" t="str">
        <f>IF(B304="","",SUM($K$6:K304)-SUM($L$6:L304))</f>
        <v/>
      </c>
      <c r="Q304" s="75" t="str">
        <f t="shared" si="33"/>
        <v/>
      </c>
      <c r="R304" s="84"/>
      <c r="S304" s="84"/>
    </row>
    <row r="305" spans="1:19" x14ac:dyDescent="0.35">
      <c r="A305" s="75" t="str">
        <f t="shared" si="34"/>
        <v/>
      </c>
      <c r="B305" s="81"/>
      <c r="C305" s="75" t="str">
        <f t="shared" si="35"/>
        <v/>
      </c>
      <c r="D305" s="75" t="str">
        <f t="shared" si="36"/>
        <v/>
      </c>
      <c r="E305" s="14"/>
      <c r="F305" s="14"/>
      <c r="G305" s="14"/>
      <c r="H305" s="75" t="str">
        <f t="shared" si="37"/>
        <v/>
      </c>
      <c r="I305" s="77" t="str">
        <f>IF(G305="","",IFERROR(VLOOKUP(G305,'Plan Comptable'!$B$5:$C$278,2,FALSE),"Compte inconnu"))</f>
        <v/>
      </c>
      <c r="J305" s="83"/>
      <c r="K305" s="83"/>
      <c r="L305" s="14"/>
      <c r="M305" s="32" t="str">
        <f t="shared" si="32"/>
        <v/>
      </c>
      <c r="N305" s="77" t="str">
        <f t="shared" si="38"/>
        <v/>
      </c>
      <c r="O305" s="75" t="str">
        <f t="shared" si="39"/>
        <v/>
      </c>
      <c r="P305" s="79" t="str">
        <f>IF(B305="","",SUM($K$6:K305)-SUM($L$6:L305))</f>
        <v/>
      </c>
      <c r="Q305" s="75" t="str">
        <f t="shared" si="33"/>
        <v/>
      </c>
      <c r="R305" s="84"/>
      <c r="S305" s="84"/>
    </row>
    <row r="306" spans="1:19" x14ac:dyDescent="0.35">
      <c r="A306" s="75" t="str">
        <f t="shared" si="34"/>
        <v/>
      </c>
      <c r="B306" s="81"/>
      <c r="C306" s="75" t="str">
        <f t="shared" si="35"/>
        <v/>
      </c>
      <c r="D306" s="75" t="str">
        <f t="shared" si="36"/>
        <v/>
      </c>
      <c r="E306" s="14"/>
      <c r="F306" s="14"/>
      <c r="G306" s="14"/>
      <c r="H306" s="75" t="str">
        <f t="shared" si="37"/>
        <v/>
      </c>
      <c r="I306" s="77" t="str">
        <f>IF(G306="","",IFERROR(VLOOKUP(G306,'Plan Comptable'!$B$5:$C$278,2,FALSE),"Compte inconnu"))</f>
        <v/>
      </c>
      <c r="J306" s="83"/>
      <c r="K306" s="83"/>
      <c r="L306" s="14"/>
      <c r="M306" s="32" t="str">
        <f t="shared" si="32"/>
        <v/>
      </c>
      <c r="N306" s="77" t="str">
        <f t="shared" si="38"/>
        <v/>
      </c>
      <c r="O306" s="75" t="str">
        <f t="shared" si="39"/>
        <v/>
      </c>
      <c r="P306" s="79" t="str">
        <f>IF(B306="","",SUM($K$6:K306)-SUM($L$6:L306))</f>
        <v/>
      </c>
      <c r="Q306" s="75" t="str">
        <f t="shared" si="33"/>
        <v/>
      </c>
      <c r="R306" s="84"/>
      <c r="S306" s="84"/>
    </row>
    <row r="307" spans="1:19" x14ac:dyDescent="0.35">
      <c r="A307" s="75" t="str">
        <f t="shared" si="34"/>
        <v/>
      </c>
      <c r="B307" s="81"/>
      <c r="C307" s="75" t="str">
        <f t="shared" si="35"/>
        <v/>
      </c>
      <c r="D307" s="75" t="str">
        <f t="shared" si="36"/>
        <v/>
      </c>
      <c r="E307" s="14"/>
      <c r="F307" s="14"/>
      <c r="G307" s="14"/>
      <c r="H307" s="75" t="str">
        <f t="shared" si="37"/>
        <v/>
      </c>
      <c r="I307" s="77" t="str">
        <f>IF(G307="","",IFERROR(VLOOKUP(G307,'Plan Comptable'!$B$5:$C$278,2,FALSE),"Compte inconnu"))</f>
        <v/>
      </c>
      <c r="J307" s="83"/>
      <c r="K307" s="83"/>
      <c r="L307" s="14"/>
      <c r="M307" s="32" t="str">
        <f t="shared" si="32"/>
        <v/>
      </c>
      <c r="N307" s="77" t="str">
        <f t="shared" si="38"/>
        <v/>
      </c>
      <c r="O307" s="75" t="str">
        <f t="shared" si="39"/>
        <v/>
      </c>
      <c r="P307" s="79" t="str">
        <f>IF(B307="","",SUM($K$6:K307)-SUM($L$6:L307))</f>
        <v/>
      </c>
      <c r="Q307" s="75" t="str">
        <f t="shared" si="33"/>
        <v/>
      </c>
      <c r="R307" s="84"/>
      <c r="S307" s="84"/>
    </row>
    <row r="308" spans="1:19" x14ac:dyDescent="0.35">
      <c r="A308" s="75" t="str">
        <f t="shared" si="34"/>
        <v/>
      </c>
      <c r="B308" s="81"/>
      <c r="C308" s="75" t="str">
        <f t="shared" si="35"/>
        <v/>
      </c>
      <c r="D308" s="75" t="str">
        <f t="shared" si="36"/>
        <v/>
      </c>
      <c r="E308" s="14"/>
      <c r="F308" s="14"/>
      <c r="G308" s="14"/>
      <c r="H308" s="75" t="str">
        <f t="shared" si="37"/>
        <v/>
      </c>
      <c r="I308" s="77" t="str">
        <f>IF(G308="","",IFERROR(VLOOKUP(G308,'Plan Comptable'!$B$5:$C$278,2,FALSE),"Compte inconnu"))</f>
        <v/>
      </c>
      <c r="J308" s="83"/>
      <c r="K308" s="83"/>
      <c r="L308" s="14"/>
      <c r="M308" s="32" t="str">
        <f t="shared" si="32"/>
        <v/>
      </c>
      <c r="N308" s="77" t="str">
        <f t="shared" si="38"/>
        <v/>
      </c>
      <c r="O308" s="75" t="str">
        <f t="shared" si="39"/>
        <v/>
      </c>
      <c r="P308" s="79" t="str">
        <f>IF(B308="","",SUM($K$6:K308)-SUM($L$6:L308))</f>
        <v/>
      </c>
      <c r="Q308" s="75" t="str">
        <f t="shared" si="33"/>
        <v/>
      </c>
      <c r="R308" s="84"/>
      <c r="S308" s="84"/>
    </row>
    <row r="309" spans="1:19" x14ac:dyDescent="0.35">
      <c r="A309" s="75" t="str">
        <f t="shared" si="34"/>
        <v/>
      </c>
      <c r="B309" s="81"/>
      <c r="C309" s="75" t="str">
        <f t="shared" si="35"/>
        <v/>
      </c>
      <c r="D309" s="75" t="str">
        <f t="shared" si="36"/>
        <v/>
      </c>
      <c r="E309" s="14"/>
      <c r="F309" s="14"/>
      <c r="G309" s="14"/>
      <c r="H309" s="75" t="str">
        <f t="shared" si="37"/>
        <v/>
      </c>
      <c r="I309" s="77" t="str">
        <f>IF(G309="","",IFERROR(VLOOKUP(G309,'Plan Comptable'!$B$5:$C$278,2,FALSE),"Compte inconnu"))</f>
        <v/>
      </c>
      <c r="J309" s="83"/>
      <c r="K309" s="83"/>
      <c r="L309" s="14"/>
      <c r="M309" s="32" t="str">
        <f t="shared" si="32"/>
        <v/>
      </c>
      <c r="N309" s="77" t="str">
        <f t="shared" si="38"/>
        <v/>
      </c>
      <c r="O309" s="75" t="str">
        <f t="shared" si="39"/>
        <v/>
      </c>
      <c r="P309" s="79" t="str">
        <f>IF(B309="","",SUM($K$6:K309)-SUM($L$6:L309))</f>
        <v/>
      </c>
      <c r="Q309" s="75" t="str">
        <f t="shared" si="33"/>
        <v/>
      </c>
      <c r="R309" s="84"/>
      <c r="S309" s="84"/>
    </row>
    <row r="310" spans="1:19" x14ac:dyDescent="0.35">
      <c r="A310" s="75" t="str">
        <f t="shared" si="34"/>
        <v/>
      </c>
      <c r="B310" s="81"/>
      <c r="C310" s="75" t="str">
        <f t="shared" si="35"/>
        <v/>
      </c>
      <c r="D310" s="75" t="str">
        <f t="shared" si="36"/>
        <v/>
      </c>
      <c r="E310" s="14"/>
      <c r="F310" s="14"/>
      <c r="G310" s="14"/>
      <c r="H310" s="75" t="str">
        <f t="shared" si="37"/>
        <v/>
      </c>
      <c r="I310" s="77" t="str">
        <f>IF(G310="","",IFERROR(VLOOKUP(G310,'Plan Comptable'!$B$5:$C$278,2,FALSE),"Compte inconnu"))</f>
        <v/>
      </c>
      <c r="J310" s="83"/>
      <c r="K310" s="83"/>
      <c r="L310" s="14"/>
      <c r="M310" s="32" t="str">
        <f t="shared" si="32"/>
        <v/>
      </c>
      <c r="N310" s="77" t="str">
        <f t="shared" si="38"/>
        <v/>
      </c>
      <c r="O310" s="75" t="str">
        <f t="shared" si="39"/>
        <v/>
      </c>
      <c r="P310" s="79" t="str">
        <f>IF(B310="","",SUM($K$6:K310)-SUM($L$6:L310))</f>
        <v/>
      </c>
      <c r="Q310" s="75" t="str">
        <f t="shared" si="33"/>
        <v/>
      </c>
      <c r="R310" s="84"/>
      <c r="S310" s="84"/>
    </row>
    <row r="311" spans="1:19" x14ac:dyDescent="0.35">
      <c r="A311" s="75" t="str">
        <f t="shared" si="34"/>
        <v/>
      </c>
      <c r="B311" s="81"/>
      <c r="C311" s="75" t="str">
        <f t="shared" si="35"/>
        <v/>
      </c>
      <c r="D311" s="75" t="str">
        <f t="shared" si="36"/>
        <v/>
      </c>
      <c r="E311" s="14"/>
      <c r="F311" s="14"/>
      <c r="G311" s="14"/>
      <c r="H311" s="75" t="str">
        <f t="shared" si="37"/>
        <v/>
      </c>
      <c r="I311" s="77" t="str">
        <f>IF(G311="","",IFERROR(VLOOKUP(G311,'Plan Comptable'!$B$5:$C$278,2,FALSE),"Compte inconnu"))</f>
        <v/>
      </c>
      <c r="J311" s="83"/>
      <c r="K311" s="83"/>
      <c r="L311" s="14"/>
      <c r="M311" s="32" t="str">
        <f t="shared" si="32"/>
        <v/>
      </c>
      <c r="N311" s="77" t="str">
        <f t="shared" si="38"/>
        <v/>
      </c>
      <c r="O311" s="75" t="str">
        <f t="shared" si="39"/>
        <v/>
      </c>
      <c r="P311" s="79" t="str">
        <f>IF(B311="","",SUM($K$6:K311)-SUM($L$6:L311))</f>
        <v/>
      </c>
      <c r="Q311" s="75" t="str">
        <f t="shared" si="33"/>
        <v/>
      </c>
      <c r="R311" s="84"/>
      <c r="S311" s="84"/>
    </row>
    <row r="312" spans="1:19" x14ac:dyDescent="0.35">
      <c r="A312" s="75" t="str">
        <f t="shared" si="34"/>
        <v/>
      </c>
      <c r="B312" s="81"/>
      <c r="C312" s="75" t="str">
        <f t="shared" si="35"/>
        <v/>
      </c>
      <c r="D312" s="75" t="str">
        <f t="shared" si="36"/>
        <v/>
      </c>
      <c r="E312" s="14"/>
      <c r="F312" s="14"/>
      <c r="G312" s="14"/>
      <c r="H312" s="75" t="str">
        <f t="shared" si="37"/>
        <v/>
      </c>
      <c r="I312" s="77" t="str">
        <f>IF(G312="","",IFERROR(VLOOKUP(G312,'Plan Comptable'!$B$5:$C$278,2,FALSE),"Compte inconnu"))</f>
        <v/>
      </c>
      <c r="J312" s="83"/>
      <c r="K312" s="83"/>
      <c r="L312" s="14"/>
      <c r="M312" s="32" t="str">
        <f t="shared" si="32"/>
        <v/>
      </c>
      <c r="N312" s="77" t="str">
        <f t="shared" si="38"/>
        <v/>
      </c>
      <c r="O312" s="75" t="str">
        <f t="shared" si="39"/>
        <v/>
      </c>
      <c r="P312" s="79" t="str">
        <f>IF(B312="","",SUM($K$6:K312)-SUM($L$6:L312))</f>
        <v/>
      </c>
      <c r="Q312" s="75" t="str">
        <f t="shared" si="33"/>
        <v/>
      </c>
      <c r="R312" s="84"/>
      <c r="S312" s="84"/>
    </row>
    <row r="313" spans="1:19" x14ac:dyDescent="0.35">
      <c r="A313" s="75" t="str">
        <f t="shared" si="34"/>
        <v/>
      </c>
      <c r="B313" s="81"/>
      <c r="C313" s="75" t="str">
        <f t="shared" si="35"/>
        <v/>
      </c>
      <c r="D313" s="75" t="str">
        <f t="shared" si="36"/>
        <v/>
      </c>
      <c r="E313" s="14"/>
      <c r="F313" s="14"/>
      <c r="G313" s="14"/>
      <c r="H313" s="75" t="str">
        <f t="shared" si="37"/>
        <v/>
      </c>
      <c r="I313" s="77" t="str">
        <f>IF(G313="","",IFERROR(VLOOKUP(G313,'Plan Comptable'!$B$5:$C$278,2,FALSE),"Compte inconnu"))</f>
        <v/>
      </c>
      <c r="J313" s="83"/>
      <c r="K313" s="83"/>
      <c r="L313" s="14"/>
      <c r="M313" s="32" t="str">
        <f t="shared" si="32"/>
        <v/>
      </c>
      <c r="N313" s="77" t="str">
        <f t="shared" si="38"/>
        <v/>
      </c>
      <c r="O313" s="75" t="str">
        <f t="shared" si="39"/>
        <v/>
      </c>
      <c r="P313" s="79" t="str">
        <f>IF(B313="","",SUM($K$6:K313)-SUM($L$6:L313))</f>
        <v/>
      </c>
      <c r="Q313" s="75" t="str">
        <f t="shared" si="33"/>
        <v/>
      </c>
      <c r="R313" s="84"/>
      <c r="S313" s="84"/>
    </row>
    <row r="314" spans="1:19" x14ac:dyDescent="0.35">
      <c r="A314" s="75" t="str">
        <f t="shared" si="34"/>
        <v/>
      </c>
      <c r="B314" s="81"/>
      <c r="C314" s="75" t="str">
        <f t="shared" si="35"/>
        <v/>
      </c>
      <c r="D314" s="75" t="str">
        <f t="shared" si="36"/>
        <v/>
      </c>
      <c r="E314" s="14"/>
      <c r="F314" s="14"/>
      <c r="G314" s="14"/>
      <c r="H314" s="75" t="str">
        <f t="shared" si="37"/>
        <v/>
      </c>
      <c r="I314" s="77" t="str">
        <f>IF(G314="","",IFERROR(VLOOKUP(G314,'Plan Comptable'!$B$5:$C$278,2,FALSE),"Compte inconnu"))</f>
        <v/>
      </c>
      <c r="J314" s="83"/>
      <c r="K314" s="83"/>
      <c r="L314" s="14"/>
      <c r="M314" s="32" t="str">
        <f t="shared" si="32"/>
        <v/>
      </c>
      <c r="N314" s="77" t="str">
        <f t="shared" si="38"/>
        <v/>
      </c>
      <c r="O314" s="75" t="str">
        <f t="shared" si="39"/>
        <v/>
      </c>
      <c r="P314" s="79" t="str">
        <f>IF(B314="","",SUM($K$6:K314)-SUM($L$6:L314))</f>
        <v/>
      </c>
      <c r="Q314" s="75" t="str">
        <f t="shared" si="33"/>
        <v/>
      </c>
      <c r="R314" s="84"/>
      <c r="S314" s="84"/>
    </row>
    <row r="315" spans="1:19" x14ac:dyDescent="0.35">
      <c r="A315" s="75" t="str">
        <f t="shared" si="34"/>
        <v/>
      </c>
      <c r="B315" s="81"/>
      <c r="C315" s="75" t="str">
        <f t="shared" si="35"/>
        <v/>
      </c>
      <c r="D315" s="75" t="str">
        <f t="shared" si="36"/>
        <v/>
      </c>
      <c r="E315" s="14"/>
      <c r="F315" s="14"/>
      <c r="G315" s="14"/>
      <c r="H315" s="75" t="str">
        <f t="shared" si="37"/>
        <v/>
      </c>
      <c r="I315" s="77" t="str">
        <f>IF(G315="","",IFERROR(VLOOKUP(G315,'Plan Comptable'!$B$5:$C$278,2,FALSE),"Compte inconnu"))</f>
        <v/>
      </c>
      <c r="J315" s="83"/>
      <c r="K315" s="83"/>
      <c r="L315" s="14"/>
      <c r="M315" s="32" t="str">
        <f t="shared" si="32"/>
        <v/>
      </c>
      <c r="N315" s="77" t="str">
        <f t="shared" si="38"/>
        <v/>
      </c>
      <c r="O315" s="75" t="str">
        <f t="shared" si="39"/>
        <v/>
      </c>
      <c r="P315" s="79" t="str">
        <f>IF(B315="","",SUM($K$6:K315)-SUM($L$6:L315))</f>
        <v/>
      </c>
      <c r="Q315" s="75" t="str">
        <f t="shared" si="33"/>
        <v/>
      </c>
      <c r="R315" s="84"/>
      <c r="S315" s="84"/>
    </row>
    <row r="316" spans="1:19" x14ac:dyDescent="0.35">
      <c r="A316" s="75" t="str">
        <f t="shared" si="34"/>
        <v/>
      </c>
      <c r="B316" s="81"/>
      <c r="C316" s="75" t="str">
        <f t="shared" si="35"/>
        <v/>
      </c>
      <c r="D316" s="75" t="str">
        <f t="shared" si="36"/>
        <v/>
      </c>
      <c r="E316" s="14"/>
      <c r="F316" s="14"/>
      <c r="G316" s="14"/>
      <c r="H316" s="75" t="str">
        <f t="shared" si="37"/>
        <v/>
      </c>
      <c r="I316" s="77" t="str">
        <f>IF(G316="","",IFERROR(VLOOKUP(G316,'Plan Comptable'!$B$5:$C$278,2,FALSE),"Compte inconnu"))</f>
        <v/>
      </c>
      <c r="J316" s="83"/>
      <c r="K316" s="83"/>
      <c r="L316" s="14"/>
      <c r="M316" s="32" t="str">
        <f t="shared" si="32"/>
        <v/>
      </c>
      <c r="N316" s="77" t="str">
        <f t="shared" si="38"/>
        <v/>
      </c>
      <c r="O316" s="75" t="str">
        <f t="shared" si="39"/>
        <v/>
      </c>
      <c r="P316" s="79" t="str">
        <f>IF(B316="","",SUM($K$6:K316)-SUM($L$6:L316))</f>
        <v/>
      </c>
      <c r="Q316" s="75" t="str">
        <f t="shared" si="33"/>
        <v/>
      </c>
      <c r="R316" s="84"/>
      <c r="S316" s="84"/>
    </row>
    <row r="317" spans="1:19" x14ac:dyDescent="0.35">
      <c r="A317" s="75" t="str">
        <f t="shared" si="34"/>
        <v/>
      </c>
      <c r="B317" s="81"/>
      <c r="C317" s="75" t="str">
        <f t="shared" si="35"/>
        <v/>
      </c>
      <c r="D317" s="75" t="str">
        <f t="shared" si="36"/>
        <v/>
      </c>
      <c r="E317" s="14"/>
      <c r="F317" s="14"/>
      <c r="G317" s="14"/>
      <c r="H317" s="75" t="str">
        <f t="shared" si="37"/>
        <v/>
      </c>
      <c r="I317" s="77" t="str">
        <f>IF(G317="","",IFERROR(VLOOKUP(G317,'Plan Comptable'!$B$5:$C$278,2,FALSE),"Compte inconnu"))</f>
        <v/>
      </c>
      <c r="J317" s="83"/>
      <c r="K317" s="83"/>
      <c r="L317" s="14"/>
      <c r="M317" s="32" t="str">
        <f t="shared" si="32"/>
        <v/>
      </c>
      <c r="N317" s="77" t="str">
        <f t="shared" si="38"/>
        <v/>
      </c>
      <c r="O317" s="75" t="str">
        <f t="shared" si="39"/>
        <v/>
      </c>
      <c r="P317" s="79" t="str">
        <f>IF(B317="","",SUM($K$6:K317)-SUM($L$6:L317))</f>
        <v/>
      </c>
      <c r="Q317" s="75" t="str">
        <f t="shared" si="33"/>
        <v/>
      </c>
      <c r="R317" s="84"/>
      <c r="S317" s="84"/>
    </row>
    <row r="318" spans="1:19" x14ac:dyDescent="0.35">
      <c r="A318" s="75" t="str">
        <f t="shared" si="34"/>
        <v/>
      </c>
      <c r="B318" s="81"/>
      <c r="C318" s="75" t="str">
        <f t="shared" si="35"/>
        <v/>
      </c>
      <c r="D318" s="75" t="str">
        <f t="shared" si="36"/>
        <v/>
      </c>
      <c r="E318" s="14"/>
      <c r="F318" s="14"/>
      <c r="G318" s="14"/>
      <c r="H318" s="75" t="str">
        <f t="shared" si="37"/>
        <v/>
      </c>
      <c r="I318" s="77" t="str">
        <f>IF(G318="","",IFERROR(VLOOKUP(G318,'Plan Comptable'!$B$5:$C$278,2,FALSE),"Compte inconnu"))</f>
        <v/>
      </c>
      <c r="J318" s="83"/>
      <c r="K318" s="83"/>
      <c r="L318" s="14"/>
      <c r="M318" s="32" t="str">
        <f t="shared" si="32"/>
        <v/>
      </c>
      <c r="N318" s="77" t="str">
        <f t="shared" si="38"/>
        <v/>
      </c>
      <c r="O318" s="75" t="str">
        <f t="shared" si="39"/>
        <v/>
      </c>
      <c r="P318" s="79" t="str">
        <f>IF(B318="","",SUM($K$6:K318)-SUM($L$6:L318))</f>
        <v/>
      </c>
      <c r="Q318" s="75" t="str">
        <f t="shared" si="33"/>
        <v/>
      </c>
      <c r="R318" s="84"/>
      <c r="S318" s="84"/>
    </row>
    <row r="319" spans="1:19" x14ac:dyDescent="0.35">
      <c r="A319" s="75" t="str">
        <f t="shared" si="34"/>
        <v/>
      </c>
      <c r="B319" s="81"/>
      <c r="C319" s="75" t="str">
        <f t="shared" si="35"/>
        <v/>
      </c>
      <c r="D319" s="75" t="str">
        <f t="shared" si="36"/>
        <v/>
      </c>
      <c r="E319" s="14"/>
      <c r="F319" s="14"/>
      <c r="G319" s="14"/>
      <c r="H319" s="75" t="str">
        <f t="shared" si="37"/>
        <v/>
      </c>
      <c r="I319" s="77" t="str">
        <f>IF(G319="","",IFERROR(VLOOKUP(G319,'Plan Comptable'!$B$5:$C$278,2,FALSE),"Compte inconnu"))</f>
        <v/>
      </c>
      <c r="J319" s="83"/>
      <c r="K319" s="83"/>
      <c r="L319" s="14"/>
      <c r="M319" s="32" t="str">
        <f t="shared" si="32"/>
        <v/>
      </c>
      <c r="N319" s="77" t="str">
        <f t="shared" si="38"/>
        <v/>
      </c>
      <c r="O319" s="75" t="str">
        <f t="shared" si="39"/>
        <v/>
      </c>
      <c r="P319" s="79" t="str">
        <f>IF(B319="","",SUM($K$6:K319)-SUM($L$6:L319))</f>
        <v/>
      </c>
      <c r="Q319" s="75" t="str">
        <f t="shared" si="33"/>
        <v/>
      </c>
      <c r="R319" s="84"/>
      <c r="S319" s="84"/>
    </row>
    <row r="320" spans="1:19" x14ac:dyDescent="0.35">
      <c r="A320" s="75" t="str">
        <f t="shared" si="34"/>
        <v/>
      </c>
      <c r="B320" s="81"/>
      <c r="C320" s="75" t="str">
        <f t="shared" si="35"/>
        <v/>
      </c>
      <c r="D320" s="75" t="str">
        <f t="shared" si="36"/>
        <v/>
      </c>
      <c r="E320" s="14"/>
      <c r="F320" s="14"/>
      <c r="G320" s="14"/>
      <c r="H320" s="75" t="str">
        <f t="shared" si="37"/>
        <v/>
      </c>
      <c r="I320" s="77" t="str">
        <f>IF(G320="","",IFERROR(VLOOKUP(G320,'Plan Comptable'!$B$5:$C$278,2,FALSE),"Compte inconnu"))</f>
        <v/>
      </c>
      <c r="J320" s="83"/>
      <c r="K320" s="83"/>
      <c r="L320" s="14"/>
      <c r="M320" s="32" t="str">
        <f t="shared" si="32"/>
        <v/>
      </c>
      <c r="N320" s="77" t="str">
        <f t="shared" si="38"/>
        <v/>
      </c>
      <c r="O320" s="75" t="str">
        <f t="shared" si="39"/>
        <v/>
      </c>
      <c r="P320" s="79" t="str">
        <f>IF(B320="","",SUM($K$6:K320)-SUM($L$6:L320))</f>
        <v/>
      </c>
      <c r="Q320" s="75" t="str">
        <f t="shared" si="33"/>
        <v/>
      </c>
      <c r="R320" s="84"/>
      <c r="S320" s="84"/>
    </row>
    <row r="321" spans="1:19" x14ac:dyDescent="0.35">
      <c r="A321" s="75" t="str">
        <f t="shared" si="34"/>
        <v/>
      </c>
      <c r="B321" s="81"/>
      <c r="C321" s="75" t="str">
        <f t="shared" si="35"/>
        <v/>
      </c>
      <c r="D321" s="75" t="str">
        <f t="shared" si="36"/>
        <v/>
      </c>
      <c r="E321" s="14"/>
      <c r="F321" s="14"/>
      <c r="G321" s="14"/>
      <c r="H321" s="75" t="str">
        <f t="shared" si="37"/>
        <v/>
      </c>
      <c r="I321" s="77" t="str">
        <f>IF(G321="","",IFERROR(VLOOKUP(G321,'Plan Comptable'!$B$5:$C$278,2,FALSE),"Compte inconnu"))</f>
        <v/>
      </c>
      <c r="J321" s="83"/>
      <c r="K321" s="83"/>
      <c r="L321" s="14"/>
      <c r="M321" s="32" t="str">
        <f t="shared" si="32"/>
        <v/>
      </c>
      <c r="N321" s="77" t="str">
        <f t="shared" si="38"/>
        <v/>
      </c>
      <c r="O321" s="75" t="str">
        <f t="shared" si="39"/>
        <v/>
      </c>
      <c r="P321" s="79" t="str">
        <f>IF(B321="","",SUM($K$6:K321)-SUM($L$6:L321))</f>
        <v/>
      </c>
      <c r="Q321" s="75" t="str">
        <f t="shared" si="33"/>
        <v/>
      </c>
      <c r="R321" s="84"/>
      <c r="S321" s="84"/>
    </row>
    <row r="322" spans="1:19" x14ac:dyDescent="0.35">
      <c r="A322" s="75" t="str">
        <f t="shared" si="34"/>
        <v/>
      </c>
      <c r="B322" s="81"/>
      <c r="C322" s="75" t="str">
        <f t="shared" si="35"/>
        <v/>
      </c>
      <c r="D322" s="75" t="str">
        <f t="shared" si="36"/>
        <v/>
      </c>
      <c r="E322" s="14"/>
      <c r="F322" s="14"/>
      <c r="G322" s="14"/>
      <c r="H322" s="75" t="str">
        <f t="shared" si="37"/>
        <v/>
      </c>
      <c r="I322" s="77" t="str">
        <f>IF(G322="","",IFERROR(VLOOKUP(G322,'Plan Comptable'!$B$5:$C$278,2,FALSE),"Compte inconnu"))</f>
        <v/>
      </c>
      <c r="J322" s="83"/>
      <c r="K322" s="83"/>
      <c r="L322" s="14"/>
      <c r="M322" s="32" t="str">
        <f t="shared" si="32"/>
        <v/>
      </c>
      <c r="N322" s="77" t="str">
        <f t="shared" si="38"/>
        <v/>
      </c>
      <c r="O322" s="75" t="str">
        <f t="shared" si="39"/>
        <v/>
      </c>
      <c r="P322" s="79" t="str">
        <f>IF(B322="","",SUM($K$6:K322)-SUM($L$6:L322))</f>
        <v/>
      </c>
      <c r="Q322" s="75" t="str">
        <f t="shared" si="33"/>
        <v/>
      </c>
      <c r="R322" s="84"/>
      <c r="S322" s="84"/>
    </row>
    <row r="323" spans="1:19" x14ac:dyDescent="0.35">
      <c r="A323" s="75" t="str">
        <f t="shared" si="34"/>
        <v/>
      </c>
      <c r="B323" s="81"/>
      <c r="C323" s="75" t="str">
        <f t="shared" si="35"/>
        <v/>
      </c>
      <c r="D323" s="75" t="str">
        <f t="shared" si="36"/>
        <v/>
      </c>
      <c r="E323" s="14"/>
      <c r="F323" s="14"/>
      <c r="G323" s="14"/>
      <c r="H323" s="75" t="str">
        <f t="shared" si="37"/>
        <v/>
      </c>
      <c r="I323" s="77" t="str">
        <f>IF(G323="","",IFERROR(VLOOKUP(G323,'Plan Comptable'!$B$5:$C$278,2,FALSE),"Compte inconnu"))</f>
        <v/>
      </c>
      <c r="J323" s="83"/>
      <c r="K323" s="83"/>
      <c r="L323" s="14"/>
      <c r="M323" s="32" t="str">
        <f t="shared" si="32"/>
        <v/>
      </c>
      <c r="N323" s="77" t="str">
        <f t="shared" si="38"/>
        <v/>
      </c>
      <c r="O323" s="75" t="str">
        <f t="shared" si="39"/>
        <v/>
      </c>
      <c r="P323" s="79" t="str">
        <f>IF(B323="","",SUM($K$6:K323)-SUM($L$6:L323))</f>
        <v/>
      </c>
      <c r="Q323" s="75" t="str">
        <f t="shared" si="33"/>
        <v/>
      </c>
      <c r="R323" s="84"/>
      <c r="S323" s="84"/>
    </row>
    <row r="324" spans="1:19" x14ac:dyDescent="0.35">
      <c r="A324" s="75" t="str">
        <f t="shared" si="34"/>
        <v/>
      </c>
      <c r="B324" s="81"/>
      <c r="C324" s="75" t="str">
        <f t="shared" si="35"/>
        <v/>
      </c>
      <c r="D324" s="75" t="str">
        <f t="shared" si="36"/>
        <v/>
      </c>
      <c r="E324" s="14"/>
      <c r="F324" s="14"/>
      <c r="G324" s="14"/>
      <c r="H324" s="75" t="str">
        <f t="shared" si="37"/>
        <v/>
      </c>
      <c r="I324" s="77" t="str">
        <f>IF(G324="","",IFERROR(VLOOKUP(G324,'Plan Comptable'!$B$5:$C$278,2,FALSE),"Compte inconnu"))</f>
        <v/>
      </c>
      <c r="J324" s="83"/>
      <c r="K324" s="83"/>
      <c r="L324" s="14"/>
      <c r="M324" s="32" t="str">
        <f t="shared" si="32"/>
        <v/>
      </c>
      <c r="N324" s="77" t="str">
        <f t="shared" si="38"/>
        <v/>
      </c>
      <c r="O324" s="75" t="str">
        <f t="shared" si="39"/>
        <v/>
      </c>
      <c r="P324" s="79" t="str">
        <f>IF(B324="","",SUM($K$6:K324)-SUM($L$6:L324))</f>
        <v/>
      </c>
      <c r="Q324" s="75" t="str">
        <f t="shared" si="33"/>
        <v/>
      </c>
      <c r="R324" s="84"/>
      <c r="S324" s="84"/>
    </row>
    <row r="325" spans="1:19" x14ac:dyDescent="0.35">
      <c r="A325" s="75" t="str">
        <f t="shared" si="34"/>
        <v/>
      </c>
      <c r="B325" s="81"/>
      <c r="C325" s="75" t="str">
        <f t="shared" si="35"/>
        <v/>
      </c>
      <c r="D325" s="75" t="str">
        <f t="shared" si="36"/>
        <v/>
      </c>
      <c r="E325" s="14"/>
      <c r="F325" s="14"/>
      <c r="G325" s="14"/>
      <c r="H325" s="75" t="str">
        <f t="shared" si="37"/>
        <v/>
      </c>
      <c r="I325" s="77" t="str">
        <f>IF(G325="","",IFERROR(VLOOKUP(G325,'Plan Comptable'!$B$5:$C$278,2,FALSE),"Compte inconnu"))</f>
        <v/>
      </c>
      <c r="J325" s="83"/>
      <c r="K325" s="83"/>
      <c r="L325" s="14"/>
      <c r="M325" s="32" t="str">
        <f t="shared" si="32"/>
        <v/>
      </c>
      <c r="N325" s="77" t="str">
        <f t="shared" si="38"/>
        <v/>
      </c>
      <c r="O325" s="75" t="str">
        <f t="shared" si="39"/>
        <v/>
      </c>
      <c r="P325" s="79" t="str">
        <f>IF(B325="","",SUM($K$6:K325)-SUM($L$6:L325))</f>
        <v/>
      </c>
      <c r="Q325" s="75" t="str">
        <f t="shared" si="33"/>
        <v/>
      </c>
      <c r="R325" s="84"/>
      <c r="S325" s="84"/>
    </row>
    <row r="326" spans="1:19" x14ac:dyDescent="0.35">
      <c r="A326" s="75" t="str">
        <f t="shared" si="34"/>
        <v/>
      </c>
      <c r="B326" s="81"/>
      <c r="C326" s="75" t="str">
        <f t="shared" si="35"/>
        <v/>
      </c>
      <c r="D326" s="75" t="str">
        <f t="shared" si="36"/>
        <v/>
      </c>
      <c r="E326" s="14"/>
      <c r="F326" s="14"/>
      <c r="G326" s="14"/>
      <c r="H326" s="75" t="str">
        <f t="shared" si="37"/>
        <v/>
      </c>
      <c r="I326" s="77" t="str">
        <f>IF(G326="","",IFERROR(VLOOKUP(G326,'Plan Comptable'!$B$5:$C$278,2,FALSE),"Compte inconnu"))</f>
        <v/>
      </c>
      <c r="J326" s="83"/>
      <c r="K326" s="83"/>
      <c r="L326" s="14"/>
      <c r="M326" s="32" t="str">
        <f t="shared" ref="M326:M389" si="40">IF(B326="","",IF(AND(OR(K326="",L326=""),K326&lt;&gt;L326),"",IF(AND(K326&lt;&gt;"",L326&lt;&gt;"",ABS(K326-L326)&gt;=0.01),"⚠ D/C",IF(AND(E326&lt;&gt;"",F326&lt;&gt;"",COUNTIFS($F$6:$F$508,F326,$E$6:$E$508,E326)&gt;1),"⚠ DBL",IF(AND(E326&lt;&gt;"",ABS(SUMIF($E$6:$E$507,E326,$K$6:$K$507)-SUMIF($E$6:$E$507,E326,$L$6:$L$507))&gt;=0.01),"⚠ PÈC",IF(AND(DebutExercice&lt;&gt;"",FinExercice&lt;&gt;"",OR(B326&lt;DebutExercice,B326&gt;FinExercice)),"⚠ DATE","✓"))))))</f>
        <v/>
      </c>
      <c r="N326" s="77" t="str">
        <f t="shared" si="38"/>
        <v/>
      </c>
      <c r="O326" s="75" t="str">
        <f t="shared" si="39"/>
        <v/>
      </c>
      <c r="P326" s="79" t="str">
        <f>IF(B326="","",SUM($K$6:K326)-SUM($L$6:L326))</f>
        <v/>
      </c>
      <c r="Q326" s="75" t="str">
        <f t="shared" ref="Q326:Q389" si="41">IF(B326="","",IF(OR(DebutExercice="",FinExercice=""),"?",IF(AND(B326&gt;=DebutExercice,B326&lt;=FinExercice),"✓","⚠ Hors")))</f>
        <v/>
      </c>
      <c r="R326" s="84"/>
      <c r="S326" s="84"/>
    </row>
    <row r="327" spans="1:19" x14ac:dyDescent="0.35">
      <c r="A327" s="75" t="str">
        <f t="shared" ref="A327:A390" si="42">IF(B327="","",ROW()-4)</f>
        <v/>
      </c>
      <c r="B327" s="81"/>
      <c r="C327" s="75" t="str">
        <f t="shared" ref="C327:C390" si="43">IF(B327="","",MONTH(B327))</f>
        <v/>
      </c>
      <c r="D327" s="75" t="str">
        <f t="shared" ref="D327:D390" si="44">IF(B327="","",YEAR(B327))</f>
        <v/>
      </c>
      <c r="E327" s="14"/>
      <c r="F327" s="14"/>
      <c r="G327" s="14"/>
      <c r="H327" s="75" t="str">
        <f t="shared" ref="H327:H390" si="45">IF(G327="","",LEFT(G327,1))</f>
        <v/>
      </c>
      <c r="I327" s="77" t="str">
        <f>IF(G327="","",IFERROR(VLOOKUP(G327,'Plan Comptable'!$B$5:$C$278,2,FALSE),"Compte inconnu"))</f>
        <v/>
      </c>
      <c r="J327" s="83"/>
      <c r="K327" s="83"/>
      <c r="L327" s="14"/>
      <c r="M327" s="32" t="str">
        <f t="shared" si="40"/>
        <v/>
      </c>
      <c r="N327" s="77" t="str">
        <f t="shared" ref="N327:N390" si="46">IF(OR(E327="",F327=""),"",IF(COUNTIFS($F$6:$F$508,F327,$E$6:$E$508,E327)&gt;1,"DOUBLON",""))</f>
        <v/>
      </c>
      <c r="O327" s="75" t="str">
        <f t="shared" ref="O327:O390" si="47">IF(E327="","",IF(ABS(SUMIF($E$6:$E$507,E327,$K$6:$K$507)-SUMIF($E$6:$E$507,E327,$L$6:$L$507))&lt;0.01,"✓","⚠"))</f>
        <v/>
      </c>
      <c r="P327" s="79" t="str">
        <f>IF(B327="","",SUM($K$6:K327)-SUM($L$6:L327))</f>
        <v/>
      </c>
      <c r="Q327" s="75" t="str">
        <f t="shared" si="41"/>
        <v/>
      </c>
      <c r="R327" s="84"/>
      <c r="S327" s="84"/>
    </row>
    <row r="328" spans="1:19" x14ac:dyDescent="0.35">
      <c r="A328" s="75" t="str">
        <f t="shared" si="42"/>
        <v/>
      </c>
      <c r="B328" s="81"/>
      <c r="C328" s="75" t="str">
        <f t="shared" si="43"/>
        <v/>
      </c>
      <c r="D328" s="75" t="str">
        <f t="shared" si="44"/>
        <v/>
      </c>
      <c r="E328" s="14"/>
      <c r="F328" s="14"/>
      <c r="G328" s="14"/>
      <c r="H328" s="75" t="str">
        <f t="shared" si="45"/>
        <v/>
      </c>
      <c r="I328" s="77" t="str">
        <f>IF(G328="","",IFERROR(VLOOKUP(G328,'Plan Comptable'!$B$5:$C$278,2,FALSE),"Compte inconnu"))</f>
        <v/>
      </c>
      <c r="J328" s="83"/>
      <c r="K328" s="83"/>
      <c r="L328" s="14"/>
      <c r="M328" s="32" t="str">
        <f t="shared" si="40"/>
        <v/>
      </c>
      <c r="N328" s="77" t="str">
        <f t="shared" si="46"/>
        <v/>
      </c>
      <c r="O328" s="75" t="str">
        <f t="shared" si="47"/>
        <v/>
      </c>
      <c r="P328" s="79" t="str">
        <f>IF(B328="","",SUM($K$6:K328)-SUM($L$6:L328))</f>
        <v/>
      </c>
      <c r="Q328" s="75" t="str">
        <f t="shared" si="41"/>
        <v/>
      </c>
      <c r="R328" s="84"/>
      <c r="S328" s="84"/>
    </row>
    <row r="329" spans="1:19" x14ac:dyDescent="0.35">
      <c r="A329" s="75" t="str">
        <f t="shared" si="42"/>
        <v/>
      </c>
      <c r="B329" s="81"/>
      <c r="C329" s="75" t="str">
        <f t="shared" si="43"/>
        <v/>
      </c>
      <c r="D329" s="75" t="str">
        <f t="shared" si="44"/>
        <v/>
      </c>
      <c r="E329" s="14"/>
      <c r="F329" s="14"/>
      <c r="G329" s="14"/>
      <c r="H329" s="75" t="str">
        <f t="shared" si="45"/>
        <v/>
      </c>
      <c r="I329" s="77" t="str">
        <f>IF(G329="","",IFERROR(VLOOKUP(G329,'Plan Comptable'!$B$5:$C$278,2,FALSE),"Compte inconnu"))</f>
        <v/>
      </c>
      <c r="J329" s="83"/>
      <c r="K329" s="83"/>
      <c r="L329" s="14"/>
      <c r="M329" s="32" t="str">
        <f t="shared" si="40"/>
        <v/>
      </c>
      <c r="N329" s="77" t="str">
        <f t="shared" si="46"/>
        <v/>
      </c>
      <c r="O329" s="75" t="str">
        <f t="shared" si="47"/>
        <v/>
      </c>
      <c r="P329" s="79" t="str">
        <f>IF(B329="","",SUM($K$6:K329)-SUM($L$6:L329))</f>
        <v/>
      </c>
      <c r="Q329" s="75" t="str">
        <f t="shared" si="41"/>
        <v/>
      </c>
      <c r="R329" s="84"/>
      <c r="S329" s="84"/>
    </row>
    <row r="330" spans="1:19" x14ac:dyDescent="0.35">
      <c r="A330" s="75" t="str">
        <f t="shared" si="42"/>
        <v/>
      </c>
      <c r="B330" s="81"/>
      <c r="C330" s="75" t="str">
        <f t="shared" si="43"/>
        <v/>
      </c>
      <c r="D330" s="75" t="str">
        <f t="shared" si="44"/>
        <v/>
      </c>
      <c r="E330" s="14"/>
      <c r="F330" s="14"/>
      <c r="G330" s="14"/>
      <c r="H330" s="75" t="str">
        <f t="shared" si="45"/>
        <v/>
      </c>
      <c r="I330" s="77" t="str">
        <f>IF(G330="","",IFERROR(VLOOKUP(G330,'Plan Comptable'!$B$5:$C$278,2,FALSE),"Compte inconnu"))</f>
        <v/>
      </c>
      <c r="J330" s="83"/>
      <c r="K330" s="83"/>
      <c r="L330" s="14"/>
      <c r="M330" s="32" t="str">
        <f t="shared" si="40"/>
        <v/>
      </c>
      <c r="N330" s="77" t="str">
        <f t="shared" si="46"/>
        <v/>
      </c>
      <c r="O330" s="75" t="str">
        <f t="shared" si="47"/>
        <v/>
      </c>
      <c r="P330" s="79" t="str">
        <f>IF(B330="","",SUM($K$6:K330)-SUM($L$6:L330))</f>
        <v/>
      </c>
      <c r="Q330" s="75" t="str">
        <f t="shared" si="41"/>
        <v/>
      </c>
      <c r="R330" s="84"/>
      <c r="S330" s="84"/>
    </row>
    <row r="331" spans="1:19" x14ac:dyDescent="0.35">
      <c r="A331" s="75" t="str">
        <f t="shared" si="42"/>
        <v/>
      </c>
      <c r="B331" s="81"/>
      <c r="C331" s="75" t="str">
        <f t="shared" si="43"/>
        <v/>
      </c>
      <c r="D331" s="75" t="str">
        <f t="shared" si="44"/>
        <v/>
      </c>
      <c r="E331" s="14"/>
      <c r="F331" s="14"/>
      <c r="G331" s="14"/>
      <c r="H331" s="75" t="str">
        <f t="shared" si="45"/>
        <v/>
      </c>
      <c r="I331" s="77" t="str">
        <f>IF(G331="","",IFERROR(VLOOKUP(G331,'Plan Comptable'!$B$5:$C$278,2,FALSE),"Compte inconnu"))</f>
        <v/>
      </c>
      <c r="J331" s="83"/>
      <c r="K331" s="83"/>
      <c r="L331" s="14"/>
      <c r="M331" s="32" t="str">
        <f t="shared" si="40"/>
        <v/>
      </c>
      <c r="N331" s="77" t="str">
        <f t="shared" si="46"/>
        <v/>
      </c>
      <c r="O331" s="75" t="str">
        <f t="shared" si="47"/>
        <v/>
      </c>
      <c r="P331" s="79" t="str">
        <f>IF(B331="","",SUM($K$6:K331)-SUM($L$6:L331))</f>
        <v/>
      </c>
      <c r="Q331" s="75" t="str">
        <f t="shared" si="41"/>
        <v/>
      </c>
      <c r="R331" s="84"/>
      <c r="S331" s="84"/>
    </row>
    <row r="332" spans="1:19" x14ac:dyDescent="0.35">
      <c r="A332" s="75" t="str">
        <f t="shared" si="42"/>
        <v/>
      </c>
      <c r="B332" s="81"/>
      <c r="C332" s="75" t="str">
        <f t="shared" si="43"/>
        <v/>
      </c>
      <c r="D332" s="75" t="str">
        <f t="shared" si="44"/>
        <v/>
      </c>
      <c r="E332" s="14"/>
      <c r="F332" s="14"/>
      <c r="G332" s="14"/>
      <c r="H332" s="75" t="str">
        <f t="shared" si="45"/>
        <v/>
      </c>
      <c r="I332" s="77" t="str">
        <f>IF(G332="","",IFERROR(VLOOKUP(G332,'Plan Comptable'!$B$5:$C$278,2,FALSE),"Compte inconnu"))</f>
        <v/>
      </c>
      <c r="J332" s="83"/>
      <c r="K332" s="83"/>
      <c r="L332" s="14"/>
      <c r="M332" s="32" t="str">
        <f t="shared" si="40"/>
        <v/>
      </c>
      <c r="N332" s="77" t="str">
        <f t="shared" si="46"/>
        <v/>
      </c>
      <c r="O332" s="75" t="str">
        <f t="shared" si="47"/>
        <v/>
      </c>
      <c r="P332" s="79" t="str">
        <f>IF(B332="","",SUM($K$6:K332)-SUM($L$6:L332))</f>
        <v/>
      </c>
      <c r="Q332" s="75" t="str">
        <f t="shared" si="41"/>
        <v/>
      </c>
      <c r="R332" s="84"/>
      <c r="S332" s="84"/>
    </row>
    <row r="333" spans="1:19" x14ac:dyDescent="0.35">
      <c r="A333" s="75" t="str">
        <f t="shared" si="42"/>
        <v/>
      </c>
      <c r="B333" s="81"/>
      <c r="C333" s="75" t="str">
        <f t="shared" si="43"/>
        <v/>
      </c>
      <c r="D333" s="75" t="str">
        <f t="shared" si="44"/>
        <v/>
      </c>
      <c r="E333" s="14"/>
      <c r="F333" s="14"/>
      <c r="G333" s="14"/>
      <c r="H333" s="75" t="str">
        <f t="shared" si="45"/>
        <v/>
      </c>
      <c r="I333" s="77" t="str">
        <f>IF(G333="","",IFERROR(VLOOKUP(G333,'Plan Comptable'!$B$5:$C$278,2,FALSE),"Compte inconnu"))</f>
        <v/>
      </c>
      <c r="J333" s="83"/>
      <c r="K333" s="83"/>
      <c r="L333" s="14"/>
      <c r="M333" s="32" t="str">
        <f t="shared" si="40"/>
        <v/>
      </c>
      <c r="N333" s="77" t="str">
        <f t="shared" si="46"/>
        <v/>
      </c>
      <c r="O333" s="75" t="str">
        <f t="shared" si="47"/>
        <v/>
      </c>
      <c r="P333" s="79" t="str">
        <f>IF(B333="","",SUM($K$6:K333)-SUM($L$6:L333))</f>
        <v/>
      </c>
      <c r="Q333" s="75" t="str">
        <f t="shared" si="41"/>
        <v/>
      </c>
      <c r="R333" s="84"/>
      <c r="S333" s="84"/>
    </row>
    <row r="334" spans="1:19" x14ac:dyDescent="0.35">
      <c r="A334" s="75" t="str">
        <f t="shared" si="42"/>
        <v/>
      </c>
      <c r="B334" s="81"/>
      <c r="C334" s="75" t="str">
        <f t="shared" si="43"/>
        <v/>
      </c>
      <c r="D334" s="75" t="str">
        <f t="shared" si="44"/>
        <v/>
      </c>
      <c r="E334" s="14"/>
      <c r="F334" s="14"/>
      <c r="G334" s="14"/>
      <c r="H334" s="75" t="str">
        <f t="shared" si="45"/>
        <v/>
      </c>
      <c r="I334" s="77" t="str">
        <f>IF(G334="","",IFERROR(VLOOKUP(G334,'Plan Comptable'!$B$5:$C$278,2,FALSE),"Compte inconnu"))</f>
        <v/>
      </c>
      <c r="J334" s="83"/>
      <c r="K334" s="83"/>
      <c r="L334" s="14"/>
      <c r="M334" s="32" t="str">
        <f t="shared" si="40"/>
        <v/>
      </c>
      <c r="N334" s="77" t="str">
        <f t="shared" si="46"/>
        <v/>
      </c>
      <c r="O334" s="75" t="str">
        <f t="shared" si="47"/>
        <v/>
      </c>
      <c r="P334" s="79" t="str">
        <f>IF(B334="","",SUM($K$6:K334)-SUM($L$6:L334))</f>
        <v/>
      </c>
      <c r="Q334" s="75" t="str">
        <f t="shared" si="41"/>
        <v/>
      </c>
      <c r="R334" s="84"/>
      <c r="S334" s="84"/>
    </row>
    <row r="335" spans="1:19" x14ac:dyDescent="0.35">
      <c r="A335" s="75" t="str">
        <f t="shared" si="42"/>
        <v/>
      </c>
      <c r="B335" s="81"/>
      <c r="C335" s="75" t="str">
        <f t="shared" si="43"/>
        <v/>
      </c>
      <c r="D335" s="75" t="str">
        <f t="shared" si="44"/>
        <v/>
      </c>
      <c r="E335" s="14"/>
      <c r="F335" s="14"/>
      <c r="G335" s="14"/>
      <c r="H335" s="75" t="str">
        <f t="shared" si="45"/>
        <v/>
      </c>
      <c r="I335" s="77" t="str">
        <f>IF(G335="","",IFERROR(VLOOKUP(G335,'Plan Comptable'!$B$5:$C$278,2,FALSE),"Compte inconnu"))</f>
        <v/>
      </c>
      <c r="J335" s="83"/>
      <c r="K335" s="83"/>
      <c r="L335" s="14"/>
      <c r="M335" s="32" t="str">
        <f t="shared" si="40"/>
        <v/>
      </c>
      <c r="N335" s="77" t="str">
        <f t="shared" si="46"/>
        <v/>
      </c>
      <c r="O335" s="75" t="str">
        <f t="shared" si="47"/>
        <v/>
      </c>
      <c r="P335" s="79" t="str">
        <f>IF(B335="","",SUM($K$6:K335)-SUM($L$6:L335))</f>
        <v/>
      </c>
      <c r="Q335" s="75" t="str">
        <f t="shared" si="41"/>
        <v/>
      </c>
      <c r="R335" s="84"/>
      <c r="S335" s="84"/>
    </row>
    <row r="336" spans="1:19" x14ac:dyDescent="0.35">
      <c r="A336" s="75" t="str">
        <f t="shared" si="42"/>
        <v/>
      </c>
      <c r="B336" s="81"/>
      <c r="C336" s="75" t="str">
        <f t="shared" si="43"/>
        <v/>
      </c>
      <c r="D336" s="75" t="str">
        <f t="shared" si="44"/>
        <v/>
      </c>
      <c r="E336" s="14"/>
      <c r="F336" s="14"/>
      <c r="G336" s="14"/>
      <c r="H336" s="75" t="str">
        <f t="shared" si="45"/>
        <v/>
      </c>
      <c r="I336" s="77" t="str">
        <f>IF(G336="","",IFERROR(VLOOKUP(G336,'Plan Comptable'!$B$5:$C$278,2,FALSE),"Compte inconnu"))</f>
        <v/>
      </c>
      <c r="J336" s="83"/>
      <c r="K336" s="83"/>
      <c r="L336" s="14"/>
      <c r="M336" s="32" t="str">
        <f t="shared" si="40"/>
        <v/>
      </c>
      <c r="N336" s="77" t="str">
        <f t="shared" si="46"/>
        <v/>
      </c>
      <c r="O336" s="75" t="str">
        <f t="shared" si="47"/>
        <v/>
      </c>
      <c r="P336" s="79" t="str">
        <f>IF(B336="","",SUM($K$6:K336)-SUM($L$6:L336))</f>
        <v/>
      </c>
      <c r="Q336" s="75" t="str">
        <f t="shared" si="41"/>
        <v/>
      </c>
      <c r="R336" s="84"/>
      <c r="S336" s="84"/>
    </row>
    <row r="337" spans="1:19" x14ac:dyDescent="0.35">
      <c r="A337" s="75" t="str">
        <f t="shared" si="42"/>
        <v/>
      </c>
      <c r="B337" s="81"/>
      <c r="C337" s="75" t="str">
        <f t="shared" si="43"/>
        <v/>
      </c>
      <c r="D337" s="75" t="str">
        <f t="shared" si="44"/>
        <v/>
      </c>
      <c r="E337" s="14"/>
      <c r="F337" s="14"/>
      <c r="G337" s="14"/>
      <c r="H337" s="75" t="str">
        <f t="shared" si="45"/>
        <v/>
      </c>
      <c r="I337" s="77" t="str">
        <f>IF(G337="","",IFERROR(VLOOKUP(G337,'Plan Comptable'!$B$5:$C$278,2,FALSE),"Compte inconnu"))</f>
        <v/>
      </c>
      <c r="J337" s="83"/>
      <c r="K337" s="83"/>
      <c r="L337" s="14"/>
      <c r="M337" s="32" t="str">
        <f t="shared" si="40"/>
        <v/>
      </c>
      <c r="N337" s="77" t="str">
        <f t="shared" si="46"/>
        <v/>
      </c>
      <c r="O337" s="75" t="str">
        <f t="shared" si="47"/>
        <v/>
      </c>
      <c r="P337" s="79" t="str">
        <f>IF(B337="","",SUM($K$6:K337)-SUM($L$6:L337))</f>
        <v/>
      </c>
      <c r="Q337" s="75" t="str">
        <f t="shared" si="41"/>
        <v/>
      </c>
      <c r="R337" s="84"/>
      <c r="S337" s="84"/>
    </row>
    <row r="338" spans="1:19" x14ac:dyDescent="0.35">
      <c r="A338" s="75" t="str">
        <f t="shared" si="42"/>
        <v/>
      </c>
      <c r="B338" s="81"/>
      <c r="C338" s="75" t="str">
        <f t="shared" si="43"/>
        <v/>
      </c>
      <c r="D338" s="75" t="str">
        <f t="shared" si="44"/>
        <v/>
      </c>
      <c r="E338" s="14"/>
      <c r="F338" s="14"/>
      <c r="G338" s="14"/>
      <c r="H338" s="75" t="str">
        <f t="shared" si="45"/>
        <v/>
      </c>
      <c r="I338" s="77" t="str">
        <f>IF(G338="","",IFERROR(VLOOKUP(G338,'Plan Comptable'!$B$5:$C$278,2,FALSE),"Compte inconnu"))</f>
        <v/>
      </c>
      <c r="J338" s="83"/>
      <c r="K338" s="83"/>
      <c r="L338" s="14"/>
      <c r="M338" s="32" t="str">
        <f t="shared" si="40"/>
        <v/>
      </c>
      <c r="N338" s="77" t="str">
        <f t="shared" si="46"/>
        <v/>
      </c>
      <c r="O338" s="75" t="str">
        <f t="shared" si="47"/>
        <v/>
      </c>
      <c r="P338" s="79" t="str">
        <f>IF(B338="","",SUM($K$6:K338)-SUM($L$6:L338))</f>
        <v/>
      </c>
      <c r="Q338" s="75" t="str">
        <f t="shared" si="41"/>
        <v/>
      </c>
      <c r="R338" s="84"/>
      <c r="S338" s="84"/>
    </row>
    <row r="339" spans="1:19" x14ac:dyDescent="0.35">
      <c r="A339" s="75" t="str">
        <f t="shared" si="42"/>
        <v/>
      </c>
      <c r="B339" s="81"/>
      <c r="C339" s="75" t="str">
        <f t="shared" si="43"/>
        <v/>
      </c>
      <c r="D339" s="75" t="str">
        <f t="shared" si="44"/>
        <v/>
      </c>
      <c r="E339" s="14"/>
      <c r="F339" s="14"/>
      <c r="G339" s="14"/>
      <c r="H339" s="75" t="str">
        <f t="shared" si="45"/>
        <v/>
      </c>
      <c r="I339" s="77" t="str">
        <f>IF(G339="","",IFERROR(VLOOKUP(G339,'Plan Comptable'!$B$5:$C$278,2,FALSE),"Compte inconnu"))</f>
        <v/>
      </c>
      <c r="J339" s="83"/>
      <c r="K339" s="83"/>
      <c r="L339" s="14"/>
      <c r="M339" s="32" t="str">
        <f t="shared" si="40"/>
        <v/>
      </c>
      <c r="N339" s="77" t="str">
        <f t="shared" si="46"/>
        <v/>
      </c>
      <c r="O339" s="75" t="str">
        <f t="shared" si="47"/>
        <v/>
      </c>
      <c r="P339" s="79" t="str">
        <f>IF(B339="","",SUM($K$6:K339)-SUM($L$6:L339))</f>
        <v/>
      </c>
      <c r="Q339" s="75" t="str">
        <f t="shared" si="41"/>
        <v/>
      </c>
      <c r="R339" s="84"/>
      <c r="S339" s="84"/>
    </row>
    <row r="340" spans="1:19" x14ac:dyDescent="0.35">
      <c r="A340" s="75" t="str">
        <f t="shared" si="42"/>
        <v/>
      </c>
      <c r="B340" s="81"/>
      <c r="C340" s="75" t="str">
        <f t="shared" si="43"/>
        <v/>
      </c>
      <c r="D340" s="75" t="str">
        <f t="shared" si="44"/>
        <v/>
      </c>
      <c r="E340" s="14"/>
      <c r="F340" s="14"/>
      <c r="G340" s="14"/>
      <c r="H340" s="75" t="str">
        <f t="shared" si="45"/>
        <v/>
      </c>
      <c r="I340" s="77" t="str">
        <f>IF(G340="","",IFERROR(VLOOKUP(G340,'Plan Comptable'!$B$5:$C$278,2,FALSE),"Compte inconnu"))</f>
        <v/>
      </c>
      <c r="J340" s="83"/>
      <c r="K340" s="83"/>
      <c r="L340" s="14"/>
      <c r="M340" s="32" t="str">
        <f t="shared" si="40"/>
        <v/>
      </c>
      <c r="N340" s="77" t="str">
        <f t="shared" si="46"/>
        <v/>
      </c>
      <c r="O340" s="75" t="str">
        <f t="shared" si="47"/>
        <v/>
      </c>
      <c r="P340" s="79" t="str">
        <f>IF(B340="","",SUM($K$6:K340)-SUM($L$6:L340))</f>
        <v/>
      </c>
      <c r="Q340" s="75" t="str">
        <f t="shared" si="41"/>
        <v/>
      </c>
      <c r="R340" s="84"/>
      <c r="S340" s="84"/>
    </row>
    <row r="341" spans="1:19" x14ac:dyDescent="0.35">
      <c r="A341" s="75" t="str">
        <f t="shared" si="42"/>
        <v/>
      </c>
      <c r="B341" s="81"/>
      <c r="C341" s="75" t="str">
        <f t="shared" si="43"/>
        <v/>
      </c>
      <c r="D341" s="75" t="str">
        <f t="shared" si="44"/>
        <v/>
      </c>
      <c r="E341" s="14"/>
      <c r="F341" s="14"/>
      <c r="G341" s="14"/>
      <c r="H341" s="75" t="str">
        <f t="shared" si="45"/>
        <v/>
      </c>
      <c r="I341" s="77" t="str">
        <f>IF(G341="","",IFERROR(VLOOKUP(G341,'Plan Comptable'!$B$5:$C$278,2,FALSE),"Compte inconnu"))</f>
        <v/>
      </c>
      <c r="J341" s="83"/>
      <c r="K341" s="83"/>
      <c r="L341" s="14"/>
      <c r="M341" s="32" t="str">
        <f t="shared" si="40"/>
        <v/>
      </c>
      <c r="N341" s="77" t="str">
        <f t="shared" si="46"/>
        <v/>
      </c>
      <c r="O341" s="75" t="str">
        <f t="shared" si="47"/>
        <v/>
      </c>
      <c r="P341" s="79" t="str">
        <f>IF(B341="","",SUM($K$6:K341)-SUM($L$6:L341))</f>
        <v/>
      </c>
      <c r="Q341" s="75" t="str">
        <f t="shared" si="41"/>
        <v/>
      </c>
      <c r="R341" s="84"/>
      <c r="S341" s="84"/>
    </row>
    <row r="342" spans="1:19" x14ac:dyDescent="0.35">
      <c r="A342" s="75" t="str">
        <f t="shared" si="42"/>
        <v/>
      </c>
      <c r="B342" s="81"/>
      <c r="C342" s="75" t="str">
        <f t="shared" si="43"/>
        <v/>
      </c>
      <c r="D342" s="75" t="str">
        <f t="shared" si="44"/>
        <v/>
      </c>
      <c r="E342" s="14"/>
      <c r="F342" s="14"/>
      <c r="G342" s="14"/>
      <c r="H342" s="75" t="str">
        <f t="shared" si="45"/>
        <v/>
      </c>
      <c r="I342" s="77" t="str">
        <f>IF(G342="","",IFERROR(VLOOKUP(G342,'Plan Comptable'!$B$5:$C$278,2,FALSE),"Compte inconnu"))</f>
        <v/>
      </c>
      <c r="J342" s="83"/>
      <c r="K342" s="83"/>
      <c r="L342" s="14"/>
      <c r="M342" s="32" t="str">
        <f t="shared" si="40"/>
        <v/>
      </c>
      <c r="N342" s="77" t="str">
        <f t="shared" si="46"/>
        <v/>
      </c>
      <c r="O342" s="75" t="str">
        <f t="shared" si="47"/>
        <v/>
      </c>
      <c r="P342" s="79" t="str">
        <f>IF(B342="","",SUM($K$6:K342)-SUM($L$6:L342))</f>
        <v/>
      </c>
      <c r="Q342" s="75" t="str">
        <f t="shared" si="41"/>
        <v/>
      </c>
      <c r="R342" s="84"/>
      <c r="S342" s="84"/>
    </row>
    <row r="343" spans="1:19" x14ac:dyDescent="0.35">
      <c r="A343" s="75" t="str">
        <f t="shared" si="42"/>
        <v/>
      </c>
      <c r="B343" s="81"/>
      <c r="C343" s="75" t="str">
        <f t="shared" si="43"/>
        <v/>
      </c>
      <c r="D343" s="75" t="str">
        <f t="shared" si="44"/>
        <v/>
      </c>
      <c r="E343" s="14"/>
      <c r="F343" s="14"/>
      <c r="G343" s="14"/>
      <c r="H343" s="75" t="str">
        <f t="shared" si="45"/>
        <v/>
      </c>
      <c r="I343" s="77" t="str">
        <f>IF(G343="","",IFERROR(VLOOKUP(G343,'Plan Comptable'!$B$5:$C$278,2,FALSE),"Compte inconnu"))</f>
        <v/>
      </c>
      <c r="J343" s="83"/>
      <c r="K343" s="83"/>
      <c r="L343" s="14"/>
      <c r="M343" s="32" t="str">
        <f t="shared" si="40"/>
        <v/>
      </c>
      <c r="N343" s="77" t="str">
        <f t="shared" si="46"/>
        <v/>
      </c>
      <c r="O343" s="75" t="str">
        <f t="shared" si="47"/>
        <v/>
      </c>
      <c r="P343" s="79" t="str">
        <f>IF(B343="","",SUM($K$6:K343)-SUM($L$6:L343))</f>
        <v/>
      </c>
      <c r="Q343" s="75" t="str">
        <f t="shared" si="41"/>
        <v/>
      </c>
      <c r="R343" s="84"/>
      <c r="S343" s="84"/>
    </row>
    <row r="344" spans="1:19" x14ac:dyDescent="0.35">
      <c r="A344" s="75" t="str">
        <f t="shared" si="42"/>
        <v/>
      </c>
      <c r="B344" s="81"/>
      <c r="C344" s="75" t="str">
        <f t="shared" si="43"/>
        <v/>
      </c>
      <c r="D344" s="75" t="str">
        <f t="shared" si="44"/>
        <v/>
      </c>
      <c r="E344" s="14"/>
      <c r="F344" s="14"/>
      <c r="G344" s="14"/>
      <c r="H344" s="75" t="str">
        <f t="shared" si="45"/>
        <v/>
      </c>
      <c r="I344" s="77" t="str">
        <f>IF(G344="","",IFERROR(VLOOKUP(G344,'Plan Comptable'!$B$5:$C$278,2,FALSE),"Compte inconnu"))</f>
        <v/>
      </c>
      <c r="J344" s="83"/>
      <c r="K344" s="83"/>
      <c r="L344" s="14"/>
      <c r="M344" s="32" t="str">
        <f t="shared" si="40"/>
        <v/>
      </c>
      <c r="N344" s="77" t="str">
        <f t="shared" si="46"/>
        <v/>
      </c>
      <c r="O344" s="75" t="str">
        <f t="shared" si="47"/>
        <v/>
      </c>
      <c r="P344" s="79" t="str">
        <f>IF(B344="","",SUM($K$6:K344)-SUM($L$6:L344))</f>
        <v/>
      </c>
      <c r="Q344" s="75" t="str">
        <f t="shared" si="41"/>
        <v/>
      </c>
      <c r="R344" s="84"/>
      <c r="S344" s="84"/>
    </row>
    <row r="345" spans="1:19" x14ac:dyDescent="0.35">
      <c r="A345" s="75" t="str">
        <f t="shared" si="42"/>
        <v/>
      </c>
      <c r="B345" s="81"/>
      <c r="C345" s="75" t="str">
        <f t="shared" si="43"/>
        <v/>
      </c>
      <c r="D345" s="75" t="str">
        <f t="shared" si="44"/>
        <v/>
      </c>
      <c r="E345" s="14"/>
      <c r="F345" s="14"/>
      <c r="G345" s="14"/>
      <c r="H345" s="75" t="str">
        <f t="shared" si="45"/>
        <v/>
      </c>
      <c r="I345" s="77" t="str">
        <f>IF(G345="","",IFERROR(VLOOKUP(G345,'Plan Comptable'!$B$5:$C$278,2,FALSE),"Compte inconnu"))</f>
        <v/>
      </c>
      <c r="J345" s="83"/>
      <c r="K345" s="83"/>
      <c r="L345" s="14"/>
      <c r="M345" s="32" t="str">
        <f t="shared" si="40"/>
        <v/>
      </c>
      <c r="N345" s="77" t="str">
        <f t="shared" si="46"/>
        <v/>
      </c>
      <c r="O345" s="75" t="str">
        <f t="shared" si="47"/>
        <v/>
      </c>
      <c r="P345" s="79" t="str">
        <f>IF(B345="","",SUM($K$6:K345)-SUM($L$6:L345))</f>
        <v/>
      </c>
      <c r="Q345" s="75" t="str">
        <f t="shared" si="41"/>
        <v/>
      </c>
      <c r="R345" s="84"/>
      <c r="S345" s="84"/>
    </row>
    <row r="346" spans="1:19" x14ac:dyDescent="0.35">
      <c r="A346" s="75" t="str">
        <f t="shared" si="42"/>
        <v/>
      </c>
      <c r="B346" s="81"/>
      <c r="C346" s="75" t="str">
        <f t="shared" si="43"/>
        <v/>
      </c>
      <c r="D346" s="75" t="str">
        <f t="shared" si="44"/>
        <v/>
      </c>
      <c r="E346" s="14"/>
      <c r="F346" s="14"/>
      <c r="G346" s="14"/>
      <c r="H346" s="75" t="str">
        <f t="shared" si="45"/>
        <v/>
      </c>
      <c r="I346" s="77" t="str">
        <f>IF(G346="","",IFERROR(VLOOKUP(G346,'Plan Comptable'!$B$5:$C$278,2,FALSE),"Compte inconnu"))</f>
        <v/>
      </c>
      <c r="J346" s="83"/>
      <c r="K346" s="83"/>
      <c r="L346" s="14"/>
      <c r="M346" s="32" t="str">
        <f t="shared" si="40"/>
        <v/>
      </c>
      <c r="N346" s="77" t="str">
        <f t="shared" si="46"/>
        <v/>
      </c>
      <c r="O346" s="75" t="str">
        <f t="shared" si="47"/>
        <v/>
      </c>
      <c r="P346" s="79" t="str">
        <f>IF(B346="","",SUM($K$6:K346)-SUM($L$6:L346))</f>
        <v/>
      </c>
      <c r="Q346" s="75" t="str">
        <f t="shared" si="41"/>
        <v/>
      </c>
      <c r="R346" s="84"/>
      <c r="S346" s="84"/>
    </row>
    <row r="347" spans="1:19" x14ac:dyDescent="0.35">
      <c r="A347" s="75" t="str">
        <f t="shared" si="42"/>
        <v/>
      </c>
      <c r="B347" s="81"/>
      <c r="C347" s="75" t="str">
        <f t="shared" si="43"/>
        <v/>
      </c>
      <c r="D347" s="75" t="str">
        <f t="shared" si="44"/>
        <v/>
      </c>
      <c r="E347" s="14"/>
      <c r="F347" s="14"/>
      <c r="G347" s="14"/>
      <c r="H347" s="75" t="str">
        <f t="shared" si="45"/>
        <v/>
      </c>
      <c r="I347" s="77" t="str">
        <f>IF(G347="","",IFERROR(VLOOKUP(G347,'Plan Comptable'!$B$5:$C$278,2,FALSE),"Compte inconnu"))</f>
        <v/>
      </c>
      <c r="J347" s="83"/>
      <c r="K347" s="83"/>
      <c r="L347" s="14"/>
      <c r="M347" s="32" t="str">
        <f t="shared" si="40"/>
        <v/>
      </c>
      <c r="N347" s="77" t="str">
        <f t="shared" si="46"/>
        <v/>
      </c>
      <c r="O347" s="75" t="str">
        <f t="shared" si="47"/>
        <v/>
      </c>
      <c r="P347" s="79" t="str">
        <f>IF(B347="","",SUM($K$6:K347)-SUM($L$6:L347))</f>
        <v/>
      </c>
      <c r="Q347" s="75" t="str">
        <f t="shared" si="41"/>
        <v/>
      </c>
      <c r="R347" s="84"/>
      <c r="S347" s="84"/>
    </row>
    <row r="348" spans="1:19" x14ac:dyDescent="0.35">
      <c r="A348" s="75" t="str">
        <f t="shared" si="42"/>
        <v/>
      </c>
      <c r="B348" s="81"/>
      <c r="C348" s="75" t="str">
        <f t="shared" si="43"/>
        <v/>
      </c>
      <c r="D348" s="75" t="str">
        <f t="shared" si="44"/>
        <v/>
      </c>
      <c r="E348" s="14"/>
      <c r="F348" s="14"/>
      <c r="G348" s="14"/>
      <c r="H348" s="75" t="str">
        <f t="shared" si="45"/>
        <v/>
      </c>
      <c r="I348" s="77" t="str">
        <f>IF(G348="","",IFERROR(VLOOKUP(G348,'Plan Comptable'!$B$5:$C$278,2,FALSE),"Compte inconnu"))</f>
        <v/>
      </c>
      <c r="J348" s="83"/>
      <c r="K348" s="83"/>
      <c r="L348" s="14"/>
      <c r="M348" s="32" t="str">
        <f t="shared" si="40"/>
        <v/>
      </c>
      <c r="N348" s="77" t="str">
        <f t="shared" si="46"/>
        <v/>
      </c>
      <c r="O348" s="75" t="str">
        <f t="shared" si="47"/>
        <v/>
      </c>
      <c r="P348" s="79" t="str">
        <f>IF(B348="","",SUM($K$6:K348)-SUM($L$6:L348))</f>
        <v/>
      </c>
      <c r="Q348" s="75" t="str">
        <f t="shared" si="41"/>
        <v/>
      </c>
      <c r="R348" s="84"/>
      <c r="S348" s="84"/>
    </row>
    <row r="349" spans="1:19" x14ac:dyDescent="0.35">
      <c r="A349" s="75" t="str">
        <f t="shared" si="42"/>
        <v/>
      </c>
      <c r="B349" s="81"/>
      <c r="C349" s="75" t="str">
        <f t="shared" si="43"/>
        <v/>
      </c>
      <c r="D349" s="75" t="str">
        <f t="shared" si="44"/>
        <v/>
      </c>
      <c r="E349" s="14"/>
      <c r="F349" s="14"/>
      <c r="G349" s="14"/>
      <c r="H349" s="75" t="str">
        <f t="shared" si="45"/>
        <v/>
      </c>
      <c r="I349" s="77" t="str">
        <f>IF(G349="","",IFERROR(VLOOKUP(G349,'Plan Comptable'!$B$5:$C$278,2,FALSE),"Compte inconnu"))</f>
        <v/>
      </c>
      <c r="J349" s="83"/>
      <c r="K349" s="83"/>
      <c r="L349" s="14"/>
      <c r="M349" s="32" t="str">
        <f t="shared" si="40"/>
        <v/>
      </c>
      <c r="N349" s="77" t="str">
        <f t="shared" si="46"/>
        <v/>
      </c>
      <c r="O349" s="75" t="str">
        <f t="shared" si="47"/>
        <v/>
      </c>
      <c r="P349" s="79" t="str">
        <f>IF(B349="","",SUM($K$6:K349)-SUM($L$6:L349))</f>
        <v/>
      </c>
      <c r="Q349" s="75" t="str">
        <f t="shared" si="41"/>
        <v/>
      </c>
      <c r="R349" s="84"/>
      <c r="S349" s="84"/>
    </row>
    <row r="350" spans="1:19" x14ac:dyDescent="0.35">
      <c r="A350" s="75" t="str">
        <f t="shared" si="42"/>
        <v/>
      </c>
      <c r="B350" s="81"/>
      <c r="C350" s="75" t="str">
        <f t="shared" si="43"/>
        <v/>
      </c>
      <c r="D350" s="75" t="str">
        <f t="shared" si="44"/>
        <v/>
      </c>
      <c r="E350" s="14"/>
      <c r="F350" s="14"/>
      <c r="G350" s="14"/>
      <c r="H350" s="75" t="str">
        <f t="shared" si="45"/>
        <v/>
      </c>
      <c r="I350" s="77" t="str">
        <f>IF(G350="","",IFERROR(VLOOKUP(G350,'Plan Comptable'!$B$5:$C$278,2,FALSE),"Compte inconnu"))</f>
        <v/>
      </c>
      <c r="J350" s="83"/>
      <c r="K350" s="83"/>
      <c r="L350" s="14"/>
      <c r="M350" s="32" t="str">
        <f t="shared" si="40"/>
        <v/>
      </c>
      <c r="N350" s="77" t="str">
        <f t="shared" si="46"/>
        <v/>
      </c>
      <c r="O350" s="75" t="str">
        <f t="shared" si="47"/>
        <v/>
      </c>
      <c r="P350" s="79" t="str">
        <f>IF(B350="","",SUM($K$6:K350)-SUM($L$6:L350))</f>
        <v/>
      </c>
      <c r="Q350" s="75" t="str">
        <f t="shared" si="41"/>
        <v/>
      </c>
      <c r="R350" s="84"/>
      <c r="S350" s="84"/>
    </row>
    <row r="351" spans="1:19" x14ac:dyDescent="0.35">
      <c r="A351" s="75" t="str">
        <f t="shared" si="42"/>
        <v/>
      </c>
      <c r="B351" s="81"/>
      <c r="C351" s="75" t="str">
        <f t="shared" si="43"/>
        <v/>
      </c>
      <c r="D351" s="75" t="str">
        <f t="shared" si="44"/>
        <v/>
      </c>
      <c r="E351" s="14"/>
      <c r="F351" s="14"/>
      <c r="G351" s="14"/>
      <c r="H351" s="75" t="str">
        <f t="shared" si="45"/>
        <v/>
      </c>
      <c r="I351" s="77" t="str">
        <f>IF(G351="","",IFERROR(VLOOKUP(G351,'Plan Comptable'!$B$5:$C$278,2,FALSE),"Compte inconnu"))</f>
        <v/>
      </c>
      <c r="J351" s="83"/>
      <c r="K351" s="83"/>
      <c r="L351" s="14"/>
      <c r="M351" s="32" t="str">
        <f t="shared" si="40"/>
        <v/>
      </c>
      <c r="N351" s="77" t="str">
        <f t="shared" si="46"/>
        <v/>
      </c>
      <c r="O351" s="75" t="str">
        <f t="shared" si="47"/>
        <v/>
      </c>
      <c r="P351" s="79" t="str">
        <f>IF(B351="","",SUM($K$6:K351)-SUM($L$6:L351))</f>
        <v/>
      </c>
      <c r="Q351" s="75" t="str">
        <f t="shared" si="41"/>
        <v/>
      </c>
      <c r="R351" s="84"/>
      <c r="S351" s="84"/>
    </row>
    <row r="352" spans="1:19" x14ac:dyDescent="0.35">
      <c r="A352" s="75" t="str">
        <f t="shared" si="42"/>
        <v/>
      </c>
      <c r="B352" s="81"/>
      <c r="C352" s="75" t="str">
        <f t="shared" si="43"/>
        <v/>
      </c>
      <c r="D352" s="75" t="str">
        <f t="shared" si="44"/>
        <v/>
      </c>
      <c r="E352" s="14"/>
      <c r="F352" s="14"/>
      <c r="G352" s="14"/>
      <c r="H352" s="75" t="str">
        <f t="shared" si="45"/>
        <v/>
      </c>
      <c r="I352" s="77" t="str">
        <f>IF(G352="","",IFERROR(VLOOKUP(G352,'Plan Comptable'!$B$5:$C$278,2,FALSE),"Compte inconnu"))</f>
        <v/>
      </c>
      <c r="J352" s="83"/>
      <c r="K352" s="83"/>
      <c r="L352" s="14"/>
      <c r="M352" s="32" t="str">
        <f t="shared" si="40"/>
        <v/>
      </c>
      <c r="N352" s="77" t="str">
        <f t="shared" si="46"/>
        <v/>
      </c>
      <c r="O352" s="75" t="str">
        <f t="shared" si="47"/>
        <v/>
      </c>
      <c r="P352" s="79" t="str">
        <f>IF(B352="","",SUM($K$6:K352)-SUM($L$6:L352))</f>
        <v/>
      </c>
      <c r="Q352" s="75" t="str">
        <f t="shared" si="41"/>
        <v/>
      </c>
      <c r="R352" s="84"/>
      <c r="S352" s="84"/>
    </row>
    <row r="353" spans="1:19" x14ac:dyDescent="0.35">
      <c r="A353" s="75" t="str">
        <f t="shared" si="42"/>
        <v/>
      </c>
      <c r="B353" s="81"/>
      <c r="C353" s="75" t="str">
        <f t="shared" si="43"/>
        <v/>
      </c>
      <c r="D353" s="75" t="str">
        <f t="shared" si="44"/>
        <v/>
      </c>
      <c r="E353" s="14"/>
      <c r="F353" s="14"/>
      <c r="G353" s="14"/>
      <c r="H353" s="75" t="str">
        <f t="shared" si="45"/>
        <v/>
      </c>
      <c r="I353" s="77" t="str">
        <f>IF(G353="","",IFERROR(VLOOKUP(G353,'Plan Comptable'!$B$5:$C$278,2,FALSE),"Compte inconnu"))</f>
        <v/>
      </c>
      <c r="J353" s="83"/>
      <c r="K353" s="83"/>
      <c r="L353" s="14"/>
      <c r="M353" s="32" t="str">
        <f t="shared" si="40"/>
        <v/>
      </c>
      <c r="N353" s="77" t="str">
        <f t="shared" si="46"/>
        <v/>
      </c>
      <c r="O353" s="75" t="str">
        <f t="shared" si="47"/>
        <v/>
      </c>
      <c r="P353" s="79" t="str">
        <f>IF(B353="","",SUM($K$6:K353)-SUM($L$6:L353))</f>
        <v/>
      </c>
      <c r="Q353" s="75" t="str">
        <f t="shared" si="41"/>
        <v/>
      </c>
      <c r="R353" s="84"/>
      <c r="S353" s="84"/>
    </row>
    <row r="354" spans="1:19" x14ac:dyDescent="0.35">
      <c r="A354" s="75" t="str">
        <f t="shared" si="42"/>
        <v/>
      </c>
      <c r="B354" s="81"/>
      <c r="C354" s="75" t="str">
        <f t="shared" si="43"/>
        <v/>
      </c>
      <c r="D354" s="75" t="str">
        <f t="shared" si="44"/>
        <v/>
      </c>
      <c r="E354" s="14"/>
      <c r="F354" s="14"/>
      <c r="G354" s="14"/>
      <c r="H354" s="75" t="str">
        <f t="shared" si="45"/>
        <v/>
      </c>
      <c r="I354" s="77" t="str">
        <f>IF(G354="","",IFERROR(VLOOKUP(G354,'Plan Comptable'!$B$5:$C$278,2,FALSE),"Compte inconnu"))</f>
        <v/>
      </c>
      <c r="J354" s="83"/>
      <c r="K354" s="83"/>
      <c r="L354" s="14"/>
      <c r="M354" s="32" t="str">
        <f t="shared" si="40"/>
        <v/>
      </c>
      <c r="N354" s="77" t="str">
        <f t="shared" si="46"/>
        <v/>
      </c>
      <c r="O354" s="75" t="str">
        <f t="shared" si="47"/>
        <v/>
      </c>
      <c r="P354" s="79" t="str">
        <f>IF(B354="","",SUM($K$6:K354)-SUM($L$6:L354))</f>
        <v/>
      </c>
      <c r="Q354" s="75" t="str">
        <f t="shared" si="41"/>
        <v/>
      </c>
      <c r="R354" s="84"/>
      <c r="S354" s="84"/>
    </row>
    <row r="355" spans="1:19" x14ac:dyDescent="0.35">
      <c r="A355" s="75" t="str">
        <f t="shared" si="42"/>
        <v/>
      </c>
      <c r="B355" s="81"/>
      <c r="C355" s="75" t="str">
        <f t="shared" si="43"/>
        <v/>
      </c>
      <c r="D355" s="75" t="str">
        <f t="shared" si="44"/>
        <v/>
      </c>
      <c r="E355" s="14"/>
      <c r="F355" s="14"/>
      <c r="G355" s="14"/>
      <c r="H355" s="75" t="str">
        <f t="shared" si="45"/>
        <v/>
      </c>
      <c r="I355" s="77" t="str">
        <f>IF(G355="","",IFERROR(VLOOKUP(G355,'Plan Comptable'!$B$5:$C$278,2,FALSE),"Compte inconnu"))</f>
        <v/>
      </c>
      <c r="J355" s="83"/>
      <c r="K355" s="83"/>
      <c r="L355" s="14"/>
      <c r="M355" s="32" t="str">
        <f t="shared" si="40"/>
        <v/>
      </c>
      <c r="N355" s="77" t="str">
        <f t="shared" si="46"/>
        <v/>
      </c>
      <c r="O355" s="75" t="str">
        <f t="shared" si="47"/>
        <v/>
      </c>
      <c r="P355" s="79" t="str">
        <f>IF(B355="","",SUM($K$6:K355)-SUM($L$6:L355))</f>
        <v/>
      </c>
      <c r="Q355" s="75" t="str">
        <f t="shared" si="41"/>
        <v/>
      </c>
      <c r="R355" s="84"/>
      <c r="S355" s="84"/>
    </row>
    <row r="356" spans="1:19" x14ac:dyDescent="0.35">
      <c r="A356" s="75" t="str">
        <f t="shared" si="42"/>
        <v/>
      </c>
      <c r="B356" s="81"/>
      <c r="C356" s="75" t="str">
        <f t="shared" si="43"/>
        <v/>
      </c>
      <c r="D356" s="75" t="str">
        <f t="shared" si="44"/>
        <v/>
      </c>
      <c r="E356" s="14"/>
      <c r="F356" s="14"/>
      <c r="G356" s="14"/>
      <c r="H356" s="75" t="str">
        <f t="shared" si="45"/>
        <v/>
      </c>
      <c r="I356" s="77" t="str">
        <f>IF(G356="","",IFERROR(VLOOKUP(G356,'Plan Comptable'!$B$5:$C$278,2,FALSE),"Compte inconnu"))</f>
        <v/>
      </c>
      <c r="J356" s="83"/>
      <c r="K356" s="83"/>
      <c r="L356" s="14"/>
      <c r="M356" s="32" t="str">
        <f t="shared" si="40"/>
        <v/>
      </c>
      <c r="N356" s="77" t="str">
        <f t="shared" si="46"/>
        <v/>
      </c>
      <c r="O356" s="75" t="str">
        <f t="shared" si="47"/>
        <v/>
      </c>
      <c r="P356" s="79" t="str">
        <f>IF(B356="","",SUM($K$6:K356)-SUM($L$6:L356))</f>
        <v/>
      </c>
      <c r="Q356" s="75" t="str">
        <f t="shared" si="41"/>
        <v/>
      </c>
      <c r="R356" s="84"/>
      <c r="S356" s="84"/>
    </row>
    <row r="357" spans="1:19" x14ac:dyDescent="0.35">
      <c r="A357" s="75" t="str">
        <f t="shared" si="42"/>
        <v/>
      </c>
      <c r="B357" s="81"/>
      <c r="C357" s="75" t="str">
        <f t="shared" si="43"/>
        <v/>
      </c>
      <c r="D357" s="75" t="str">
        <f t="shared" si="44"/>
        <v/>
      </c>
      <c r="E357" s="14"/>
      <c r="F357" s="14"/>
      <c r="G357" s="14"/>
      <c r="H357" s="75" t="str">
        <f t="shared" si="45"/>
        <v/>
      </c>
      <c r="I357" s="77" t="str">
        <f>IF(G357="","",IFERROR(VLOOKUP(G357,'Plan Comptable'!$B$5:$C$278,2,FALSE),"Compte inconnu"))</f>
        <v/>
      </c>
      <c r="J357" s="83"/>
      <c r="K357" s="83"/>
      <c r="L357" s="14"/>
      <c r="M357" s="32" t="str">
        <f t="shared" si="40"/>
        <v/>
      </c>
      <c r="N357" s="77" t="str">
        <f t="shared" si="46"/>
        <v/>
      </c>
      <c r="O357" s="75" t="str">
        <f t="shared" si="47"/>
        <v/>
      </c>
      <c r="P357" s="79" t="str">
        <f>IF(B357="","",SUM($K$6:K357)-SUM($L$6:L357))</f>
        <v/>
      </c>
      <c r="Q357" s="75" t="str">
        <f t="shared" si="41"/>
        <v/>
      </c>
      <c r="R357" s="84"/>
      <c r="S357" s="84"/>
    </row>
    <row r="358" spans="1:19" x14ac:dyDescent="0.35">
      <c r="A358" s="75" t="str">
        <f t="shared" si="42"/>
        <v/>
      </c>
      <c r="B358" s="81"/>
      <c r="C358" s="75" t="str">
        <f t="shared" si="43"/>
        <v/>
      </c>
      <c r="D358" s="75" t="str">
        <f t="shared" si="44"/>
        <v/>
      </c>
      <c r="E358" s="14"/>
      <c r="F358" s="14"/>
      <c r="G358" s="14"/>
      <c r="H358" s="75" t="str">
        <f t="shared" si="45"/>
        <v/>
      </c>
      <c r="I358" s="77" t="str">
        <f>IF(G358="","",IFERROR(VLOOKUP(G358,'Plan Comptable'!$B$5:$C$278,2,FALSE),"Compte inconnu"))</f>
        <v/>
      </c>
      <c r="J358" s="83"/>
      <c r="K358" s="83"/>
      <c r="L358" s="14"/>
      <c r="M358" s="32" t="str">
        <f t="shared" si="40"/>
        <v/>
      </c>
      <c r="N358" s="77" t="str">
        <f t="shared" si="46"/>
        <v/>
      </c>
      <c r="O358" s="75" t="str">
        <f t="shared" si="47"/>
        <v/>
      </c>
      <c r="P358" s="79" t="str">
        <f>IF(B358="","",SUM($K$6:K358)-SUM($L$6:L358))</f>
        <v/>
      </c>
      <c r="Q358" s="75" t="str">
        <f t="shared" si="41"/>
        <v/>
      </c>
      <c r="R358" s="84"/>
      <c r="S358" s="84"/>
    </row>
    <row r="359" spans="1:19" x14ac:dyDescent="0.35">
      <c r="A359" s="75" t="str">
        <f t="shared" si="42"/>
        <v/>
      </c>
      <c r="B359" s="81"/>
      <c r="C359" s="75" t="str">
        <f t="shared" si="43"/>
        <v/>
      </c>
      <c r="D359" s="75" t="str">
        <f t="shared" si="44"/>
        <v/>
      </c>
      <c r="E359" s="14"/>
      <c r="F359" s="14"/>
      <c r="G359" s="14"/>
      <c r="H359" s="75" t="str">
        <f t="shared" si="45"/>
        <v/>
      </c>
      <c r="I359" s="77" t="str">
        <f>IF(G359="","",IFERROR(VLOOKUP(G359,'Plan Comptable'!$B$5:$C$278,2,FALSE),"Compte inconnu"))</f>
        <v/>
      </c>
      <c r="J359" s="83"/>
      <c r="K359" s="83"/>
      <c r="L359" s="14"/>
      <c r="M359" s="32" t="str">
        <f t="shared" si="40"/>
        <v/>
      </c>
      <c r="N359" s="77" t="str">
        <f t="shared" si="46"/>
        <v/>
      </c>
      <c r="O359" s="75" t="str">
        <f t="shared" si="47"/>
        <v/>
      </c>
      <c r="P359" s="79" t="str">
        <f>IF(B359="","",SUM($K$6:K359)-SUM($L$6:L359))</f>
        <v/>
      </c>
      <c r="Q359" s="75" t="str">
        <f t="shared" si="41"/>
        <v/>
      </c>
      <c r="R359" s="84"/>
      <c r="S359" s="84"/>
    </row>
    <row r="360" spans="1:19" x14ac:dyDescent="0.35">
      <c r="A360" s="75" t="str">
        <f t="shared" si="42"/>
        <v/>
      </c>
      <c r="B360" s="81"/>
      <c r="C360" s="75" t="str">
        <f t="shared" si="43"/>
        <v/>
      </c>
      <c r="D360" s="75" t="str">
        <f t="shared" si="44"/>
        <v/>
      </c>
      <c r="E360" s="14"/>
      <c r="F360" s="14"/>
      <c r="G360" s="14"/>
      <c r="H360" s="75" t="str">
        <f t="shared" si="45"/>
        <v/>
      </c>
      <c r="I360" s="77" t="str">
        <f>IF(G360="","",IFERROR(VLOOKUP(G360,'Plan Comptable'!$B$5:$C$278,2,FALSE),"Compte inconnu"))</f>
        <v/>
      </c>
      <c r="J360" s="83"/>
      <c r="K360" s="83"/>
      <c r="L360" s="14"/>
      <c r="M360" s="32" t="str">
        <f t="shared" si="40"/>
        <v/>
      </c>
      <c r="N360" s="77" t="str">
        <f t="shared" si="46"/>
        <v/>
      </c>
      <c r="O360" s="75" t="str">
        <f t="shared" si="47"/>
        <v/>
      </c>
      <c r="P360" s="79" t="str">
        <f>IF(B360="","",SUM($K$6:K360)-SUM($L$6:L360))</f>
        <v/>
      </c>
      <c r="Q360" s="75" t="str">
        <f t="shared" si="41"/>
        <v/>
      </c>
      <c r="R360" s="84"/>
      <c r="S360" s="84"/>
    </row>
    <row r="361" spans="1:19" x14ac:dyDescent="0.35">
      <c r="A361" s="75" t="str">
        <f t="shared" si="42"/>
        <v/>
      </c>
      <c r="B361" s="81"/>
      <c r="C361" s="75" t="str">
        <f t="shared" si="43"/>
        <v/>
      </c>
      <c r="D361" s="75" t="str">
        <f t="shared" si="44"/>
        <v/>
      </c>
      <c r="E361" s="14"/>
      <c r="F361" s="14"/>
      <c r="G361" s="14"/>
      <c r="H361" s="75" t="str">
        <f t="shared" si="45"/>
        <v/>
      </c>
      <c r="I361" s="77" t="str">
        <f>IF(G361="","",IFERROR(VLOOKUP(G361,'Plan Comptable'!$B$5:$C$278,2,FALSE),"Compte inconnu"))</f>
        <v/>
      </c>
      <c r="J361" s="83"/>
      <c r="K361" s="83"/>
      <c r="L361" s="14"/>
      <c r="M361" s="32" t="str">
        <f t="shared" si="40"/>
        <v/>
      </c>
      <c r="N361" s="77" t="str">
        <f t="shared" si="46"/>
        <v/>
      </c>
      <c r="O361" s="75" t="str">
        <f t="shared" si="47"/>
        <v/>
      </c>
      <c r="P361" s="79" t="str">
        <f>IF(B361="","",SUM($K$6:K361)-SUM($L$6:L361))</f>
        <v/>
      </c>
      <c r="Q361" s="75" t="str">
        <f t="shared" si="41"/>
        <v/>
      </c>
      <c r="R361" s="84"/>
      <c r="S361" s="84"/>
    </row>
    <row r="362" spans="1:19" x14ac:dyDescent="0.35">
      <c r="A362" s="75" t="str">
        <f t="shared" si="42"/>
        <v/>
      </c>
      <c r="B362" s="81"/>
      <c r="C362" s="75" t="str">
        <f t="shared" si="43"/>
        <v/>
      </c>
      <c r="D362" s="75" t="str">
        <f t="shared" si="44"/>
        <v/>
      </c>
      <c r="E362" s="14"/>
      <c r="F362" s="14"/>
      <c r="G362" s="14"/>
      <c r="H362" s="75" t="str">
        <f t="shared" si="45"/>
        <v/>
      </c>
      <c r="I362" s="77" t="str">
        <f>IF(G362="","",IFERROR(VLOOKUP(G362,'Plan Comptable'!$B$5:$C$278,2,FALSE),"Compte inconnu"))</f>
        <v/>
      </c>
      <c r="J362" s="83"/>
      <c r="K362" s="83"/>
      <c r="L362" s="14"/>
      <c r="M362" s="32" t="str">
        <f t="shared" si="40"/>
        <v/>
      </c>
      <c r="N362" s="77" t="str">
        <f t="shared" si="46"/>
        <v/>
      </c>
      <c r="O362" s="75" t="str">
        <f t="shared" si="47"/>
        <v/>
      </c>
      <c r="P362" s="79" t="str">
        <f>IF(B362="","",SUM($K$6:K362)-SUM($L$6:L362))</f>
        <v/>
      </c>
      <c r="Q362" s="75" t="str">
        <f t="shared" si="41"/>
        <v/>
      </c>
      <c r="R362" s="84"/>
      <c r="S362" s="84"/>
    </row>
    <row r="363" spans="1:19" x14ac:dyDescent="0.35">
      <c r="A363" s="75" t="str">
        <f t="shared" si="42"/>
        <v/>
      </c>
      <c r="B363" s="81"/>
      <c r="C363" s="75" t="str">
        <f t="shared" si="43"/>
        <v/>
      </c>
      <c r="D363" s="75" t="str">
        <f t="shared" si="44"/>
        <v/>
      </c>
      <c r="E363" s="14"/>
      <c r="F363" s="14"/>
      <c r="G363" s="14"/>
      <c r="H363" s="75" t="str">
        <f t="shared" si="45"/>
        <v/>
      </c>
      <c r="I363" s="77" t="str">
        <f>IF(G363="","",IFERROR(VLOOKUP(G363,'Plan Comptable'!$B$5:$C$278,2,FALSE),"Compte inconnu"))</f>
        <v/>
      </c>
      <c r="J363" s="83"/>
      <c r="K363" s="83"/>
      <c r="L363" s="14"/>
      <c r="M363" s="32" t="str">
        <f t="shared" si="40"/>
        <v/>
      </c>
      <c r="N363" s="77" t="str">
        <f t="shared" si="46"/>
        <v/>
      </c>
      <c r="O363" s="75" t="str">
        <f t="shared" si="47"/>
        <v/>
      </c>
      <c r="P363" s="79" t="str">
        <f>IF(B363="","",SUM($K$6:K363)-SUM($L$6:L363))</f>
        <v/>
      </c>
      <c r="Q363" s="75" t="str">
        <f t="shared" si="41"/>
        <v/>
      </c>
      <c r="R363" s="84"/>
      <c r="S363" s="84"/>
    </row>
    <row r="364" spans="1:19" x14ac:dyDescent="0.35">
      <c r="A364" s="75" t="str">
        <f t="shared" si="42"/>
        <v/>
      </c>
      <c r="B364" s="81"/>
      <c r="C364" s="75" t="str">
        <f t="shared" si="43"/>
        <v/>
      </c>
      <c r="D364" s="75" t="str">
        <f t="shared" si="44"/>
        <v/>
      </c>
      <c r="E364" s="14"/>
      <c r="F364" s="14"/>
      <c r="G364" s="14"/>
      <c r="H364" s="75" t="str">
        <f t="shared" si="45"/>
        <v/>
      </c>
      <c r="I364" s="77" t="str">
        <f>IF(G364="","",IFERROR(VLOOKUP(G364,'Plan Comptable'!$B$5:$C$278,2,FALSE),"Compte inconnu"))</f>
        <v/>
      </c>
      <c r="J364" s="83"/>
      <c r="K364" s="83"/>
      <c r="L364" s="14"/>
      <c r="M364" s="32" t="str">
        <f t="shared" si="40"/>
        <v/>
      </c>
      <c r="N364" s="77" t="str">
        <f t="shared" si="46"/>
        <v/>
      </c>
      <c r="O364" s="75" t="str">
        <f t="shared" si="47"/>
        <v/>
      </c>
      <c r="P364" s="79" t="str">
        <f>IF(B364="","",SUM($K$6:K364)-SUM($L$6:L364))</f>
        <v/>
      </c>
      <c r="Q364" s="75" t="str">
        <f t="shared" si="41"/>
        <v/>
      </c>
      <c r="R364" s="84"/>
      <c r="S364" s="84"/>
    </row>
    <row r="365" spans="1:19" x14ac:dyDescent="0.35">
      <c r="A365" s="75" t="str">
        <f t="shared" si="42"/>
        <v/>
      </c>
      <c r="B365" s="81"/>
      <c r="C365" s="75" t="str">
        <f t="shared" si="43"/>
        <v/>
      </c>
      <c r="D365" s="75" t="str">
        <f t="shared" si="44"/>
        <v/>
      </c>
      <c r="E365" s="14"/>
      <c r="F365" s="14"/>
      <c r="G365" s="14"/>
      <c r="H365" s="75" t="str">
        <f t="shared" si="45"/>
        <v/>
      </c>
      <c r="I365" s="77" t="str">
        <f>IF(G365="","",IFERROR(VLOOKUP(G365,'Plan Comptable'!$B$5:$C$278,2,FALSE),"Compte inconnu"))</f>
        <v/>
      </c>
      <c r="J365" s="83"/>
      <c r="K365" s="83"/>
      <c r="L365" s="14"/>
      <c r="M365" s="32" t="str">
        <f t="shared" si="40"/>
        <v/>
      </c>
      <c r="N365" s="77" t="str">
        <f t="shared" si="46"/>
        <v/>
      </c>
      <c r="O365" s="75" t="str">
        <f t="shared" si="47"/>
        <v/>
      </c>
      <c r="P365" s="79" t="str">
        <f>IF(B365="","",SUM($K$6:K365)-SUM($L$6:L365))</f>
        <v/>
      </c>
      <c r="Q365" s="75" t="str">
        <f t="shared" si="41"/>
        <v/>
      </c>
      <c r="R365" s="84"/>
      <c r="S365" s="84"/>
    </row>
    <row r="366" spans="1:19" x14ac:dyDescent="0.35">
      <c r="A366" s="75" t="str">
        <f t="shared" si="42"/>
        <v/>
      </c>
      <c r="B366" s="81"/>
      <c r="C366" s="75" t="str">
        <f t="shared" si="43"/>
        <v/>
      </c>
      <c r="D366" s="75" t="str">
        <f t="shared" si="44"/>
        <v/>
      </c>
      <c r="E366" s="14"/>
      <c r="F366" s="14"/>
      <c r="G366" s="14"/>
      <c r="H366" s="75" t="str">
        <f t="shared" si="45"/>
        <v/>
      </c>
      <c r="I366" s="77" t="str">
        <f>IF(G366="","",IFERROR(VLOOKUP(G366,'Plan Comptable'!$B$5:$C$278,2,FALSE),"Compte inconnu"))</f>
        <v/>
      </c>
      <c r="J366" s="83"/>
      <c r="K366" s="83"/>
      <c r="L366" s="14"/>
      <c r="M366" s="32" t="str">
        <f t="shared" si="40"/>
        <v/>
      </c>
      <c r="N366" s="77" t="str">
        <f t="shared" si="46"/>
        <v/>
      </c>
      <c r="O366" s="75" t="str">
        <f t="shared" si="47"/>
        <v/>
      </c>
      <c r="P366" s="79" t="str">
        <f>IF(B366="","",SUM($K$6:K366)-SUM($L$6:L366))</f>
        <v/>
      </c>
      <c r="Q366" s="75" t="str">
        <f t="shared" si="41"/>
        <v/>
      </c>
      <c r="R366" s="84"/>
      <c r="S366" s="84"/>
    </row>
    <row r="367" spans="1:19" x14ac:dyDescent="0.35">
      <c r="A367" s="75" t="str">
        <f t="shared" si="42"/>
        <v/>
      </c>
      <c r="B367" s="81"/>
      <c r="C367" s="75" t="str">
        <f t="shared" si="43"/>
        <v/>
      </c>
      <c r="D367" s="75" t="str">
        <f t="shared" si="44"/>
        <v/>
      </c>
      <c r="E367" s="14"/>
      <c r="F367" s="14"/>
      <c r="G367" s="14"/>
      <c r="H367" s="75" t="str">
        <f t="shared" si="45"/>
        <v/>
      </c>
      <c r="I367" s="77" t="str">
        <f>IF(G367="","",IFERROR(VLOOKUP(G367,'Plan Comptable'!$B$5:$C$278,2,FALSE),"Compte inconnu"))</f>
        <v/>
      </c>
      <c r="J367" s="83"/>
      <c r="K367" s="83"/>
      <c r="L367" s="14"/>
      <c r="M367" s="32" t="str">
        <f t="shared" si="40"/>
        <v/>
      </c>
      <c r="N367" s="77" t="str">
        <f t="shared" si="46"/>
        <v/>
      </c>
      <c r="O367" s="75" t="str">
        <f t="shared" si="47"/>
        <v/>
      </c>
      <c r="P367" s="79" t="str">
        <f>IF(B367="","",SUM($K$6:K367)-SUM($L$6:L367))</f>
        <v/>
      </c>
      <c r="Q367" s="75" t="str">
        <f t="shared" si="41"/>
        <v/>
      </c>
      <c r="R367" s="84"/>
      <c r="S367" s="84"/>
    </row>
    <row r="368" spans="1:19" x14ac:dyDescent="0.35">
      <c r="A368" s="75" t="str">
        <f t="shared" si="42"/>
        <v/>
      </c>
      <c r="B368" s="81"/>
      <c r="C368" s="75" t="str">
        <f t="shared" si="43"/>
        <v/>
      </c>
      <c r="D368" s="75" t="str">
        <f t="shared" si="44"/>
        <v/>
      </c>
      <c r="E368" s="14"/>
      <c r="F368" s="14"/>
      <c r="G368" s="14"/>
      <c r="H368" s="75" t="str">
        <f t="shared" si="45"/>
        <v/>
      </c>
      <c r="I368" s="77" t="str">
        <f>IF(G368="","",IFERROR(VLOOKUP(G368,'Plan Comptable'!$B$5:$C$278,2,FALSE),"Compte inconnu"))</f>
        <v/>
      </c>
      <c r="J368" s="83"/>
      <c r="K368" s="83"/>
      <c r="L368" s="14"/>
      <c r="M368" s="32" t="str">
        <f t="shared" si="40"/>
        <v/>
      </c>
      <c r="N368" s="77" t="str">
        <f t="shared" si="46"/>
        <v/>
      </c>
      <c r="O368" s="75" t="str">
        <f t="shared" si="47"/>
        <v/>
      </c>
      <c r="P368" s="79" t="str">
        <f>IF(B368="","",SUM($K$6:K368)-SUM($L$6:L368))</f>
        <v/>
      </c>
      <c r="Q368" s="75" t="str">
        <f t="shared" si="41"/>
        <v/>
      </c>
      <c r="R368" s="84"/>
      <c r="S368" s="84"/>
    </row>
    <row r="369" spans="1:19" x14ac:dyDescent="0.35">
      <c r="A369" s="75" t="str">
        <f t="shared" si="42"/>
        <v/>
      </c>
      <c r="B369" s="81"/>
      <c r="C369" s="75" t="str">
        <f t="shared" si="43"/>
        <v/>
      </c>
      <c r="D369" s="75" t="str">
        <f t="shared" si="44"/>
        <v/>
      </c>
      <c r="E369" s="14"/>
      <c r="F369" s="14"/>
      <c r="G369" s="14"/>
      <c r="H369" s="75" t="str">
        <f t="shared" si="45"/>
        <v/>
      </c>
      <c r="I369" s="77" t="str">
        <f>IF(G369="","",IFERROR(VLOOKUP(G369,'Plan Comptable'!$B$5:$C$278,2,FALSE),"Compte inconnu"))</f>
        <v/>
      </c>
      <c r="J369" s="83"/>
      <c r="K369" s="83"/>
      <c r="L369" s="14"/>
      <c r="M369" s="32" t="str">
        <f t="shared" si="40"/>
        <v/>
      </c>
      <c r="N369" s="77" t="str">
        <f t="shared" si="46"/>
        <v/>
      </c>
      <c r="O369" s="75" t="str">
        <f t="shared" si="47"/>
        <v/>
      </c>
      <c r="P369" s="79" t="str">
        <f>IF(B369="","",SUM($K$6:K369)-SUM($L$6:L369))</f>
        <v/>
      </c>
      <c r="Q369" s="75" t="str">
        <f t="shared" si="41"/>
        <v/>
      </c>
      <c r="R369" s="84"/>
      <c r="S369" s="84"/>
    </row>
    <row r="370" spans="1:19" x14ac:dyDescent="0.35">
      <c r="A370" s="75" t="str">
        <f t="shared" si="42"/>
        <v/>
      </c>
      <c r="B370" s="81"/>
      <c r="C370" s="75" t="str">
        <f t="shared" si="43"/>
        <v/>
      </c>
      <c r="D370" s="75" t="str">
        <f t="shared" si="44"/>
        <v/>
      </c>
      <c r="E370" s="14"/>
      <c r="F370" s="14"/>
      <c r="G370" s="14"/>
      <c r="H370" s="75" t="str">
        <f t="shared" si="45"/>
        <v/>
      </c>
      <c r="I370" s="77" t="str">
        <f>IF(G370="","",IFERROR(VLOOKUP(G370,'Plan Comptable'!$B$5:$C$278,2,FALSE),"Compte inconnu"))</f>
        <v/>
      </c>
      <c r="J370" s="83"/>
      <c r="K370" s="83"/>
      <c r="L370" s="14"/>
      <c r="M370" s="32" t="str">
        <f t="shared" si="40"/>
        <v/>
      </c>
      <c r="N370" s="77" t="str">
        <f t="shared" si="46"/>
        <v/>
      </c>
      <c r="O370" s="75" t="str">
        <f t="shared" si="47"/>
        <v/>
      </c>
      <c r="P370" s="79" t="str">
        <f>IF(B370="","",SUM($K$6:K370)-SUM($L$6:L370))</f>
        <v/>
      </c>
      <c r="Q370" s="75" t="str">
        <f t="shared" si="41"/>
        <v/>
      </c>
      <c r="R370" s="84"/>
      <c r="S370" s="84"/>
    </row>
    <row r="371" spans="1:19" x14ac:dyDescent="0.35">
      <c r="A371" s="75" t="str">
        <f t="shared" si="42"/>
        <v/>
      </c>
      <c r="B371" s="81"/>
      <c r="C371" s="75" t="str">
        <f t="shared" si="43"/>
        <v/>
      </c>
      <c r="D371" s="75" t="str">
        <f t="shared" si="44"/>
        <v/>
      </c>
      <c r="E371" s="14"/>
      <c r="F371" s="14"/>
      <c r="G371" s="14"/>
      <c r="H371" s="75" t="str">
        <f t="shared" si="45"/>
        <v/>
      </c>
      <c r="I371" s="77" t="str">
        <f>IF(G371="","",IFERROR(VLOOKUP(G371,'Plan Comptable'!$B$5:$C$278,2,FALSE),"Compte inconnu"))</f>
        <v/>
      </c>
      <c r="J371" s="83"/>
      <c r="K371" s="83"/>
      <c r="L371" s="14"/>
      <c r="M371" s="32" t="str">
        <f t="shared" si="40"/>
        <v/>
      </c>
      <c r="N371" s="77" t="str">
        <f t="shared" si="46"/>
        <v/>
      </c>
      <c r="O371" s="75" t="str">
        <f t="shared" si="47"/>
        <v/>
      </c>
      <c r="P371" s="79" t="str">
        <f>IF(B371="","",SUM($K$6:K371)-SUM($L$6:L371))</f>
        <v/>
      </c>
      <c r="Q371" s="75" t="str">
        <f t="shared" si="41"/>
        <v/>
      </c>
      <c r="R371" s="84"/>
      <c r="S371" s="84"/>
    </row>
    <row r="372" spans="1:19" x14ac:dyDescent="0.35">
      <c r="A372" s="75" t="str">
        <f t="shared" si="42"/>
        <v/>
      </c>
      <c r="B372" s="81"/>
      <c r="C372" s="75" t="str">
        <f t="shared" si="43"/>
        <v/>
      </c>
      <c r="D372" s="75" t="str">
        <f t="shared" si="44"/>
        <v/>
      </c>
      <c r="E372" s="14"/>
      <c r="F372" s="14"/>
      <c r="G372" s="14"/>
      <c r="H372" s="75" t="str">
        <f t="shared" si="45"/>
        <v/>
      </c>
      <c r="I372" s="77" t="str">
        <f>IF(G372="","",IFERROR(VLOOKUP(G372,'Plan Comptable'!$B$5:$C$278,2,FALSE),"Compte inconnu"))</f>
        <v/>
      </c>
      <c r="J372" s="83"/>
      <c r="K372" s="83"/>
      <c r="L372" s="14"/>
      <c r="M372" s="32" t="str">
        <f t="shared" si="40"/>
        <v/>
      </c>
      <c r="N372" s="77" t="str">
        <f t="shared" si="46"/>
        <v/>
      </c>
      <c r="O372" s="75" t="str">
        <f t="shared" si="47"/>
        <v/>
      </c>
      <c r="P372" s="79" t="str">
        <f>IF(B372="","",SUM($K$6:K372)-SUM($L$6:L372))</f>
        <v/>
      </c>
      <c r="Q372" s="75" t="str">
        <f t="shared" si="41"/>
        <v/>
      </c>
      <c r="R372" s="84"/>
      <c r="S372" s="84"/>
    </row>
    <row r="373" spans="1:19" x14ac:dyDescent="0.35">
      <c r="A373" s="75" t="str">
        <f t="shared" si="42"/>
        <v/>
      </c>
      <c r="B373" s="81"/>
      <c r="C373" s="75" t="str">
        <f t="shared" si="43"/>
        <v/>
      </c>
      <c r="D373" s="75" t="str">
        <f t="shared" si="44"/>
        <v/>
      </c>
      <c r="E373" s="14"/>
      <c r="F373" s="14"/>
      <c r="G373" s="14"/>
      <c r="H373" s="75" t="str">
        <f t="shared" si="45"/>
        <v/>
      </c>
      <c r="I373" s="77" t="str">
        <f>IF(G373="","",IFERROR(VLOOKUP(G373,'Plan Comptable'!$B$5:$C$278,2,FALSE),"Compte inconnu"))</f>
        <v/>
      </c>
      <c r="J373" s="83"/>
      <c r="K373" s="83"/>
      <c r="L373" s="14"/>
      <c r="M373" s="32" t="str">
        <f t="shared" si="40"/>
        <v/>
      </c>
      <c r="N373" s="77" t="str">
        <f t="shared" si="46"/>
        <v/>
      </c>
      <c r="O373" s="75" t="str">
        <f t="shared" si="47"/>
        <v/>
      </c>
      <c r="P373" s="79" t="str">
        <f>IF(B373="","",SUM($K$6:K373)-SUM($L$6:L373))</f>
        <v/>
      </c>
      <c r="Q373" s="75" t="str">
        <f t="shared" si="41"/>
        <v/>
      </c>
      <c r="R373" s="84"/>
      <c r="S373" s="84"/>
    </row>
    <row r="374" spans="1:19" x14ac:dyDescent="0.35">
      <c r="A374" s="75" t="str">
        <f t="shared" si="42"/>
        <v/>
      </c>
      <c r="B374" s="81"/>
      <c r="C374" s="75" t="str">
        <f t="shared" si="43"/>
        <v/>
      </c>
      <c r="D374" s="75" t="str">
        <f t="shared" si="44"/>
        <v/>
      </c>
      <c r="E374" s="14"/>
      <c r="F374" s="14"/>
      <c r="G374" s="14"/>
      <c r="H374" s="75" t="str">
        <f t="shared" si="45"/>
        <v/>
      </c>
      <c r="I374" s="77" t="str">
        <f>IF(G374="","",IFERROR(VLOOKUP(G374,'Plan Comptable'!$B$5:$C$278,2,FALSE),"Compte inconnu"))</f>
        <v/>
      </c>
      <c r="J374" s="83"/>
      <c r="K374" s="83"/>
      <c r="L374" s="14"/>
      <c r="M374" s="32" t="str">
        <f t="shared" si="40"/>
        <v/>
      </c>
      <c r="N374" s="77" t="str">
        <f t="shared" si="46"/>
        <v/>
      </c>
      <c r="O374" s="75" t="str">
        <f t="shared" si="47"/>
        <v/>
      </c>
      <c r="P374" s="79" t="str">
        <f>IF(B374="","",SUM($K$6:K374)-SUM($L$6:L374))</f>
        <v/>
      </c>
      <c r="Q374" s="75" t="str">
        <f t="shared" si="41"/>
        <v/>
      </c>
      <c r="R374" s="84"/>
      <c r="S374" s="84"/>
    </row>
    <row r="375" spans="1:19" x14ac:dyDescent="0.35">
      <c r="A375" s="75" t="str">
        <f t="shared" si="42"/>
        <v/>
      </c>
      <c r="B375" s="81"/>
      <c r="C375" s="75" t="str">
        <f t="shared" si="43"/>
        <v/>
      </c>
      <c r="D375" s="75" t="str">
        <f t="shared" si="44"/>
        <v/>
      </c>
      <c r="E375" s="14"/>
      <c r="F375" s="14"/>
      <c r="G375" s="14"/>
      <c r="H375" s="75" t="str">
        <f t="shared" si="45"/>
        <v/>
      </c>
      <c r="I375" s="77" t="str">
        <f>IF(G375="","",IFERROR(VLOOKUP(G375,'Plan Comptable'!$B$5:$C$278,2,FALSE),"Compte inconnu"))</f>
        <v/>
      </c>
      <c r="J375" s="83"/>
      <c r="K375" s="83"/>
      <c r="L375" s="14"/>
      <c r="M375" s="32" t="str">
        <f t="shared" si="40"/>
        <v/>
      </c>
      <c r="N375" s="77" t="str">
        <f t="shared" si="46"/>
        <v/>
      </c>
      <c r="O375" s="75" t="str">
        <f t="shared" si="47"/>
        <v/>
      </c>
      <c r="P375" s="79" t="str">
        <f>IF(B375="","",SUM($K$6:K375)-SUM($L$6:L375))</f>
        <v/>
      </c>
      <c r="Q375" s="75" t="str">
        <f t="shared" si="41"/>
        <v/>
      </c>
      <c r="R375" s="84"/>
      <c r="S375" s="84"/>
    </row>
    <row r="376" spans="1:19" x14ac:dyDescent="0.35">
      <c r="A376" s="75" t="str">
        <f t="shared" si="42"/>
        <v/>
      </c>
      <c r="B376" s="81"/>
      <c r="C376" s="75" t="str">
        <f t="shared" si="43"/>
        <v/>
      </c>
      <c r="D376" s="75" t="str">
        <f t="shared" si="44"/>
        <v/>
      </c>
      <c r="E376" s="14"/>
      <c r="F376" s="14"/>
      <c r="G376" s="14"/>
      <c r="H376" s="75" t="str">
        <f t="shared" si="45"/>
        <v/>
      </c>
      <c r="I376" s="77" t="str">
        <f>IF(G376="","",IFERROR(VLOOKUP(G376,'Plan Comptable'!$B$5:$C$278,2,FALSE),"Compte inconnu"))</f>
        <v/>
      </c>
      <c r="J376" s="83"/>
      <c r="K376" s="83"/>
      <c r="L376" s="14"/>
      <c r="M376" s="32" t="str">
        <f t="shared" si="40"/>
        <v/>
      </c>
      <c r="N376" s="77" t="str">
        <f t="shared" si="46"/>
        <v/>
      </c>
      <c r="O376" s="75" t="str">
        <f t="shared" si="47"/>
        <v/>
      </c>
      <c r="P376" s="79" t="str">
        <f>IF(B376="","",SUM($K$6:K376)-SUM($L$6:L376))</f>
        <v/>
      </c>
      <c r="Q376" s="75" t="str">
        <f t="shared" si="41"/>
        <v/>
      </c>
      <c r="R376" s="84"/>
      <c r="S376" s="84"/>
    </row>
    <row r="377" spans="1:19" x14ac:dyDescent="0.35">
      <c r="A377" s="75" t="str">
        <f t="shared" si="42"/>
        <v/>
      </c>
      <c r="B377" s="81"/>
      <c r="C377" s="75" t="str">
        <f t="shared" si="43"/>
        <v/>
      </c>
      <c r="D377" s="75" t="str">
        <f t="shared" si="44"/>
        <v/>
      </c>
      <c r="E377" s="14"/>
      <c r="F377" s="14"/>
      <c r="G377" s="14"/>
      <c r="H377" s="75" t="str">
        <f t="shared" si="45"/>
        <v/>
      </c>
      <c r="I377" s="77" t="str">
        <f>IF(G377="","",IFERROR(VLOOKUP(G377,'Plan Comptable'!$B$5:$C$278,2,FALSE),"Compte inconnu"))</f>
        <v/>
      </c>
      <c r="J377" s="83"/>
      <c r="K377" s="83"/>
      <c r="L377" s="14"/>
      <c r="M377" s="32" t="str">
        <f t="shared" si="40"/>
        <v/>
      </c>
      <c r="N377" s="77" t="str">
        <f t="shared" si="46"/>
        <v/>
      </c>
      <c r="O377" s="75" t="str">
        <f t="shared" si="47"/>
        <v/>
      </c>
      <c r="P377" s="79" t="str">
        <f>IF(B377="","",SUM($K$6:K377)-SUM($L$6:L377))</f>
        <v/>
      </c>
      <c r="Q377" s="75" t="str">
        <f t="shared" si="41"/>
        <v/>
      </c>
      <c r="R377" s="84"/>
      <c r="S377" s="84"/>
    </row>
    <row r="378" spans="1:19" x14ac:dyDescent="0.35">
      <c r="A378" s="75" t="str">
        <f t="shared" si="42"/>
        <v/>
      </c>
      <c r="B378" s="81"/>
      <c r="C378" s="75" t="str">
        <f t="shared" si="43"/>
        <v/>
      </c>
      <c r="D378" s="75" t="str">
        <f t="shared" si="44"/>
        <v/>
      </c>
      <c r="E378" s="14"/>
      <c r="F378" s="14"/>
      <c r="G378" s="14"/>
      <c r="H378" s="75" t="str">
        <f t="shared" si="45"/>
        <v/>
      </c>
      <c r="I378" s="77" t="str">
        <f>IF(G378="","",IFERROR(VLOOKUP(G378,'Plan Comptable'!$B$5:$C$278,2,FALSE),"Compte inconnu"))</f>
        <v/>
      </c>
      <c r="J378" s="83"/>
      <c r="K378" s="83"/>
      <c r="L378" s="14"/>
      <c r="M378" s="32" t="str">
        <f t="shared" si="40"/>
        <v/>
      </c>
      <c r="N378" s="77" t="str">
        <f t="shared" si="46"/>
        <v/>
      </c>
      <c r="O378" s="75" t="str">
        <f t="shared" si="47"/>
        <v/>
      </c>
      <c r="P378" s="79" t="str">
        <f>IF(B378="","",SUM($K$6:K378)-SUM($L$6:L378))</f>
        <v/>
      </c>
      <c r="Q378" s="75" t="str">
        <f t="shared" si="41"/>
        <v/>
      </c>
      <c r="R378" s="84"/>
      <c r="S378" s="84"/>
    </row>
    <row r="379" spans="1:19" x14ac:dyDescent="0.35">
      <c r="A379" s="75" t="str">
        <f t="shared" si="42"/>
        <v/>
      </c>
      <c r="B379" s="81"/>
      <c r="C379" s="75" t="str">
        <f t="shared" si="43"/>
        <v/>
      </c>
      <c r="D379" s="75" t="str">
        <f t="shared" si="44"/>
        <v/>
      </c>
      <c r="E379" s="14"/>
      <c r="F379" s="14"/>
      <c r="G379" s="14"/>
      <c r="H379" s="75" t="str">
        <f t="shared" si="45"/>
        <v/>
      </c>
      <c r="I379" s="77" t="str">
        <f>IF(G379="","",IFERROR(VLOOKUP(G379,'Plan Comptable'!$B$5:$C$278,2,FALSE),"Compte inconnu"))</f>
        <v/>
      </c>
      <c r="J379" s="83"/>
      <c r="K379" s="83"/>
      <c r="L379" s="14"/>
      <c r="M379" s="32" t="str">
        <f t="shared" si="40"/>
        <v/>
      </c>
      <c r="N379" s="77" t="str">
        <f t="shared" si="46"/>
        <v/>
      </c>
      <c r="O379" s="75" t="str">
        <f t="shared" si="47"/>
        <v/>
      </c>
      <c r="P379" s="79" t="str">
        <f>IF(B379="","",SUM($K$6:K379)-SUM($L$6:L379))</f>
        <v/>
      </c>
      <c r="Q379" s="75" t="str">
        <f t="shared" si="41"/>
        <v/>
      </c>
      <c r="R379" s="84"/>
      <c r="S379" s="84"/>
    </row>
    <row r="380" spans="1:19" x14ac:dyDescent="0.35">
      <c r="A380" s="75" t="str">
        <f t="shared" si="42"/>
        <v/>
      </c>
      <c r="B380" s="81"/>
      <c r="C380" s="75" t="str">
        <f t="shared" si="43"/>
        <v/>
      </c>
      <c r="D380" s="75" t="str">
        <f t="shared" si="44"/>
        <v/>
      </c>
      <c r="E380" s="14"/>
      <c r="F380" s="14"/>
      <c r="G380" s="14"/>
      <c r="H380" s="75" t="str">
        <f t="shared" si="45"/>
        <v/>
      </c>
      <c r="I380" s="77" t="str">
        <f>IF(G380="","",IFERROR(VLOOKUP(G380,'Plan Comptable'!$B$5:$C$278,2,FALSE),"Compte inconnu"))</f>
        <v/>
      </c>
      <c r="J380" s="83"/>
      <c r="K380" s="83"/>
      <c r="L380" s="14"/>
      <c r="M380" s="32" t="str">
        <f t="shared" si="40"/>
        <v/>
      </c>
      <c r="N380" s="77" t="str">
        <f t="shared" si="46"/>
        <v/>
      </c>
      <c r="O380" s="75" t="str">
        <f t="shared" si="47"/>
        <v/>
      </c>
      <c r="P380" s="79" t="str">
        <f>IF(B380="","",SUM($K$6:K380)-SUM($L$6:L380))</f>
        <v/>
      </c>
      <c r="Q380" s="75" t="str">
        <f t="shared" si="41"/>
        <v/>
      </c>
      <c r="R380" s="84"/>
      <c r="S380" s="84"/>
    </row>
    <row r="381" spans="1:19" x14ac:dyDescent="0.35">
      <c r="A381" s="75" t="str">
        <f t="shared" si="42"/>
        <v/>
      </c>
      <c r="B381" s="81"/>
      <c r="C381" s="75" t="str">
        <f t="shared" si="43"/>
        <v/>
      </c>
      <c r="D381" s="75" t="str">
        <f t="shared" si="44"/>
        <v/>
      </c>
      <c r="E381" s="14"/>
      <c r="F381" s="14"/>
      <c r="G381" s="14"/>
      <c r="H381" s="75" t="str">
        <f t="shared" si="45"/>
        <v/>
      </c>
      <c r="I381" s="77" t="str">
        <f>IF(G381="","",IFERROR(VLOOKUP(G381,'Plan Comptable'!$B$5:$C$278,2,FALSE),"Compte inconnu"))</f>
        <v/>
      </c>
      <c r="J381" s="83"/>
      <c r="K381" s="83"/>
      <c r="L381" s="14"/>
      <c r="M381" s="32" t="str">
        <f t="shared" si="40"/>
        <v/>
      </c>
      <c r="N381" s="77" t="str">
        <f t="shared" si="46"/>
        <v/>
      </c>
      <c r="O381" s="75" t="str">
        <f t="shared" si="47"/>
        <v/>
      </c>
      <c r="P381" s="79" t="str">
        <f>IF(B381="","",SUM($K$6:K381)-SUM($L$6:L381))</f>
        <v/>
      </c>
      <c r="Q381" s="75" t="str">
        <f t="shared" si="41"/>
        <v/>
      </c>
      <c r="R381" s="84"/>
      <c r="S381" s="84"/>
    </row>
    <row r="382" spans="1:19" x14ac:dyDescent="0.35">
      <c r="A382" s="75" t="str">
        <f t="shared" si="42"/>
        <v/>
      </c>
      <c r="B382" s="81"/>
      <c r="C382" s="75" t="str">
        <f t="shared" si="43"/>
        <v/>
      </c>
      <c r="D382" s="75" t="str">
        <f t="shared" si="44"/>
        <v/>
      </c>
      <c r="E382" s="14"/>
      <c r="F382" s="14"/>
      <c r="G382" s="14"/>
      <c r="H382" s="75" t="str">
        <f t="shared" si="45"/>
        <v/>
      </c>
      <c r="I382" s="77" t="str">
        <f>IF(G382="","",IFERROR(VLOOKUP(G382,'Plan Comptable'!$B$5:$C$278,2,FALSE),"Compte inconnu"))</f>
        <v/>
      </c>
      <c r="J382" s="83"/>
      <c r="K382" s="83"/>
      <c r="L382" s="14"/>
      <c r="M382" s="32" t="str">
        <f t="shared" si="40"/>
        <v/>
      </c>
      <c r="N382" s="77" t="str">
        <f t="shared" si="46"/>
        <v/>
      </c>
      <c r="O382" s="75" t="str">
        <f t="shared" si="47"/>
        <v/>
      </c>
      <c r="P382" s="79" t="str">
        <f>IF(B382="","",SUM($K$6:K382)-SUM($L$6:L382))</f>
        <v/>
      </c>
      <c r="Q382" s="75" t="str">
        <f t="shared" si="41"/>
        <v/>
      </c>
      <c r="R382" s="84"/>
      <c r="S382" s="84"/>
    </row>
    <row r="383" spans="1:19" x14ac:dyDescent="0.35">
      <c r="A383" s="75" t="str">
        <f t="shared" si="42"/>
        <v/>
      </c>
      <c r="B383" s="81"/>
      <c r="C383" s="75" t="str">
        <f t="shared" si="43"/>
        <v/>
      </c>
      <c r="D383" s="75" t="str">
        <f t="shared" si="44"/>
        <v/>
      </c>
      <c r="E383" s="14"/>
      <c r="F383" s="14"/>
      <c r="G383" s="14"/>
      <c r="H383" s="75" t="str">
        <f t="shared" si="45"/>
        <v/>
      </c>
      <c r="I383" s="77" t="str">
        <f>IF(G383="","",IFERROR(VLOOKUP(G383,'Plan Comptable'!$B$5:$C$278,2,FALSE),"Compte inconnu"))</f>
        <v/>
      </c>
      <c r="J383" s="83"/>
      <c r="K383" s="83"/>
      <c r="L383" s="14"/>
      <c r="M383" s="32" t="str">
        <f t="shared" si="40"/>
        <v/>
      </c>
      <c r="N383" s="77" t="str">
        <f t="shared" si="46"/>
        <v/>
      </c>
      <c r="O383" s="75" t="str">
        <f t="shared" si="47"/>
        <v/>
      </c>
      <c r="P383" s="79" t="str">
        <f>IF(B383="","",SUM($K$6:K383)-SUM($L$6:L383))</f>
        <v/>
      </c>
      <c r="Q383" s="75" t="str">
        <f t="shared" si="41"/>
        <v/>
      </c>
      <c r="R383" s="84"/>
      <c r="S383" s="84"/>
    </row>
    <row r="384" spans="1:19" x14ac:dyDescent="0.35">
      <c r="A384" s="75" t="str">
        <f t="shared" si="42"/>
        <v/>
      </c>
      <c r="B384" s="81"/>
      <c r="C384" s="75" t="str">
        <f t="shared" si="43"/>
        <v/>
      </c>
      <c r="D384" s="75" t="str">
        <f t="shared" si="44"/>
        <v/>
      </c>
      <c r="E384" s="14"/>
      <c r="F384" s="14"/>
      <c r="G384" s="14"/>
      <c r="H384" s="75" t="str">
        <f t="shared" si="45"/>
        <v/>
      </c>
      <c r="I384" s="77" t="str">
        <f>IF(G384="","",IFERROR(VLOOKUP(G384,'Plan Comptable'!$B$5:$C$278,2,FALSE),"Compte inconnu"))</f>
        <v/>
      </c>
      <c r="J384" s="83"/>
      <c r="K384" s="83"/>
      <c r="L384" s="14"/>
      <c r="M384" s="32" t="str">
        <f t="shared" si="40"/>
        <v/>
      </c>
      <c r="N384" s="77" t="str">
        <f t="shared" si="46"/>
        <v/>
      </c>
      <c r="O384" s="75" t="str">
        <f t="shared" si="47"/>
        <v/>
      </c>
      <c r="P384" s="79" t="str">
        <f>IF(B384="","",SUM($K$6:K384)-SUM($L$6:L384))</f>
        <v/>
      </c>
      <c r="Q384" s="75" t="str">
        <f t="shared" si="41"/>
        <v/>
      </c>
      <c r="R384" s="84"/>
      <c r="S384" s="84"/>
    </row>
    <row r="385" spans="1:19" x14ac:dyDescent="0.35">
      <c r="A385" s="75" t="str">
        <f t="shared" si="42"/>
        <v/>
      </c>
      <c r="B385" s="81"/>
      <c r="C385" s="75" t="str">
        <f t="shared" si="43"/>
        <v/>
      </c>
      <c r="D385" s="75" t="str">
        <f t="shared" si="44"/>
        <v/>
      </c>
      <c r="E385" s="14"/>
      <c r="F385" s="14"/>
      <c r="G385" s="14"/>
      <c r="H385" s="75" t="str">
        <f t="shared" si="45"/>
        <v/>
      </c>
      <c r="I385" s="77" t="str">
        <f>IF(G385="","",IFERROR(VLOOKUP(G385,'Plan Comptable'!$B$5:$C$278,2,FALSE),"Compte inconnu"))</f>
        <v/>
      </c>
      <c r="J385" s="83"/>
      <c r="K385" s="83"/>
      <c r="L385" s="14"/>
      <c r="M385" s="32" t="str">
        <f t="shared" si="40"/>
        <v/>
      </c>
      <c r="N385" s="77" t="str">
        <f t="shared" si="46"/>
        <v/>
      </c>
      <c r="O385" s="75" t="str">
        <f t="shared" si="47"/>
        <v/>
      </c>
      <c r="P385" s="79" t="str">
        <f>IF(B385="","",SUM($K$6:K385)-SUM($L$6:L385))</f>
        <v/>
      </c>
      <c r="Q385" s="75" t="str">
        <f t="shared" si="41"/>
        <v/>
      </c>
      <c r="R385" s="84"/>
      <c r="S385" s="84"/>
    </row>
    <row r="386" spans="1:19" x14ac:dyDescent="0.35">
      <c r="A386" s="75" t="str">
        <f t="shared" si="42"/>
        <v/>
      </c>
      <c r="B386" s="81"/>
      <c r="C386" s="75" t="str">
        <f t="shared" si="43"/>
        <v/>
      </c>
      <c r="D386" s="75" t="str">
        <f t="shared" si="44"/>
        <v/>
      </c>
      <c r="E386" s="14"/>
      <c r="F386" s="14"/>
      <c r="G386" s="14"/>
      <c r="H386" s="75" t="str">
        <f t="shared" si="45"/>
        <v/>
      </c>
      <c r="I386" s="77" t="str">
        <f>IF(G386="","",IFERROR(VLOOKUP(G386,'Plan Comptable'!$B$5:$C$278,2,FALSE),"Compte inconnu"))</f>
        <v/>
      </c>
      <c r="J386" s="83"/>
      <c r="K386" s="83"/>
      <c r="L386" s="14"/>
      <c r="M386" s="32" t="str">
        <f t="shared" si="40"/>
        <v/>
      </c>
      <c r="N386" s="77" t="str">
        <f t="shared" si="46"/>
        <v/>
      </c>
      <c r="O386" s="75" t="str">
        <f t="shared" si="47"/>
        <v/>
      </c>
      <c r="P386" s="79" t="str">
        <f>IF(B386="","",SUM($K$6:K386)-SUM($L$6:L386))</f>
        <v/>
      </c>
      <c r="Q386" s="75" t="str">
        <f t="shared" si="41"/>
        <v/>
      </c>
      <c r="R386" s="84"/>
      <c r="S386" s="84"/>
    </row>
    <row r="387" spans="1:19" x14ac:dyDescent="0.35">
      <c r="A387" s="75" t="str">
        <f t="shared" si="42"/>
        <v/>
      </c>
      <c r="B387" s="81"/>
      <c r="C387" s="75" t="str">
        <f t="shared" si="43"/>
        <v/>
      </c>
      <c r="D387" s="75" t="str">
        <f t="shared" si="44"/>
        <v/>
      </c>
      <c r="E387" s="14"/>
      <c r="F387" s="14"/>
      <c r="G387" s="14"/>
      <c r="H387" s="75" t="str">
        <f t="shared" si="45"/>
        <v/>
      </c>
      <c r="I387" s="77" t="str">
        <f>IF(G387="","",IFERROR(VLOOKUP(G387,'Plan Comptable'!$B$5:$C$278,2,FALSE),"Compte inconnu"))</f>
        <v/>
      </c>
      <c r="J387" s="83"/>
      <c r="K387" s="83"/>
      <c r="L387" s="14"/>
      <c r="M387" s="32" t="str">
        <f t="shared" si="40"/>
        <v/>
      </c>
      <c r="N387" s="77" t="str">
        <f t="shared" si="46"/>
        <v/>
      </c>
      <c r="O387" s="75" t="str">
        <f t="shared" si="47"/>
        <v/>
      </c>
      <c r="P387" s="79" t="str">
        <f>IF(B387="","",SUM($K$6:K387)-SUM($L$6:L387))</f>
        <v/>
      </c>
      <c r="Q387" s="75" t="str">
        <f t="shared" si="41"/>
        <v/>
      </c>
      <c r="R387" s="84"/>
      <c r="S387" s="84"/>
    </row>
    <row r="388" spans="1:19" x14ac:dyDescent="0.35">
      <c r="A388" s="75" t="str">
        <f t="shared" si="42"/>
        <v/>
      </c>
      <c r="B388" s="81"/>
      <c r="C388" s="75" t="str">
        <f t="shared" si="43"/>
        <v/>
      </c>
      <c r="D388" s="75" t="str">
        <f t="shared" si="44"/>
        <v/>
      </c>
      <c r="E388" s="14"/>
      <c r="F388" s="14"/>
      <c r="G388" s="14"/>
      <c r="H388" s="75" t="str">
        <f t="shared" si="45"/>
        <v/>
      </c>
      <c r="I388" s="77" t="str">
        <f>IF(G388="","",IFERROR(VLOOKUP(G388,'Plan Comptable'!$B$5:$C$278,2,FALSE),"Compte inconnu"))</f>
        <v/>
      </c>
      <c r="J388" s="83"/>
      <c r="K388" s="83"/>
      <c r="L388" s="14"/>
      <c r="M388" s="32" t="str">
        <f t="shared" si="40"/>
        <v/>
      </c>
      <c r="N388" s="77" t="str">
        <f t="shared" si="46"/>
        <v/>
      </c>
      <c r="O388" s="75" t="str">
        <f t="shared" si="47"/>
        <v/>
      </c>
      <c r="P388" s="79" t="str">
        <f>IF(B388="","",SUM($K$6:K388)-SUM($L$6:L388))</f>
        <v/>
      </c>
      <c r="Q388" s="75" t="str">
        <f t="shared" si="41"/>
        <v/>
      </c>
      <c r="R388" s="84"/>
      <c r="S388" s="84"/>
    </row>
    <row r="389" spans="1:19" x14ac:dyDescent="0.35">
      <c r="A389" s="75" t="str">
        <f t="shared" si="42"/>
        <v/>
      </c>
      <c r="B389" s="81"/>
      <c r="C389" s="75" t="str">
        <f t="shared" si="43"/>
        <v/>
      </c>
      <c r="D389" s="75" t="str">
        <f t="shared" si="44"/>
        <v/>
      </c>
      <c r="E389" s="14"/>
      <c r="F389" s="14"/>
      <c r="G389" s="14"/>
      <c r="H389" s="75" t="str">
        <f t="shared" si="45"/>
        <v/>
      </c>
      <c r="I389" s="77" t="str">
        <f>IF(G389="","",IFERROR(VLOOKUP(G389,'Plan Comptable'!$B$5:$C$278,2,FALSE),"Compte inconnu"))</f>
        <v/>
      </c>
      <c r="J389" s="83"/>
      <c r="K389" s="83"/>
      <c r="L389" s="14"/>
      <c r="M389" s="32" t="str">
        <f t="shared" si="40"/>
        <v/>
      </c>
      <c r="N389" s="77" t="str">
        <f t="shared" si="46"/>
        <v/>
      </c>
      <c r="O389" s="75" t="str">
        <f t="shared" si="47"/>
        <v/>
      </c>
      <c r="P389" s="79" t="str">
        <f>IF(B389="","",SUM($K$6:K389)-SUM($L$6:L389))</f>
        <v/>
      </c>
      <c r="Q389" s="75" t="str">
        <f t="shared" si="41"/>
        <v/>
      </c>
      <c r="R389" s="84"/>
      <c r="S389" s="84"/>
    </row>
    <row r="390" spans="1:19" x14ac:dyDescent="0.35">
      <c r="A390" s="75" t="str">
        <f t="shared" si="42"/>
        <v/>
      </c>
      <c r="B390" s="81"/>
      <c r="C390" s="75" t="str">
        <f t="shared" si="43"/>
        <v/>
      </c>
      <c r="D390" s="75" t="str">
        <f t="shared" si="44"/>
        <v/>
      </c>
      <c r="E390" s="14"/>
      <c r="F390" s="14"/>
      <c r="G390" s="14"/>
      <c r="H390" s="75" t="str">
        <f t="shared" si="45"/>
        <v/>
      </c>
      <c r="I390" s="77" t="str">
        <f>IF(G390="","",IFERROR(VLOOKUP(G390,'Plan Comptable'!$B$5:$C$278,2,FALSE),"Compte inconnu"))</f>
        <v/>
      </c>
      <c r="J390" s="83"/>
      <c r="K390" s="83"/>
      <c r="L390" s="14"/>
      <c r="M390" s="32" t="str">
        <f t="shared" ref="M390:M453" si="48">IF(B390="","",IF(AND(OR(K390="",L390=""),K390&lt;&gt;L390),"",IF(AND(K390&lt;&gt;"",L390&lt;&gt;"",ABS(K390-L390)&gt;=0.01),"⚠ D/C",IF(AND(E390&lt;&gt;"",F390&lt;&gt;"",COUNTIFS($F$6:$F$508,F390,$E$6:$E$508,E390)&gt;1),"⚠ DBL",IF(AND(E390&lt;&gt;"",ABS(SUMIF($E$6:$E$507,E390,$K$6:$K$507)-SUMIF($E$6:$E$507,E390,$L$6:$L$507))&gt;=0.01),"⚠ PÈC",IF(AND(DebutExercice&lt;&gt;"",FinExercice&lt;&gt;"",OR(B390&lt;DebutExercice,B390&gt;FinExercice)),"⚠ DATE","✓"))))))</f>
        <v/>
      </c>
      <c r="N390" s="77" t="str">
        <f t="shared" si="46"/>
        <v/>
      </c>
      <c r="O390" s="75" t="str">
        <f t="shared" si="47"/>
        <v/>
      </c>
      <c r="P390" s="79" t="str">
        <f>IF(B390="","",SUM($K$6:K390)-SUM($L$6:L390))</f>
        <v/>
      </c>
      <c r="Q390" s="75" t="str">
        <f t="shared" ref="Q390:Q453" si="49">IF(B390="","",IF(OR(DebutExercice="",FinExercice=""),"?",IF(AND(B390&gt;=DebutExercice,B390&lt;=FinExercice),"✓","⚠ Hors")))</f>
        <v/>
      </c>
      <c r="R390" s="84"/>
      <c r="S390" s="84"/>
    </row>
    <row r="391" spans="1:19" x14ac:dyDescent="0.35">
      <c r="A391" s="75" t="str">
        <f t="shared" ref="A391:A454" si="50">IF(B391="","",ROW()-4)</f>
        <v/>
      </c>
      <c r="B391" s="81"/>
      <c r="C391" s="75" t="str">
        <f t="shared" ref="C391:C454" si="51">IF(B391="","",MONTH(B391))</f>
        <v/>
      </c>
      <c r="D391" s="75" t="str">
        <f t="shared" ref="D391:D454" si="52">IF(B391="","",YEAR(B391))</f>
        <v/>
      </c>
      <c r="E391" s="14"/>
      <c r="F391" s="14"/>
      <c r="G391" s="14"/>
      <c r="H391" s="75" t="str">
        <f t="shared" ref="H391:H454" si="53">IF(G391="","",LEFT(G391,1))</f>
        <v/>
      </c>
      <c r="I391" s="77" t="str">
        <f>IF(G391="","",IFERROR(VLOOKUP(G391,'Plan Comptable'!$B$5:$C$278,2,FALSE),"Compte inconnu"))</f>
        <v/>
      </c>
      <c r="J391" s="83"/>
      <c r="K391" s="83"/>
      <c r="L391" s="14"/>
      <c r="M391" s="32" t="str">
        <f t="shared" si="48"/>
        <v/>
      </c>
      <c r="N391" s="77" t="str">
        <f t="shared" ref="N391:N454" si="54">IF(OR(E391="",F391=""),"",IF(COUNTIFS($F$6:$F$508,F391,$E$6:$E$508,E391)&gt;1,"DOUBLON",""))</f>
        <v/>
      </c>
      <c r="O391" s="75" t="str">
        <f t="shared" ref="O391:O454" si="55">IF(E391="","",IF(ABS(SUMIF($E$6:$E$507,E391,$K$6:$K$507)-SUMIF($E$6:$E$507,E391,$L$6:$L$507))&lt;0.01,"✓","⚠"))</f>
        <v/>
      </c>
      <c r="P391" s="79" t="str">
        <f>IF(B391="","",SUM($K$6:K391)-SUM($L$6:L391))</f>
        <v/>
      </c>
      <c r="Q391" s="75" t="str">
        <f t="shared" si="49"/>
        <v/>
      </c>
      <c r="R391" s="84"/>
      <c r="S391" s="84"/>
    </row>
    <row r="392" spans="1:19" x14ac:dyDescent="0.35">
      <c r="A392" s="75" t="str">
        <f t="shared" si="50"/>
        <v/>
      </c>
      <c r="B392" s="81"/>
      <c r="C392" s="75" t="str">
        <f t="shared" si="51"/>
        <v/>
      </c>
      <c r="D392" s="75" t="str">
        <f t="shared" si="52"/>
        <v/>
      </c>
      <c r="E392" s="14"/>
      <c r="F392" s="14"/>
      <c r="G392" s="14"/>
      <c r="H392" s="75" t="str">
        <f t="shared" si="53"/>
        <v/>
      </c>
      <c r="I392" s="77" t="str">
        <f>IF(G392="","",IFERROR(VLOOKUP(G392,'Plan Comptable'!$B$5:$C$278,2,FALSE),"Compte inconnu"))</f>
        <v/>
      </c>
      <c r="J392" s="83"/>
      <c r="K392" s="83"/>
      <c r="L392" s="14"/>
      <c r="M392" s="32" t="str">
        <f t="shared" si="48"/>
        <v/>
      </c>
      <c r="N392" s="77" t="str">
        <f t="shared" si="54"/>
        <v/>
      </c>
      <c r="O392" s="75" t="str">
        <f t="shared" si="55"/>
        <v/>
      </c>
      <c r="P392" s="79" t="str">
        <f>IF(B392="","",SUM($K$6:K392)-SUM($L$6:L392))</f>
        <v/>
      </c>
      <c r="Q392" s="75" t="str">
        <f t="shared" si="49"/>
        <v/>
      </c>
      <c r="R392" s="84"/>
      <c r="S392" s="84"/>
    </row>
    <row r="393" spans="1:19" x14ac:dyDescent="0.35">
      <c r="A393" s="75" t="str">
        <f t="shared" si="50"/>
        <v/>
      </c>
      <c r="B393" s="81"/>
      <c r="C393" s="75" t="str">
        <f t="shared" si="51"/>
        <v/>
      </c>
      <c r="D393" s="75" t="str">
        <f t="shared" si="52"/>
        <v/>
      </c>
      <c r="E393" s="14"/>
      <c r="F393" s="14"/>
      <c r="G393" s="14"/>
      <c r="H393" s="75" t="str">
        <f t="shared" si="53"/>
        <v/>
      </c>
      <c r="I393" s="77" t="str">
        <f>IF(G393="","",IFERROR(VLOOKUP(G393,'Plan Comptable'!$B$5:$C$278,2,FALSE),"Compte inconnu"))</f>
        <v/>
      </c>
      <c r="J393" s="83"/>
      <c r="K393" s="83"/>
      <c r="L393" s="14"/>
      <c r="M393" s="32" t="str">
        <f t="shared" si="48"/>
        <v/>
      </c>
      <c r="N393" s="77" t="str">
        <f t="shared" si="54"/>
        <v/>
      </c>
      <c r="O393" s="75" t="str">
        <f t="shared" si="55"/>
        <v/>
      </c>
      <c r="P393" s="79" t="str">
        <f>IF(B393="","",SUM($K$6:K393)-SUM($L$6:L393))</f>
        <v/>
      </c>
      <c r="Q393" s="75" t="str">
        <f t="shared" si="49"/>
        <v/>
      </c>
      <c r="R393" s="84"/>
      <c r="S393" s="84"/>
    </row>
    <row r="394" spans="1:19" x14ac:dyDescent="0.35">
      <c r="A394" s="75" t="str">
        <f t="shared" si="50"/>
        <v/>
      </c>
      <c r="B394" s="81"/>
      <c r="C394" s="75" t="str">
        <f t="shared" si="51"/>
        <v/>
      </c>
      <c r="D394" s="75" t="str">
        <f t="shared" si="52"/>
        <v/>
      </c>
      <c r="E394" s="14"/>
      <c r="F394" s="14"/>
      <c r="G394" s="14"/>
      <c r="H394" s="75" t="str">
        <f t="shared" si="53"/>
        <v/>
      </c>
      <c r="I394" s="77" t="str">
        <f>IF(G394="","",IFERROR(VLOOKUP(G394,'Plan Comptable'!$B$5:$C$278,2,FALSE),"Compte inconnu"))</f>
        <v/>
      </c>
      <c r="J394" s="83"/>
      <c r="K394" s="83"/>
      <c r="L394" s="14"/>
      <c r="M394" s="32" t="str">
        <f t="shared" si="48"/>
        <v/>
      </c>
      <c r="N394" s="77" t="str">
        <f t="shared" si="54"/>
        <v/>
      </c>
      <c r="O394" s="75" t="str">
        <f t="shared" si="55"/>
        <v/>
      </c>
      <c r="P394" s="79" t="str">
        <f>IF(B394="","",SUM($K$6:K394)-SUM($L$6:L394))</f>
        <v/>
      </c>
      <c r="Q394" s="75" t="str">
        <f t="shared" si="49"/>
        <v/>
      </c>
      <c r="R394" s="84"/>
      <c r="S394" s="84"/>
    </row>
    <row r="395" spans="1:19" x14ac:dyDescent="0.35">
      <c r="A395" s="75" t="str">
        <f t="shared" si="50"/>
        <v/>
      </c>
      <c r="B395" s="81"/>
      <c r="C395" s="75" t="str">
        <f t="shared" si="51"/>
        <v/>
      </c>
      <c r="D395" s="75" t="str">
        <f t="shared" si="52"/>
        <v/>
      </c>
      <c r="E395" s="14"/>
      <c r="F395" s="14"/>
      <c r="G395" s="14"/>
      <c r="H395" s="75" t="str">
        <f t="shared" si="53"/>
        <v/>
      </c>
      <c r="I395" s="77" t="str">
        <f>IF(G395="","",IFERROR(VLOOKUP(G395,'Plan Comptable'!$B$5:$C$278,2,FALSE),"Compte inconnu"))</f>
        <v/>
      </c>
      <c r="J395" s="83"/>
      <c r="K395" s="83"/>
      <c r="L395" s="14"/>
      <c r="M395" s="32" t="str">
        <f t="shared" si="48"/>
        <v/>
      </c>
      <c r="N395" s="77" t="str">
        <f t="shared" si="54"/>
        <v/>
      </c>
      <c r="O395" s="75" t="str">
        <f t="shared" si="55"/>
        <v/>
      </c>
      <c r="P395" s="79" t="str">
        <f>IF(B395="","",SUM($K$6:K395)-SUM($L$6:L395))</f>
        <v/>
      </c>
      <c r="Q395" s="75" t="str">
        <f t="shared" si="49"/>
        <v/>
      </c>
      <c r="R395" s="84"/>
      <c r="S395" s="84"/>
    </row>
    <row r="396" spans="1:19" x14ac:dyDescent="0.35">
      <c r="A396" s="75" t="str">
        <f t="shared" si="50"/>
        <v/>
      </c>
      <c r="B396" s="81"/>
      <c r="C396" s="75" t="str">
        <f t="shared" si="51"/>
        <v/>
      </c>
      <c r="D396" s="75" t="str">
        <f t="shared" si="52"/>
        <v/>
      </c>
      <c r="E396" s="14"/>
      <c r="F396" s="14"/>
      <c r="G396" s="14"/>
      <c r="H396" s="75" t="str">
        <f t="shared" si="53"/>
        <v/>
      </c>
      <c r="I396" s="77" t="str">
        <f>IF(G396="","",IFERROR(VLOOKUP(G396,'Plan Comptable'!$B$5:$C$278,2,FALSE),"Compte inconnu"))</f>
        <v/>
      </c>
      <c r="J396" s="83"/>
      <c r="K396" s="83"/>
      <c r="L396" s="14"/>
      <c r="M396" s="32" t="str">
        <f t="shared" si="48"/>
        <v/>
      </c>
      <c r="N396" s="77" t="str">
        <f t="shared" si="54"/>
        <v/>
      </c>
      <c r="O396" s="75" t="str">
        <f t="shared" si="55"/>
        <v/>
      </c>
      <c r="P396" s="79" t="str">
        <f>IF(B396="","",SUM($K$6:K396)-SUM($L$6:L396))</f>
        <v/>
      </c>
      <c r="Q396" s="75" t="str">
        <f t="shared" si="49"/>
        <v/>
      </c>
      <c r="R396" s="84"/>
      <c r="S396" s="84"/>
    </row>
    <row r="397" spans="1:19" x14ac:dyDescent="0.35">
      <c r="A397" s="75" t="str">
        <f t="shared" si="50"/>
        <v/>
      </c>
      <c r="B397" s="81"/>
      <c r="C397" s="75" t="str">
        <f t="shared" si="51"/>
        <v/>
      </c>
      <c r="D397" s="75" t="str">
        <f t="shared" si="52"/>
        <v/>
      </c>
      <c r="E397" s="14"/>
      <c r="F397" s="14"/>
      <c r="G397" s="14"/>
      <c r="H397" s="75" t="str">
        <f t="shared" si="53"/>
        <v/>
      </c>
      <c r="I397" s="77" t="str">
        <f>IF(G397="","",IFERROR(VLOOKUP(G397,'Plan Comptable'!$B$5:$C$278,2,FALSE),"Compte inconnu"))</f>
        <v/>
      </c>
      <c r="J397" s="83"/>
      <c r="K397" s="83"/>
      <c r="L397" s="14"/>
      <c r="M397" s="32" t="str">
        <f t="shared" si="48"/>
        <v/>
      </c>
      <c r="N397" s="77" t="str">
        <f t="shared" si="54"/>
        <v/>
      </c>
      <c r="O397" s="75" t="str">
        <f t="shared" si="55"/>
        <v/>
      </c>
      <c r="P397" s="79" t="str">
        <f>IF(B397="","",SUM($K$6:K397)-SUM($L$6:L397))</f>
        <v/>
      </c>
      <c r="Q397" s="75" t="str">
        <f t="shared" si="49"/>
        <v/>
      </c>
      <c r="R397" s="84"/>
      <c r="S397" s="84"/>
    </row>
    <row r="398" spans="1:19" x14ac:dyDescent="0.35">
      <c r="A398" s="75" t="str">
        <f t="shared" si="50"/>
        <v/>
      </c>
      <c r="B398" s="81"/>
      <c r="C398" s="75" t="str">
        <f t="shared" si="51"/>
        <v/>
      </c>
      <c r="D398" s="75" t="str">
        <f t="shared" si="52"/>
        <v/>
      </c>
      <c r="E398" s="14"/>
      <c r="F398" s="14"/>
      <c r="G398" s="14"/>
      <c r="H398" s="75" t="str">
        <f t="shared" si="53"/>
        <v/>
      </c>
      <c r="I398" s="77" t="str">
        <f>IF(G398="","",IFERROR(VLOOKUP(G398,'Plan Comptable'!$B$5:$C$278,2,FALSE),"Compte inconnu"))</f>
        <v/>
      </c>
      <c r="J398" s="83"/>
      <c r="K398" s="83"/>
      <c r="L398" s="14"/>
      <c r="M398" s="32" t="str">
        <f t="shared" si="48"/>
        <v/>
      </c>
      <c r="N398" s="77" t="str">
        <f t="shared" si="54"/>
        <v/>
      </c>
      <c r="O398" s="75" t="str">
        <f t="shared" si="55"/>
        <v/>
      </c>
      <c r="P398" s="79" t="str">
        <f>IF(B398="","",SUM($K$6:K398)-SUM($L$6:L398))</f>
        <v/>
      </c>
      <c r="Q398" s="75" t="str">
        <f t="shared" si="49"/>
        <v/>
      </c>
      <c r="R398" s="84"/>
      <c r="S398" s="84"/>
    </row>
    <row r="399" spans="1:19" x14ac:dyDescent="0.35">
      <c r="A399" s="75" t="str">
        <f t="shared" si="50"/>
        <v/>
      </c>
      <c r="B399" s="81"/>
      <c r="C399" s="75" t="str">
        <f t="shared" si="51"/>
        <v/>
      </c>
      <c r="D399" s="75" t="str">
        <f t="shared" si="52"/>
        <v/>
      </c>
      <c r="E399" s="14"/>
      <c r="F399" s="14"/>
      <c r="G399" s="14"/>
      <c r="H399" s="75" t="str">
        <f t="shared" si="53"/>
        <v/>
      </c>
      <c r="I399" s="77" t="str">
        <f>IF(G399="","",IFERROR(VLOOKUP(G399,'Plan Comptable'!$B$5:$C$278,2,FALSE),"Compte inconnu"))</f>
        <v/>
      </c>
      <c r="J399" s="83"/>
      <c r="K399" s="83"/>
      <c r="L399" s="14"/>
      <c r="M399" s="32" t="str">
        <f t="shared" si="48"/>
        <v/>
      </c>
      <c r="N399" s="77" t="str">
        <f t="shared" si="54"/>
        <v/>
      </c>
      <c r="O399" s="75" t="str">
        <f t="shared" si="55"/>
        <v/>
      </c>
      <c r="P399" s="79" t="str">
        <f>IF(B399="","",SUM($K$6:K399)-SUM($L$6:L399))</f>
        <v/>
      </c>
      <c r="Q399" s="75" t="str">
        <f t="shared" si="49"/>
        <v/>
      </c>
      <c r="R399" s="84"/>
      <c r="S399" s="84"/>
    </row>
    <row r="400" spans="1:19" x14ac:dyDescent="0.35">
      <c r="A400" s="75" t="str">
        <f t="shared" si="50"/>
        <v/>
      </c>
      <c r="B400" s="81"/>
      <c r="C400" s="75" t="str">
        <f t="shared" si="51"/>
        <v/>
      </c>
      <c r="D400" s="75" t="str">
        <f t="shared" si="52"/>
        <v/>
      </c>
      <c r="E400" s="14"/>
      <c r="F400" s="14"/>
      <c r="G400" s="14"/>
      <c r="H400" s="75" t="str">
        <f t="shared" si="53"/>
        <v/>
      </c>
      <c r="I400" s="77" t="str">
        <f>IF(G400="","",IFERROR(VLOOKUP(G400,'Plan Comptable'!$B$5:$C$278,2,FALSE),"Compte inconnu"))</f>
        <v/>
      </c>
      <c r="J400" s="83"/>
      <c r="K400" s="83"/>
      <c r="L400" s="14"/>
      <c r="M400" s="32" t="str">
        <f t="shared" si="48"/>
        <v/>
      </c>
      <c r="N400" s="77" t="str">
        <f t="shared" si="54"/>
        <v/>
      </c>
      <c r="O400" s="75" t="str">
        <f t="shared" si="55"/>
        <v/>
      </c>
      <c r="P400" s="79" t="str">
        <f>IF(B400="","",SUM($K$6:K400)-SUM($L$6:L400))</f>
        <v/>
      </c>
      <c r="Q400" s="75" t="str">
        <f t="shared" si="49"/>
        <v/>
      </c>
      <c r="R400" s="84"/>
      <c r="S400" s="84"/>
    </row>
    <row r="401" spans="1:19" x14ac:dyDescent="0.35">
      <c r="A401" s="75" t="str">
        <f t="shared" si="50"/>
        <v/>
      </c>
      <c r="B401" s="81"/>
      <c r="C401" s="75" t="str">
        <f t="shared" si="51"/>
        <v/>
      </c>
      <c r="D401" s="75" t="str">
        <f t="shared" si="52"/>
        <v/>
      </c>
      <c r="E401" s="14"/>
      <c r="F401" s="14"/>
      <c r="G401" s="14"/>
      <c r="H401" s="75" t="str">
        <f t="shared" si="53"/>
        <v/>
      </c>
      <c r="I401" s="77" t="str">
        <f>IF(G401="","",IFERROR(VLOOKUP(G401,'Plan Comptable'!$B$5:$C$278,2,FALSE),"Compte inconnu"))</f>
        <v/>
      </c>
      <c r="J401" s="83"/>
      <c r="K401" s="83"/>
      <c r="L401" s="14"/>
      <c r="M401" s="32" t="str">
        <f t="shared" si="48"/>
        <v/>
      </c>
      <c r="N401" s="77" t="str">
        <f t="shared" si="54"/>
        <v/>
      </c>
      <c r="O401" s="75" t="str">
        <f t="shared" si="55"/>
        <v/>
      </c>
      <c r="P401" s="79" t="str">
        <f>IF(B401="","",SUM($K$6:K401)-SUM($L$6:L401))</f>
        <v/>
      </c>
      <c r="Q401" s="75" t="str">
        <f t="shared" si="49"/>
        <v/>
      </c>
      <c r="R401" s="84"/>
      <c r="S401" s="84"/>
    </row>
    <row r="402" spans="1:19" x14ac:dyDescent="0.35">
      <c r="A402" s="75" t="str">
        <f t="shared" si="50"/>
        <v/>
      </c>
      <c r="B402" s="81"/>
      <c r="C402" s="75" t="str">
        <f t="shared" si="51"/>
        <v/>
      </c>
      <c r="D402" s="75" t="str">
        <f t="shared" si="52"/>
        <v/>
      </c>
      <c r="E402" s="14"/>
      <c r="F402" s="14"/>
      <c r="G402" s="14"/>
      <c r="H402" s="75" t="str">
        <f t="shared" si="53"/>
        <v/>
      </c>
      <c r="I402" s="77" t="str">
        <f>IF(G402="","",IFERROR(VLOOKUP(G402,'Plan Comptable'!$B$5:$C$278,2,FALSE),"Compte inconnu"))</f>
        <v/>
      </c>
      <c r="J402" s="83"/>
      <c r="K402" s="83"/>
      <c r="L402" s="14"/>
      <c r="M402" s="32" t="str">
        <f t="shared" si="48"/>
        <v/>
      </c>
      <c r="N402" s="77" t="str">
        <f t="shared" si="54"/>
        <v/>
      </c>
      <c r="O402" s="75" t="str">
        <f t="shared" si="55"/>
        <v/>
      </c>
      <c r="P402" s="79" t="str">
        <f>IF(B402="","",SUM($K$6:K402)-SUM($L$6:L402))</f>
        <v/>
      </c>
      <c r="Q402" s="75" t="str">
        <f t="shared" si="49"/>
        <v/>
      </c>
      <c r="R402" s="84"/>
      <c r="S402" s="84"/>
    </row>
    <row r="403" spans="1:19" x14ac:dyDescent="0.35">
      <c r="A403" s="75" t="str">
        <f t="shared" si="50"/>
        <v/>
      </c>
      <c r="B403" s="81"/>
      <c r="C403" s="75" t="str">
        <f t="shared" si="51"/>
        <v/>
      </c>
      <c r="D403" s="75" t="str">
        <f t="shared" si="52"/>
        <v/>
      </c>
      <c r="E403" s="14"/>
      <c r="F403" s="14"/>
      <c r="G403" s="14"/>
      <c r="H403" s="75" t="str">
        <f t="shared" si="53"/>
        <v/>
      </c>
      <c r="I403" s="77" t="str">
        <f>IF(G403="","",IFERROR(VLOOKUP(G403,'Plan Comptable'!$B$5:$C$278,2,FALSE),"Compte inconnu"))</f>
        <v/>
      </c>
      <c r="J403" s="83"/>
      <c r="K403" s="83"/>
      <c r="L403" s="14"/>
      <c r="M403" s="32" t="str">
        <f t="shared" si="48"/>
        <v/>
      </c>
      <c r="N403" s="77" t="str">
        <f t="shared" si="54"/>
        <v/>
      </c>
      <c r="O403" s="75" t="str">
        <f t="shared" si="55"/>
        <v/>
      </c>
      <c r="P403" s="79" t="str">
        <f>IF(B403="","",SUM($K$6:K403)-SUM($L$6:L403))</f>
        <v/>
      </c>
      <c r="Q403" s="75" t="str">
        <f t="shared" si="49"/>
        <v/>
      </c>
      <c r="R403" s="84"/>
      <c r="S403" s="84"/>
    </row>
    <row r="404" spans="1:19" x14ac:dyDescent="0.35">
      <c r="A404" s="75" t="str">
        <f t="shared" si="50"/>
        <v/>
      </c>
      <c r="B404" s="81"/>
      <c r="C404" s="75" t="str">
        <f t="shared" si="51"/>
        <v/>
      </c>
      <c r="D404" s="75" t="str">
        <f t="shared" si="52"/>
        <v/>
      </c>
      <c r="E404" s="14"/>
      <c r="F404" s="14"/>
      <c r="G404" s="14"/>
      <c r="H404" s="75" t="str">
        <f t="shared" si="53"/>
        <v/>
      </c>
      <c r="I404" s="77" t="str">
        <f>IF(G404="","",IFERROR(VLOOKUP(G404,'Plan Comptable'!$B$5:$C$278,2,FALSE),"Compte inconnu"))</f>
        <v/>
      </c>
      <c r="J404" s="83"/>
      <c r="K404" s="83"/>
      <c r="L404" s="14"/>
      <c r="M404" s="32" t="str">
        <f t="shared" si="48"/>
        <v/>
      </c>
      <c r="N404" s="77" t="str">
        <f t="shared" si="54"/>
        <v/>
      </c>
      <c r="O404" s="75" t="str">
        <f t="shared" si="55"/>
        <v/>
      </c>
      <c r="P404" s="79" t="str">
        <f>IF(B404="","",SUM($K$6:K404)-SUM($L$6:L404))</f>
        <v/>
      </c>
      <c r="Q404" s="75" t="str">
        <f t="shared" si="49"/>
        <v/>
      </c>
      <c r="R404" s="84"/>
      <c r="S404" s="84"/>
    </row>
    <row r="405" spans="1:19" x14ac:dyDescent="0.35">
      <c r="A405" s="75" t="str">
        <f t="shared" si="50"/>
        <v/>
      </c>
      <c r="B405" s="81"/>
      <c r="C405" s="75" t="str">
        <f t="shared" si="51"/>
        <v/>
      </c>
      <c r="D405" s="75" t="str">
        <f t="shared" si="52"/>
        <v/>
      </c>
      <c r="E405" s="14"/>
      <c r="F405" s="14"/>
      <c r="G405" s="14"/>
      <c r="H405" s="75" t="str">
        <f t="shared" si="53"/>
        <v/>
      </c>
      <c r="I405" s="77" t="str">
        <f>IF(G405="","",IFERROR(VLOOKUP(G405,'Plan Comptable'!$B$5:$C$278,2,FALSE),"Compte inconnu"))</f>
        <v/>
      </c>
      <c r="J405" s="83"/>
      <c r="K405" s="83"/>
      <c r="L405" s="14"/>
      <c r="M405" s="32" t="str">
        <f t="shared" si="48"/>
        <v/>
      </c>
      <c r="N405" s="77" t="str">
        <f t="shared" si="54"/>
        <v/>
      </c>
      <c r="O405" s="75" t="str">
        <f t="shared" si="55"/>
        <v/>
      </c>
      <c r="P405" s="79" t="str">
        <f>IF(B405="","",SUM($K$6:K405)-SUM($L$6:L405))</f>
        <v/>
      </c>
      <c r="Q405" s="75" t="str">
        <f t="shared" si="49"/>
        <v/>
      </c>
      <c r="R405" s="84"/>
      <c r="S405" s="84"/>
    </row>
    <row r="406" spans="1:19" x14ac:dyDescent="0.35">
      <c r="A406" s="75" t="str">
        <f t="shared" si="50"/>
        <v/>
      </c>
      <c r="B406" s="81"/>
      <c r="C406" s="75" t="str">
        <f t="shared" si="51"/>
        <v/>
      </c>
      <c r="D406" s="75" t="str">
        <f t="shared" si="52"/>
        <v/>
      </c>
      <c r="E406" s="14"/>
      <c r="F406" s="14"/>
      <c r="G406" s="14"/>
      <c r="H406" s="75" t="str">
        <f t="shared" si="53"/>
        <v/>
      </c>
      <c r="I406" s="77" t="str">
        <f>IF(G406="","",IFERROR(VLOOKUP(G406,'Plan Comptable'!$B$5:$C$278,2,FALSE),"Compte inconnu"))</f>
        <v/>
      </c>
      <c r="J406" s="83"/>
      <c r="K406" s="83"/>
      <c r="L406" s="14"/>
      <c r="M406" s="32" t="str">
        <f t="shared" si="48"/>
        <v/>
      </c>
      <c r="N406" s="77" t="str">
        <f t="shared" si="54"/>
        <v/>
      </c>
      <c r="O406" s="75" t="str">
        <f t="shared" si="55"/>
        <v/>
      </c>
      <c r="P406" s="79" t="str">
        <f>IF(B406="","",SUM($K$6:K406)-SUM($L$6:L406))</f>
        <v/>
      </c>
      <c r="Q406" s="75" t="str">
        <f t="shared" si="49"/>
        <v/>
      </c>
      <c r="R406" s="84"/>
      <c r="S406" s="84"/>
    </row>
    <row r="407" spans="1:19" x14ac:dyDescent="0.35">
      <c r="A407" s="75" t="str">
        <f t="shared" si="50"/>
        <v/>
      </c>
      <c r="B407" s="81"/>
      <c r="C407" s="75" t="str">
        <f t="shared" si="51"/>
        <v/>
      </c>
      <c r="D407" s="75" t="str">
        <f t="shared" si="52"/>
        <v/>
      </c>
      <c r="E407" s="14"/>
      <c r="F407" s="14"/>
      <c r="G407" s="14"/>
      <c r="H407" s="75" t="str">
        <f t="shared" si="53"/>
        <v/>
      </c>
      <c r="I407" s="77" t="str">
        <f>IF(G407="","",IFERROR(VLOOKUP(G407,'Plan Comptable'!$B$5:$C$278,2,FALSE),"Compte inconnu"))</f>
        <v/>
      </c>
      <c r="J407" s="83"/>
      <c r="K407" s="83"/>
      <c r="L407" s="14"/>
      <c r="M407" s="32" t="str">
        <f t="shared" si="48"/>
        <v/>
      </c>
      <c r="N407" s="77" t="str">
        <f t="shared" si="54"/>
        <v/>
      </c>
      <c r="O407" s="75" t="str">
        <f t="shared" si="55"/>
        <v/>
      </c>
      <c r="P407" s="79" t="str">
        <f>IF(B407="","",SUM($K$6:K407)-SUM($L$6:L407))</f>
        <v/>
      </c>
      <c r="Q407" s="75" t="str">
        <f t="shared" si="49"/>
        <v/>
      </c>
      <c r="R407" s="84"/>
      <c r="S407" s="84"/>
    </row>
    <row r="408" spans="1:19" x14ac:dyDescent="0.35">
      <c r="A408" s="75" t="str">
        <f t="shared" si="50"/>
        <v/>
      </c>
      <c r="B408" s="81"/>
      <c r="C408" s="75" t="str">
        <f t="shared" si="51"/>
        <v/>
      </c>
      <c r="D408" s="75" t="str">
        <f t="shared" si="52"/>
        <v/>
      </c>
      <c r="E408" s="14"/>
      <c r="F408" s="14"/>
      <c r="G408" s="14"/>
      <c r="H408" s="75" t="str">
        <f t="shared" si="53"/>
        <v/>
      </c>
      <c r="I408" s="77" t="str">
        <f>IF(G408="","",IFERROR(VLOOKUP(G408,'Plan Comptable'!$B$5:$C$278,2,FALSE),"Compte inconnu"))</f>
        <v/>
      </c>
      <c r="J408" s="83"/>
      <c r="K408" s="83"/>
      <c r="L408" s="14"/>
      <c r="M408" s="32" t="str">
        <f t="shared" si="48"/>
        <v/>
      </c>
      <c r="N408" s="77" t="str">
        <f t="shared" si="54"/>
        <v/>
      </c>
      <c r="O408" s="75" t="str">
        <f t="shared" si="55"/>
        <v/>
      </c>
      <c r="P408" s="79" t="str">
        <f>IF(B408="","",SUM($K$6:K408)-SUM($L$6:L408))</f>
        <v/>
      </c>
      <c r="Q408" s="75" t="str">
        <f t="shared" si="49"/>
        <v/>
      </c>
      <c r="R408" s="84"/>
      <c r="S408" s="84"/>
    </row>
    <row r="409" spans="1:19" x14ac:dyDescent="0.35">
      <c r="A409" s="75" t="str">
        <f t="shared" si="50"/>
        <v/>
      </c>
      <c r="B409" s="81"/>
      <c r="C409" s="75" t="str">
        <f t="shared" si="51"/>
        <v/>
      </c>
      <c r="D409" s="75" t="str">
        <f t="shared" si="52"/>
        <v/>
      </c>
      <c r="E409" s="14"/>
      <c r="F409" s="14"/>
      <c r="G409" s="14"/>
      <c r="H409" s="75" t="str">
        <f t="shared" si="53"/>
        <v/>
      </c>
      <c r="I409" s="77" t="str">
        <f>IF(G409="","",IFERROR(VLOOKUP(G409,'Plan Comptable'!$B$5:$C$278,2,FALSE),"Compte inconnu"))</f>
        <v/>
      </c>
      <c r="J409" s="83"/>
      <c r="K409" s="83"/>
      <c r="L409" s="14"/>
      <c r="M409" s="32" t="str">
        <f t="shared" si="48"/>
        <v/>
      </c>
      <c r="N409" s="77" t="str">
        <f t="shared" si="54"/>
        <v/>
      </c>
      <c r="O409" s="75" t="str">
        <f t="shared" si="55"/>
        <v/>
      </c>
      <c r="P409" s="79" t="str">
        <f>IF(B409="","",SUM($K$6:K409)-SUM($L$6:L409))</f>
        <v/>
      </c>
      <c r="Q409" s="75" t="str">
        <f t="shared" si="49"/>
        <v/>
      </c>
      <c r="R409" s="84"/>
      <c r="S409" s="84"/>
    </row>
    <row r="410" spans="1:19" x14ac:dyDescent="0.35">
      <c r="A410" s="75" t="str">
        <f t="shared" si="50"/>
        <v/>
      </c>
      <c r="B410" s="81"/>
      <c r="C410" s="75" t="str">
        <f t="shared" si="51"/>
        <v/>
      </c>
      <c r="D410" s="75" t="str">
        <f t="shared" si="52"/>
        <v/>
      </c>
      <c r="E410" s="14"/>
      <c r="F410" s="14"/>
      <c r="G410" s="14"/>
      <c r="H410" s="75" t="str">
        <f t="shared" si="53"/>
        <v/>
      </c>
      <c r="I410" s="77" t="str">
        <f>IF(G410="","",IFERROR(VLOOKUP(G410,'Plan Comptable'!$B$5:$C$278,2,FALSE),"Compte inconnu"))</f>
        <v/>
      </c>
      <c r="J410" s="83"/>
      <c r="K410" s="83"/>
      <c r="L410" s="14"/>
      <c r="M410" s="32" t="str">
        <f t="shared" si="48"/>
        <v/>
      </c>
      <c r="N410" s="77" t="str">
        <f t="shared" si="54"/>
        <v/>
      </c>
      <c r="O410" s="75" t="str">
        <f t="shared" si="55"/>
        <v/>
      </c>
      <c r="P410" s="79" t="str">
        <f>IF(B410="","",SUM($K$6:K410)-SUM($L$6:L410))</f>
        <v/>
      </c>
      <c r="Q410" s="75" t="str">
        <f t="shared" si="49"/>
        <v/>
      </c>
      <c r="R410" s="84"/>
      <c r="S410" s="84"/>
    </row>
    <row r="411" spans="1:19" x14ac:dyDescent="0.35">
      <c r="A411" s="75" t="str">
        <f t="shared" si="50"/>
        <v/>
      </c>
      <c r="B411" s="81"/>
      <c r="C411" s="75" t="str">
        <f t="shared" si="51"/>
        <v/>
      </c>
      <c r="D411" s="75" t="str">
        <f t="shared" si="52"/>
        <v/>
      </c>
      <c r="E411" s="14"/>
      <c r="F411" s="14"/>
      <c r="G411" s="14"/>
      <c r="H411" s="75" t="str">
        <f t="shared" si="53"/>
        <v/>
      </c>
      <c r="I411" s="77" t="str">
        <f>IF(G411="","",IFERROR(VLOOKUP(G411,'Plan Comptable'!$B$5:$C$278,2,FALSE),"Compte inconnu"))</f>
        <v/>
      </c>
      <c r="J411" s="83"/>
      <c r="K411" s="83"/>
      <c r="L411" s="14"/>
      <c r="M411" s="32" t="str">
        <f t="shared" si="48"/>
        <v/>
      </c>
      <c r="N411" s="77" t="str">
        <f t="shared" si="54"/>
        <v/>
      </c>
      <c r="O411" s="75" t="str">
        <f t="shared" si="55"/>
        <v/>
      </c>
      <c r="P411" s="79" t="str">
        <f>IF(B411="","",SUM($K$6:K411)-SUM($L$6:L411))</f>
        <v/>
      </c>
      <c r="Q411" s="75" t="str">
        <f t="shared" si="49"/>
        <v/>
      </c>
      <c r="R411" s="84"/>
      <c r="S411" s="84"/>
    </row>
    <row r="412" spans="1:19" x14ac:dyDescent="0.35">
      <c r="A412" s="75" t="str">
        <f t="shared" si="50"/>
        <v/>
      </c>
      <c r="B412" s="81"/>
      <c r="C412" s="75" t="str">
        <f t="shared" si="51"/>
        <v/>
      </c>
      <c r="D412" s="75" t="str">
        <f t="shared" si="52"/>
        <v/>
      </c>
      <c r="E412" s="14"/>
      <c r="F412" s="14"/>
      <c r="G412" s="14"/>
      <c r="H412" s="75" t="str">
        <f t="shared" si="53"/>
        <v/>
      </c>
      <c r="I412" s="77" t="str">
        <f>IF(G412="","",IFERROR(VLOOKUP(G412,'Plan Comptable'!$B$5:$C$278,2,FALSE),"Compte inconnu"))</f>
        <v/>
      </c>
      <c r="J412" s="83"/>
      <c r="K412" s="83"/>
      <c r="L412" s="14"/>
      <c r="M412" s="32" t="str">
        <f t="shared" si="48"/>
        <v/>
      </c>
      <c r="N412" s="77" t="str">
        <f t="shared" si="54"/>
        <v/>
      </c>
      <c r="O412" s="75" t="str">
        <f t="shared" si="55"/>
        <v/>
      </c>
      <c r="P412" s="79" t="str">
        <f>IF(B412="","",SUM($K$6:K412)-SUM($L$6:L412))</f>
        <v/>
      </c>
      <c r="Q412" s="75" t="str">
        <f t="shared" si="49"/>
        <v/>
      </c>
      <c r="R412" s="84"/>
      <c r="S412" s="84"/>
    </row>
    <row r="413" spans="1:19" x14ac:dyDescent="0.35">
      <c r="A413" s="75" t="str">
        <f t="shared" si="50"/>
        <v/>
      </c>
      <c r="B413" s="81"/>
      <c r="C413" s="75" t="str">
        <f t="shared" si="51"/>
        <v/>
      </c>
      <c r="D413" s="75" t="str">
        <f t="shared" si="52"/>
        <v/>
      </c>
      <c r="E413" s="14"/>
      <c r="F413" s="14"/>
      <c r="G413" s="14"/>
      <c r="H413" s="75" t="str">
        <f t="shared" si="53"/>
        <v/>
      </c>
      <c r="I413" s="77" t="str">
        <f>IF(G413="","",IFERROR(VLOOKUP(G413,'Plan Comptable'!$B$5:$C$278,2,FALSE),"Compte inconnu"))</f>
        <v/>
      </c>
      <c r="J413" s="83"/>
      <c r="K413" s="83"/>
      <c r="L413" s="14"/>
      <c r="M413" s="32" t="str">
        <f t="shared" si="48"/>
        <v/>
      </c>
      <c r="N413" s="77" t="str">
        <f t="shared" si="54"/>
        <v/>
      </c>
      <c r="O413" s="75" t="str">
        <f t="shared" si="55"/>
        <v/>
      </c>
      <c r="P413" s="79" t="str">
        <f>IF(B413="","",SUM($K$6:K413)-SUM($L$6:L413))</f>
        <v/>
      </c>
      <c r="Q413" s="75" t="str">
        <f t="shared" si="49"/>
        <v/>
      </c>
      <c r="R413" s="84"/>
      <c r="S413" s="84"/>
    </row>
    <row r="414" spans="1:19" x14ac:dyDescent="0.35">
      <c r="A414" s="75" t="str">
        <f t="shared" si="50"/>
        <v/>
      </c>
      <c r="B414" s="81"/>
      <c r="C414" s="75" t="str">
        <f t="shared" si="51"/>
        <v/>
      </c>
      <c r="D414" s="75" t="str">
        <f t="shared" si="52"/>
        <v/>
      </c>
      <c r="E414" s="14"/>
      <c r="F414" s="14"/>
      <c r="G414" s="14"/>
      <c r="H414" s="75" t="str">
        <f t="shared" si="53"/>
        <v/>
      </c>
      <c r="I414" s="77" t="str">
        <f>IF(G414="","",IFERROR(VLOOKUP(G414,'Plan Comptable'!$B$5:$C$278,2,FALSE),"Compte inconnu"))</f>
        <v/>
      </c>
      <c r="J414" s="83"/>
      <c r="K414" s="83"/>
      <c r="L414" s="14"/>
      <c r="M414" s="32" t="str">
        <f t="shared" si="48"/>
        <v/>
      </c>
      <c r="N414" s="77" t="str">
        <f t="shared" si="54"/>
        <v/>
      </c>
      <c r="O414" s="75" t="str">
        <f t="shared" si="55"/>
        <v/>
      </c>
      <c r="P414" s="79" t="str">
        <f>IF(B414="","",SUM($K$6:K414)-SUM($L$6:L414))</f>
        <v/>
      </c>
      <c r="Q414" s="75" t="str">
        <f t="shared" si="49"/>
        <v/>
      </c>
      <c r="R414" s="84"/>
      <c r="S414" s="84"/>
    </row>
    <row r="415" spans="1:19" x14ac:dyDescent="0.35">
      <c r="A415" s="75" t="str">
        <f t="shared" si="50"/>
        <v/>
      </c>
      <c r="B415" s="81"/>
      <c r="C415" s="75" t="str">
        <f t="shared" si="51"/>
        <v/>
      </c>
      <c r="D415" s="75" t="str">
        <f t="shared" si="52"/>
        <v/>
      </c>
      <c r="E415" s="14"/>
      <c r="F415" s="14"/>
      <c r="G415" s="14"/>
      <c r="H415" s="75" t="str">
        <f t="shared" si="53"/>
        <v/>
      </c>
      <c r="I415" s="77" t="str">
        <f>IF(G415="","",IFERROR(VLOOKUP(G415,'Plan Comptable'!$B$5:$C$278,2,FALSE),"Compte inconnu"))</f>
        <v/>
      </c>
      <c r="J415" s="83"/>
      <c r="K415" s="83"/>
      <c r="L415" s="14"/>
      <c r="M415" s="32" t="str">
        <f t="shared" si="48"/>
        <v/>
      </c>
      <c r="N415" s="77" t="str">
        <f t="shared" si="54"/>
        <v/>
      </c>
      <c r="O415" s="75" t="str">
        <f t="shared" si="55"/>
        <v/>
      </c>
      <c r="P415" s="79" t="str">
        <f>IF(B415="","",SUM($K$6:K415)-SUM($L$6:L415))</f>
        <v/>
      </c>
      <c r="Q415" s="75" t="str">
        <f t="shared" si="49"/>
        <v/>
      </c>
      <c r="R415" s="84"/>
      <c r="S415" s="84"/>
    </row>
    <row r="416" spans="1:19" x14ac:dyDescent="0.35">
      <c r="A416" s="75" t="str">
        <f t="shared" si="50"/>
        <v/>
      </c>
      <c r="B416" s="81"/>
      <c r="C416" s="75" t="str">
        <f t="shared" si="51"/>
        <v/>
      </c>
      <c r="D416" s="75" t="str">
        <f t="shared" si="52"/>
        <v/>
      </c>
      <c r="E416" s="14"/>
      <c r="F416" s="14"/>
      <c r="G416" s="14"/>
      <c r="H416" s="75" t="str">
        <f t="shared" si="53"/>
        <v/>
      </c>
      <c r="I416" s="77" t="str">
        <f>IF(G416="","",IFERROR(VLOOKUP(G416,'Plan Comptable'!$B$5:$C$278,2,FALSE),"Compte inconnu"))</f>
        <v/>
      </c>
      <c r="J416" s="83"/>
      <c r="K416" s="83"/>
      <c r="L416" s="14"/>
      <c r="M416" s="32" t="str">
        <f t="shared" si="48"/>
        <v/>
      </c>
      <c r="N416" s="77" t="str">
        <f t="shared" si="54"/>
        <v/>
      </c>
      <c r="O416" s="75" t="str">
        <f t="shared" si="55"/>
        <v/>
      </c>
      <c r="P416" s="79" t="str">
        <f>IF(B416="","",SUM($K$6:K416)-SUM($L$6:L416))</f>
        <v/>
      </c>
      <c r="Q416" s="75" t="str">
        <f t="shared" si="49"/>
        <v/>
      </c>
      <c r="R416" s="84"/>
      <c r="S416" s="84"/>
    </row>
    <row r="417" spans="1:19" x14ac:dyDescent="0.35">
      <c r="A417" s="75" t="str">
        <f t="shared" si="50"/>
        <v/>
      </c>
      <c r="B417" s="81"/>
      <c r="C417" s="75" t="str">
        <f t="shared" si="51"/>
        <v/>
      </c>
      <c r="D417" s="75" t="str">
        <f t="shared" si="52"/>
        <v/>
      </c>
      <c r="E417" s="14"/>
      <c r="F417" s="14"/>
      <c r="G417" s="14"/>
      <c r="H417" s="75" t="str">
        <f t="shared" si="53"/>
        <v/>
      </c>
      <c r="I417" s="77" t="str">
        <f>IF(G417="","",IFERROR(VLOOKUP(G417,'Plan Comptable'!$B$5:$C$278,2,FALSE),"Compte inconnu"))</f>
        <v/>
      </c>
      <c r="J417" s="83"/>
      <c r="K417" s="83"/>
      <c r="L417" s="14"/>
      <c r="M417" s="32" t="str">
        <f t="shared" si="48"/>
        <v/>
      </c>
      <c r="N417" s="77" t="str">
        <f t="shared" si="54"/>
        <v/>
      </c>
      <c r="O417" s="75" t="str">
        <f t="shared" si="55"/>
        <v/>
      </c>
      <c r="P417" s="79" t="str">
        <f>IF(B417="","",SUM($K$6:K417)-SUM($L$6:L417))</f>
        <v/>
      </c>
      <c r="Q417" s="75" t="str">
        <f t="shared" si="49"/>
        <v/>
      </c>
      <c r="R417" s="84"/>
      <c r="S417" s="84"/>
    </row>
    <row r="418" spans="1:19" x14ac:dyDescent="0.35">
      <c r="A418" s="75" t="str">
        <f t="shared" si="50"/>
        <v/>
      </c>
      <c r="B418" s="81"/>
      <c r="C418" s="75" t="str">
        <f t="shared" si="51"/>
        <v/>
      </c>
      <c r="D418" s="75" t="str">
        <f t="shared" si="52"/>
        <v/>
      </c>
      <c r="E418" s="14"/>
      <c r="F418" s="14"/>
      <c r="G418" s="14"/>
      <c r="H418" s="75" t="str">
        <f t="shared" si="53"/>
        <v/>
      </c>
      <c r="I418" s="77" t="str">
        <f>IF(G418="","",IFERROR(VLOOKUP(G418,'Plan Comptable'!$B$5:$C$278,2,FALSE),"Compte inconnu"))</f>
        <v/>
      </c>
      <c r="J418" s="83"/>
      <c r="K418" s="83"/>
      <c r="L418" s="14"/>
      <c r="M418" s="32" t="str">
        <f t="shared" si="48"/>
        <v/>
      </c>
      <c r="N418" s="77" t="str">
        <f t="shared" si="54"/>
        <v/>
      </c>
      <c r="O418" s="75" t="str">
        <f t="shared" si="55"/>
        <v/>
      </c>
      <c r="P418" s="79" t="str">
        <f>IF(B418="","",SUM($K$6:K418)-SUM($L$6:L418))</f>
        <v/>
      </c>
      <c r="Q418" s="75" t="str">
        <f t="shared" si="49"/>
        <v/>
      </c>
      <c r="R418" s="84"/>
      <c r="S418" s="84"/>
    </row>
    <row r="419" spans="1:19" x14ac:dyDescent="0.35">
      <c r="A419" s="75" t="str">
        <f t="shared" si="50"/>
        <v/>
      </c>
      <c r="B419" s="81"/>
      <c r="C419" s="75" t="str">
        <f t="shared" si="51"/>
        <v/>
      </c>
      <c r="D419" s="75" t="str">
        <f t="shared" si="52"/>
        <v/>
      </c>
      <c r="E419" s="14"/>
      <c r="F419" s="14"/>
      <c r="G419" s="14"/>
      <c r="H419" s="75" t="str">
        <f t="shared" si="53"/>
        <v/>
      </c>
      <c r="I419" s="77" t="str">
        <f>IF(G419="","",IFERROR(VLOOKUP(G419,'Plan Comptable'!$B$5:$C$278,2,FALSE),"Compte inconnu"))</f>
        <v/>
      </c>
      <c r="J419" s="83"/>
      <c r="K419" s="83"/>
      <c r="L419" s="14"/>
      <c r="M419" s="32" t="str">
        <f t="shared" si="48"/>
        <v/>
      </c>
      <c r="N419" s="77" t="str">
        <f t="shared" si="54"/>
        <v/>
      </c>
      <c r="O419" s="75" t="str">
        <f t="shared" si="55"/>
        <v/>
      </c>
      <c r="P419" s="79" t="str">
        <f>IF(B419="","",SUM($K$6:K419)-SUM($L$6:L419))</f>
        <v/>
      </c>
      <c r="Q419" s="75" t="str">
        <f t="shared" si="49"/>
        <v/>
      </c>
      <c r="R419" s="84"/>
      <c r="S419" s="84"/>
    </row>
    <row r="420" spans="1:19" x14ac:dyDescent="0.35">
      <c r="A420" s="75" t="str">
        <f t="shared" si="50"/>
        <v/>
      </c>
      <c r="B420" s="81"/>
      <c r="C420" s="75" t="str">
        <f t="shared" si="51"/>
        <v/>
      </c>
      <c r="D420" s="75" t="str">
        <f t="shared" si="52"/>
        <v/>
      </c>
      <c r="E420" s="14"/>
      <c r="F420" s="14"/>
      <c r="G420" s="14"/>
      <c r="H420" s="75" t="str">
        <f t="shared" si="53"/>
        <v/>
      </c>
      <c r="I420" s="77" t="str">
        <f>IF(G420="","",IFERROR(VLOOKUP(G420,'Plan Comptable'!$B$5:$C$278,2,FALSE),"Compte inconnu"))</f>
        <v/>
      </c>
      <c r="J420" s="83"/>
      <c r="K420" s="83"/>
      <c r="L420" s="14"/>
      <c r="M420" s="32" t="str">
        <f t="shared" si="48"/>
        <v/>
      </c>
      <c r="N420" s="77" t="str">
        <f t="shared" si="54"/>
        <v/>
      </c>
      <c r="O420" s="75" t="str">
        <f t="shared" si="55"/>
        <v/>
      </c>
      <c r="P420" s="79" t="str">
        <f>IF(B420="","",SUM($K$6:K420)-SUM($L$6:L420))</f>
        <v/>
      </c>
      <c r="Q420" s="75" t="str">
        <f t="shared" si="49"/>
        <v/>
      </c>
      <c r="R420" s="84"/>
      <c r="S420" s="84"/>
    </row>
    <row r="421" spans="1:19" x14ac:dyDescent="0.35">
      <c r="A421" s="75" t="str">
        <f t="shared" si="50"/>
        <v/>
      </c>
      <c r="B421" s="81"/>
      <c r="C421" s="75" t="str">
        <f t="shared" si="51"/>
        <v/>
      </c>
      <c r="D421" s="75" t="str">
        <f t="shared" si="52"/>
        <v/>
      </c>
      <c r="E421" s="14"/>
      <c r="F421" s="14"/>
      <c r="G421" s="14"/>
      <c r="H421" s="75" t="str">
        <f t="shared" si="53"/>
        <v/>
      </c>
      <c r="I421" s="77" t="str">
        <f>IF(G421="","",IFERROR(VLOOKUP(G421,'Plan Comptable'!$B$5:$C$278,2,FALSE),"Compte inconnu"))</f>
        <v/>
      </c>
      <c r="J421" s="83"/>
      <c r="K421" s="83"/>
      <c r="L421" s="14"/>
      <c r="M421" s="32" t="str">
        <f t="shared" si="48"/>
        <v/>
      </c>
      <c r="N421" s="77" t="str">
        <f t="shared" si="54"/>
        <v/>
      </c>
      <c r="O421" s="75" t="str">
        <f t="shared" si="55"/>
        <v/>
      </c>
      <c r="P421" s="79" t="str">
        <f>IF(B421="","",SUM($K$6:K421)-SUM($L$6:L421))</f>
        <v/>
      </c>
      <c r="Q421" s="75" t="str">
        <f t="shared" si="49"/>
        <v/>
      </c>
      <c r="R421" s="84"/>
      <c r="S421" s="84"/>
    </row>
    <row r="422" spans="1:19" x14ac:dyDescent="0.35">
      <c r="A422" s="75" t="str">
        <f t="shared" si="50"/>
        <v/>
      </c>
      <c r="B422" s="81"/>
      <c r="C422" s="75" t="str">
        <f t="shared" si="51"/>
        <v/>
      </c>
      <c r="D422" s="75" t="str">
        <f t="shared" si="52"/>
        <v/>
      </c>
      <c r="E422" s="14"/>
      <c r="F422" s="14"/>
      <c r="G422" s="14"/>
      <c r="H422" s="75" t="str">
        <f t="shared" si="53"/>
        <v/>
      </c>
      <c r="I422" s="77" t="str">
        <f>IF(G422="","",IFERROR(VLOOKUP(G422,'Plan Comptable'!$B$5:$C$278,2,FALSE),"Compte inconnu"))</f>
        <v/>
      </c>
      <c r="J422" s="83"/>
      <c r="K422" s="83"/>
      <c r="L422" s="14"/>
      <c r="M422" s="32" t="str">
        <f t="shared" si="48"/>
        <v/>
      </c>
      <c r="N422" s="77" t="str">
        <f t="shared" si="54"/>
        <v/>
      </c>
      <c r="O422" s="75" t="str">
        <f t="shared" si="55"/>
        <v/>
      </c>
      <c r="P422" s="79" t="str">
        <f>IF(B422="","",SUM($K$6:K422)-SUM($L$6:L422))</f>
        <v/>
      </c>
      <c r="Q422" s="75" t="str">
        <f t="shared" si="49"/>
        <v/>
      </c>
      <c r="R422" s="84"/>
      <c r="S422" s="84"/>
    </row>
    <row r="423" spans="1:19" x14ac:dyDescent="0.35">
      <c r="A423" s="75" t="str">
        <f t="shared" si="50"/>
        <v/>
      </c>
      <c r="B423" s="81"/>
      <c r="C423" s="75" t="str">
        <f t="shared" si="51"/>
        <v/>
      </c>
      <c r="D423" s="75" t="str">
        <f t="shared" si="52"/>
        <v/>
      </c>
      <c r="E423" s="14"/>
      <c r="F423" s="14"/>
      <c r="G423" s="14"/>
      <c r="H423" s="75" t="str">
        <f t="shared" si="53"/>
        <v/>
      </c>
      <c r="I423" s="77" t="str">
        <f>IF(G423="","",IFERROR(VLOOKUP(G423,'Plan Comptable'!$B$5:$C$278,2,FALSE),"Compte inconnu"))</f>
        <v/>
      </c>
      <c r="J423" s="83"/>
      <c r="K423" s="83"/>
      <c r="L423" s="14"/>
      <c r="M423" s="32" t="str">
        <f t="shared" si="48"/>
        <v/>
      </c>
      <c r="N423" s="77" t="str">
        <f t="shared" si="54"/>
        <v/>
      </c>
      <c r="O423" s="75" t="str">
        <f t="shared" si="55"/>
        <v/>
      </c>
      <c r="P423" s="79" t="str">
        <f>IF(B423="","",SUM($K$6:K423)-SUM($L$6:L423))</f>
        <v/>
      </c>
      <c r="Q423" s="75" t="str">
        <f t="shared" si="49"/>
        <v/>
      </c>
      <c r="R423" s="84"/>
      <c r="S423" s="84"/>
    </row>
    <row r="424" spans="1:19" x14ac:dyDescent="0.35">
      <c r="A424" s="75" t="str">
        <f t="shared" si="50"/>
        <v/>
      </c>
      <c r="B424" s="81"/>
      <c r="C424" s="75" t="str">
        <f t="shared" si="51"/>
        <v/>
      </c>
      <c r="D424" s="75" t="str">
        <f t="shared" si="52"/>
        <v/>
      </c>
      <c r="E424" s="14"/>
      <c r="F424" s="14"/>
      <c r="G424" s="14"/>
      <c r="H424" s="75" t="str">
        <f t="shared" si="53"/>
        <v/>
      </c>
      <c r="I424" s="77" t="str">
        <f>IF(G424="","",IFERROR(VLOOKUP(G424,'Plan Comptable'!$B$5:$C$278,2,FALSE),"Compte inconnu"))</f>
        <v/>
      </c>
      <c r="J424" s="83"/>
      <c r="K424" s="83"/>
      <c r="L424" s="14"/>
      <c r="M424" s="32" t="str">
        <f t="shared" si="48"/>
        <v/>
      </c>
      <c r="N424" s="77" t="str">
        <f t="shared" si="54"/>
        <v/>
      </c>
      <c r="O424" s="75" t="str">
        <f t="shared" si="55"/>
        <v/>
      </c>
      <c r="P424" s="79" t="str">
        <f>IF(B424="","",SUM($K$6:K424)-SUM($L$6:L424))</f>
        <v/>
      </c>
      <c r="Q424" s="75" t="str">
        <f t="shared" si="49"/>
        <v/>
      </c>
      <c r="R424" s="84"/>
      <c r="S424" s="84"/>
    </row>
    <row r="425" spans="1:19" x14ac:dyDescent="0.35">
      <c r="A425" s="75" t="str">
        <f t="shared" si="50"/>
        <v/>
      </c>
      <c r="B425" s="81"/>
      <c r="C425" s="75" t="str">
        <f t="shared" si="51"/>
        <v/>
      </c>
      <c r="D425" s="75" t="str">
        <f t="shared" si="52"/>
        <v/>
      </c>
      <c r="E425" s="14"/>
      <c r="F425" s="14"/>
      <c r="G425" s="14"/>
      <c r="H425" s="75" t="str">
        <f t="shared" si="53"/>
        <v/>
      </c>
      <c r="I425" s="77" t="str">
        <f>IF(G425="","",IFERROR(VLOOKUP(G425,'Plan Comptable'!$B$5:$C$278,2,FALSE),"Compte inconnu"))</f>
        <v/>
      </c>
      <c r="J425" s="83"/>
      <c r="K425" s="83"/>
      <c r="L425" s="14"/>
      <c r="M425" s="32" t="str">
        <f t="shared" si="48"/>
        <v/>
      </c>
      <c r="N425" s="77" t="str">
        <f t="shared" si="54"/>
        <v/>
      </c>
      <c r="O425" s="75" t="str">
        <f t="shared" si="55"/>
        <v/>
      </c>
      <c r="P425" s="79" t="str">
        <f>IF(B425="","",SUM($K$6:K425)-SUM($L$6:L425))</f>
        <v/>
      </c>
      <c r="Q425" s="75" t="str">
        <f t="shared" si="49"/>
        <v/>
      </c>
      <c r="R425" s="84"/>
      <c r="S425" s="84"/>
    </row>
    <row r="426" spans="1:19" x14ac:dyDescent="0.35">
      <c r="A426" s="75" t="str">
        <f t="shared" si="50"/>
        <v/>
      </c>
      <c r="B426" s="81"/>
      <c r="C426" s="75" t="str">
        <f t="shared" si="51"/>
        <v/>
      </c>
      <c r="D426" s="75" t="str">
        <f t="shared" si="52"/>
        <v/>
      </c>
      <c r="E426" s="14"/>
      <c r="F426" s="14"/>
      <c r="G426" s="14"/>
      <c r="H426" s="75" t="str">
        <f t="shared" si="53"/>
        <v/>
      </c>
      <c r="I426" s="77" t="str">
        <f>IF(G426="","",IFERROR(VLOOKUP(G426,'Plan Comptable'!$B$5:$C$278,2,FALSE),"Compte inconnu"))</f>
        <v/>
      </c>
      <c r="J426" s="83"/>
      <c r="K426" s="83"/>
      <c r="L426" s="14"/>
      <c r="M426" s="32" t="str">
        <f t="shared" si="48"/>
        <v/>
      </c>
      <c r="N426" s="77" t="str">
        <f t="shared" si="54"/>
        <v/>
      </c>
      <c r="O426" s="75" t="str">
        <f t="shared" si="55"/>
        <v/>
      </c>
      <c r="P426" s="79" t="str">
        <f>IF(B426="","",SUM($K$6:K426)-SUM($L$6:L426))</f>
        <v/>
      </c>
      <c r="Q426" s="75" t="str">
        <f t="shared" si="49"/>
        <v/>
      </c>
      <c r="R426" s="84"/>
      <c r="S426" s="84"/>
    </row>
    <row r="427" spans="1:19" x14ac:dyDescent="0.35">
      <c r="A427" s="75" t="str">
        <f t="shared" si="50"/>
        <v/>
      </c>
      <c r="B427" s="81"/>
      <c r="C427" s="75" t="str">
        <f t="shared" si="51"/>
        <v/>
      </c>
      <c r="D427" s="75" t="str">
        <f t="shared" si="52"/>
        <v/>
      </c>
      <c r="E427" s="14"/>
      <c r="F427" s="14"/>
      <c r="G427" s="14"/>
      <c r="H427" s="75" t="str">
        <f t="shared" si="53"/>
        <v/>
      </c>
      <c r="I427" s="77" t="str">
        <f>IF(G427="","",IFERROR(VLOOKUP(G427,'Plan Comptable'!$B$5:$C$278,2,FALSE),"Compte inconnu"))</f>
        <v/>
      </c>
      <c r="J427" s="83"/>
      <c r="K427" s="83"/>
      <c r="L427" s="14"/>
      <c r="M427" s="32" t="str">
        <f t="shared" si="48"/>
        <v/>
      </c>
      <c r="N427" s="77" t="str">
        <f t="shared" si="54"/>
        <v/>
      </c>
      <c r="O427" s="75" t="str">
        <f t="shared" si="55"/>
        <v/>
      </c>
      <c r="P427" s="79" t="str">
        <f>IF(B427="","",SUM($K$6:K427)-SUM($L$6:L427))</f>
        <v/>
      </c>
      <c r="Q427" s="75" t="str">
        <f t="shared" si="49"/>
        <v/>
      </c>
      <c r="R427" s="84"/>
      <c r="S427" s="84"/>
    </row>
    <row r="428" spans="1:19" x14ac:dyDescent="0.35">
      <c r="A428" s="75" t="str">
        <f t="shared" si="50"/>
        <v/>
      </c>
      <c r="B428" s="81"/>
      <c r="C428" s="75" t="str">
        <f t="shared" si="51"/>
        <v/>
      </c>
      <c r="D428" s="75" t="str">
        <f t="shared" si="52"/>
        <v/>
      </c>
      <c r="E428" s="14"/>
      <c r="F428" s="14"/>
      <c r="G428" s="14"/>
      <c r="H428" s="75" t="str">
        <f t="shared" si="53"/>
        <v/>
      </c>
      <c r="I428" s="77" t="str">
        <f>IF(G428="","",IFERROR(VLOOKUP(G428,'Plan Comptable'!$B$5:$C$278,2,FALSE),"Compte inconnu"))</f>
        <v/>
      </c>
      <c r="J428" s="83"/>
      <c r="K428" s="83"/>
      <c r="L428" s="14"/>
      <c r="M428" s="32" t="str">
        <f t="shared" si="48"/>
        <v/>
      </c>
      <c r="N428" s="77" t="str">
        <f t="shared" si="54"/>
        <v/>
      </c>
      <c r="O428" s="75" t="str">
        <f t="shared" si="55"/>
        <v/>
      </c>
      <c r="P428" s="79" t="str">
        <f>IF(B428="","",SUM($K$6:K428)-SUM($L$6:L428))</f>
        <v/>
      </c>
      <c r="Q428" s="75" t="str">
        <f t="shared" si="49"/>
        <v/>
      </c>
      <c r="R428" s="84"/>
      <c r="S428" s="84"/>
    </row>
    <row r="429" spans="1:19" x14ac:dyDescent="0.35">
      <c r="A429" s="75" t="str">
        <f t="shared" si="50"/>
        <v/>
      </c>
      <c r="B429" s="81"/>
      <c r="C429" s="75" t="str">
        <f t="shared" si="51"/>
        <v/>
      </c>
      <c r="D429" s="75" t="str">
        <f t="shared" si="52"/>
        <v/>
      </c>
      <c r="E429" s="14"/>
      <c r="F429" s="14"/>
      <c r="G429" s="14"/>
      <c r="H429" s="75" t="str">
        <f t="shared" si="53"/>
        <v/>
      </c>
      <c r="I429" s="77" t="str">
        <f>IF(G429="","",IFERROR(VLOOKUP(G429,'Plan Comptable'!$B$5:$C$278,2,FALSE),"Compte inconnu"))</f>
        <v/>
      </c>
      <c r="J429" s="83"/>
      <c r="K429" s="83"/>
      <c r="L429" s="14"/>
      <c r="M429" s="32" t="str">
        <f t="shared" si="48"/>
        <v/>
      </c>
      <c r="N429" s="77" t="str">
        <f t="shared" si="54"/>
        <v/>
      </c>
      <c r="O429" s="75" t="str">
        <f t="shared" si="55"/>
        <v/>
      </c>
      <c r="P429" s="79" t="str">
        <f>IF(B429="","",SUM($K$6:K429)-SUM($L$6:L429))</f>
        <v/>
      </c>
      <c r="Q429" s="75" t="str">
        <f t="shared" si="49"/>
        <v/>
      </c>
      <c r="R429" s="84"/>
      <c r="S429" s="84"/>
    </row>
    <row r="430" spans="1:19" x14ac:dyDescent="0.35">
      <c r="A430" s="75" t="str">
        <f t="shared" si="50"/>
        <v/>
      </c>
      <c r="B430" s="81"/>
      <c r="C430" s="75" t="str">
        <f t="shared" si="51"/>
        <v/>
      </c>
      <c r="D430" s="75" t="str">
        <f t="shared" si="52"/>
        <v/>
      </c>
      <c r="E430" s="14"/>
      <c r="F430" s="14"/>
      <c r="G430" s="14"/>
      <c r="H430" s="75" t="str">
        <f t="shared" si="53"/>
        <v/>
      </c>
      <c r="I430" s="77" t="str">
        <f>IF(G430="","",IFERROR(VLOOKUP(G430,'Plan Comptable'!$B$5:$C$278,2,FALSE),"Compte inconnu"))</f>
        <v/>
      </c>
      <c r="J430" s="83"/>
      <c r="K430" s="83"/>
      <c r="L430" s="14"/>
      <c r="M430" s="32" t="str">
        <f t="shared" si="48"/>
        <v/>
      </c>
      <c r="N430" s="77" t="str">
        <f t="shared" si="54"/>
        <v/>
      </c>
      <c r="O430" s="75" t="str">
        <f t="shared" si="55"/>
        <v/>
      </c>
      <c r="P430" s="79" t="str">
        <f>IF(B430="","",SUM($K$6:K430)-SUM($L$6:L430))</f>
        <v/>
      </c>
      <c r="Q430" s="75" t="str">
        <f t="shared" si="49"/>
        <v/>
      </c>
      <c r="R430" s="84"/>
      <c r="S430" s="84"/>
    </row>
    <row r="431" spans="1:19" x14ac:dyDescent="0.35">
      <c r="A431" s="75" t="str">
        <f t="shared" si="50"/>
        <v/>
      </c>
      <c r="B431" s="81"/>
      <c r="C431" s="75" t="str">
        <f t="shared" si="51"/>
        <v/>
      </c>
      <c r="D431" s="75" t="str">
        <f t="shared" si="52"/>
        <v/>
      </c>
      <c r="E431" s="14"/>
      <c r="F431" s="14"/>
      <c r="G431" s="14"/>
      <c r="H431" s="75" t="str">
        <f t="shared" si="53"/>
        <v/>
      </c>
      <c r="I431" s="77" t="str">
        <f>IF(G431="","",IFERROR(VLOOKUP(G431,'Plan Comptable'!$B$5:$C$278,2,FALSE),"Compte inconnu"))</f>
        <v/>
      </c>
      <c r="J431" s="83"/>
      <c r="K431" s="83"/>
      <c r="L431" s="14"/>
      <c r="M431" s="32" t="str">
        <f t="shared" si="48"/>
        <v/>
      </c>
      <c r="N431" s="77" t="str">
        <f t="shared" si="54"/>
        <v/>
      </c>
      <c r="O431" s="75" t="str">
        <f t="shared" si="55"/>
        <v/>
      </c>
      <c r="P431" s="79" t="str">
        <f>IF(B431="","",SUM($K$6:K431)-SUM($L$6:L431))</f>
        <v/>
      </c>
      <c r="Q431" s="75" t="str">
        <f t="shared" si="49"/>
        <v/>
      </c>
      <c r="R431" s="84"/>
      <c r="S431" s="84"/>
    </row>
    <row r="432" spans="1:19" x14ac:dyDescent="0.35">
      <c r="A432" s="75" t="str">
        <f t="shared" si="50"/>
        <v/>
      </c>
      <c r="B432" s="81"/>
      <c r="C432" s="75" t="str">
        <f t="shared" si="51"/>
        <v/>
      </c>
      <c r="D432" s="75" t="str">
        <f t="shared" si="52"/>
        <v/>
      </c>
      <c r="E432" s="14"/>
      <c r="F432" s="14"/>
      <c r="G432" s="14"/>
      <c r="H432" s="75" t="str">
        <f t="shared" si="53"/>
        <v/>
      </c>
      <c r="I432" s="77" t="str">
        <f>IF(G432="","",IFERROR(VLOOKUP(G432,'Plan Comptable'!$B$5:$C$278,2,FALSE),"Compte inconnu"))</f>
        <v/>
      </c>
      <c r="J432" s="83"/>
      <c r="K432" s="83"/>
      <c r="L432" s="14"/>
      <c r="M432" s="32" t="str">
        <f t="shared" si="48"/>
        <v/>
      </c>
      <c r="N432" s="77" t="str">
        <f t="shared" si="54"/>
        <v/>
      </c>
      <c r="O432" s="75" t="str">
        <f t="shared" si="55"/>
        <v/>
      </c>
      <c r="P432" s="79" t="str">
        <f>IF(B432="","",SUM($K$6:K432)-SUM($L$6:L432))</f>
        <v/>
      </c>
      <c r="Q432" s="75" t="str">
        <f t="shared" si="49"/>
        <v/>
      </c>
      <c r="R432" s="84"/>
      <c r="S432" s="84"/>
    </row>
    <row r="433" spans="1:19" x14ac:dyDescent="0.35">
      <c r="A433" s="75" t="str">
        <f t="shared" si="50"/>
        <v/>
      </c>
      <c r="B433" s="81"/>
      <c r="C433" s="75" t="str">
        <f t="shared" si="51"/>
        <v/>
      </c>
      <c r="D433" s="75" t="str">
        <f t="shared" si="52"/>
        <v/>
      </c>
      <c r="E433" s="14"/>
      <c r="F433" s="14"/>
      <c r="G433" s="14"/>
      <c r="H433" s="75" t="str">
        <f t="shared" si="53"/>
        <v/>
      </c>
      <c r="I433" s="77" t="str">
        <f>IF(G433="","",IFERROR(VLOOKUP(G433,'Plan Comptable'!$B$5:$C$278,2,FALSE),"Compte inconnu"))</f>
        <v/>
      </c>
      <c r="J433" s="83"/>
      <c r="K433" s="83"/>
      <c r="L433" s="14"/>
      <c r="M433" s="32" t="str">
        <f t="shared" si="48"/>
        <v/>
      </c>
      <c r="N433" s="77" t="str">
        <f t="shared" si="54"/>
        <v/>
      </c>
      <c r="O433" s="75" t="str">
        <f t="shared" si="55"/>
        <v/>
      </c>
      <c r="P433" s="79" t="str">
        <f>IF(B433="","",SUM($K$6:K433)-SUM($L$6:L433))</f>
        <v/>
      </c>
      <c r="Q433" s="75" t="str">
        <f t="shared" si="49"/>
        <v/>
      </c>
      <c r="R433" s="84"/>
      <c r="S433" s="84"/>
    </row>
    <row r="434" spans="1:19" x14ac:dyDescent="0.35">
      <c r="A434" s="75" t="str">
        <f t="shared" si="50"/>
        <v/>
      </c>
      <c r="B434" s="81"/>
      <c r="C434" s="75" t="str">
        <f t="shared" si="51"/>
        <v/>
      </c>
      <c r="D434" s="75" t="str">
        <f t="shared" si="52"/>
        <v/>
      </c>
      <c r="E434" s="14"/>
      <c r="F434" s="14"/>
      <c r="G434" s="14"/>
      <c r="H434" s="75" t="str">
        <f t="shared" si="53"/>
        <v/>
      </c>
      <c r="I434" s="77" t="str">
        <f>IF(G434="","",IFERROR(VLOOKUP(G434,'Plan Comptable'!$B$5:$C$278,2,FALSE),"Compte inconnu"))</f>
        <v/>
      </c>
      <c r="J434" s="83"/>
      <c r="K434" s="83"/>
      <c r="L434" s="14"/>
      <c r="M434" s="32" t="str">
        <f t="shared" si="48"/>
        <v/>
      </c>
      <c r="N434" s="77" t="str">
        <f t="shared" si="54"/>
        <v/>
      </c>
      <c r="O434" s="75" t="str">
        <f t="shared" si="55"/>
        <v/>
      </c>
      <c r="P434" s="79" t="str">
        <f>IF(B434="","",SUM($K$6:K434)-SUM($L$6:L434))</f>
        <v/>
      </c>
      <c r="Q434" s="75" t="str">
        <f t="shared" si="49"/>
        <v/>
      </c>
      <c r="R434" s="84"/>
      <c r="S434" s="84"/>
    </row>
    <row r="435" spans="1:19" x14ac:dyDescent="0.35">
      <c r="A435" s="75" t="str">
        <f t="shared" si="50"/>
        <v/>
      </c>
      <c r="B435" s="81"/>
      <c r="C435" s="75" t="str">
        <f t="shared" si="51"/>
        <v/>
      </c>
      <c r="D435" s="75" t="str">
        <f t="shared" si="52"/>
        <v/>
      </c>
      <c r="E435" s="14"/>
      <c r="F435" s="14"/>
      <c r="G435" s="14"/>
      <c r="H435" s="75" t="str">
        <f t="shared" si="53"/>
        <v/>
      </c>
      <c r="I435" s="77" t="str">
        <f>IF(G435="","",IFERROR(VLOOKUP(G435,'Plan Comptable'!$B$5:$C$278,2,FALSE),"Compte inconnu"))</f>
        <v/>
      </c>
      <c r="J435" s="83"/>
      <c r="K435" s="83"/>
      <c r="L435" s="14"/>
      <c r="M435" s="32" t="str">
        <f t="shared" si="48"/>
        <v/>
      </c>
      <c r="N435" s="77" t="str">
        <f t="shared" si="54"/>
        <v/>
      </c>
      <c r="O435" s="75" t="str">
        <f t="shared" si="55"/>
        <v/>
      </c>
      <c r="P435" s="79" t="str">
        <f>IF(B435="","",SUM($K$6:K435)-SUM($L$6:L435))</f>
        <v/>
      </c>
      <c r="Q435" s="75" t="str">
        <f t="shared" si="49"/>
        <v/>
      </c>
      <c r="R435" s="84"/>
      <c r="S435" s="84"/>
    </row>
    <row r="436" spans="1:19" x14ac:dyDescent="0.35">
      <c r="A436" s="75" t="str">
        <f t="shared" si="50"/>
        <v/>
      </c>
      <c r="B436" s="81"/>
      <c r="C436" s="75" t="str">
        <f t="shared" si="51"/>
        <v/>
      </c>
      <c r="D436" s="75" t="str">
        <f t="shared" si="52"/>
        <v/>
      </c>
      <c r="E436" s="14"/>
      <c r="F436" s="14"/>
      <c r="G436" s="14"/>
      <c r="H436" s="75" t="str">
        <f t="shared" si="53"/>
        <v/>
      </c>
      <c r="I436" s="77" t="str">
        <f>IF(G436="","",IFERROR(VLOOKUP(G436,'Plan Comptable'!$B$5:$C$278,2,FALSE),"Compte inconnu"))</f>
        <v/>
      </c>
      <c r="J436" s="83"/>
      <c r="K436" s="83"/>
      <c r="L436" s="14"/>
      <c r="M436" s="32" t="str">
        <f t="shared" si="48"/>
        <v/>
      </c>
      <c r="N436" s="77" t="str">
        <f t="shared" si="54"/>
        <v/>
      </c>
      <c r="O436" s="75" t="str">
        <f t="shared" si="55"/>
        <v/>
      </c>
      <c r="P436" s="79" t="str">
        <f>IF(B436="","",SUM($K$6:K436)-SUM($L$6:L436))</f>
        <v/>
      </c>
      <c r="Q436" s="75" t="str">
        <f t="shared" si="49"/>
        <v/>
      </c>
      <c r="R436" s="84"/>
      <c r="S436" s="84"/>
    </row>
    <row r="437" spans="1:19" x14ac:dyDescent="0.35">
      <c r="A437" s="75" t="str">
        <f t="shared" si="50"/>
        <v/>
      </c>
      <c r="B437" s="81"/>
      <c r="C437" s="75" t="str">
        <f t="shared" si="51"/>
        <v/>
      </c>
      <c r="D437" s="75" t="str">
        <f t="shared" si="52"/>
        <v/>
      </c>
      <c r="E437" s="14"/>
      <c r="F437" s="14"/>
      <c r="G437" s="14"/>
      <c r="H437" s="75" t="str">
        <f t="shared" si="53"/>
        <v/>
      </c>
      <c r="I437" s="77" t="str">
        <f>IF(G437="","",IFERROR(VLOOKUP(G437,'Plan Comptable'!$B$5:$C$278,2,FALSE),"Compte inconnu"))</f>
        <v/>
      </c>
      <c r="J437" s="83"/>
      <c r="K437" s="83"/>
      <c r="L437" s="14"/>
      <c r="M437" s="32" t="str">
        <f t="shared" si="48"/>
        <v/>
      </c>
      <c r="N437" s="77" t="str">
        <f t="shared" si="54"/>
        <v/>
      </c>
      <c r="O437" s="75" t="str">
        <f t="shared" si="55"/>
        <v/>
      </c>
      <c r="P437" s="79" t="str">
        <f>IF(B437="","",SUM($K$6:K437)-SUM($L$6:L437))</f>
        <v/>
      </c>
      <c r="Q437" s="75" t="str">
        <f t="shared" si="49"/>
        <v/>
      </c>
      <c r="R437" s="84"/>
      <c r="S437" s="84"/>
    </row>
    <row r="438" spans="1:19" x14ac:dyDescent="0.35">
      <c r="A438" s="75" t="str">
        <f t="shared" si="50"/>
        <v/>
      </c>
      <c r="B438" s="81"/>
      <c r="C438" s="75" t="str">
        <f t="shared" si="51"/>
        <v/>
      </c>
      <c r="D438" s="75" t="str">
        <f t="shared" si="52"/>
        <v/>
      </c>
      <c r="E438" s="14"/>
      <c r="F438" s="14"/>
      <c r="G438" s="14"/>
      <c r="H438" s="75" t="str">
        <f t="shared" si="53"/>
        <v/>
      </c>
      <c r="I438" s="77" t="str">
        <f>IF(G438="","",IFERROR(VLOOKUP(G438,'Plan Comptable'!$B$5:$C$278,2,FALSE),"Compte inconnu"))</f>
        <v/>
      </c>
      <c r="J438" s="83"/>
      <c r="K438" s="83"/>
      <c r="L438" s="14"/>
      <c r="M438" s="32" t="str">
        <f t="shared" si="48"/>
        <v/>
      </c>
      <c r="N438" s="77" t="str">
        <f t="shared" si="54"/>
        <v/>
      </c>
      <c r="O438" s="75" t="str">
        <f t="shared" si="55"/>
        <v/>
      </c>
      <c r="P438" s="79" t="str">
        <f>IF(B438="","",SUM($K$6:K438)-SUM($L$6:L438))</f>
        <v/>
      </c>
      <c r="Q438" s="75" t="str">
        <f t="shared" si="49"/>
        <v/>
      </c>
      <c r="R438" s="84"/>
      <c r="S438" s="84"/>
    </row>
    <row r="439" spans="1:19" x14ac:dyDescent="0.35">
      <c r="A439" s="75" t="str">
        <f t="shared" si="50"/>
        <v/>
      </c>
      <c r="B439" s="81"/>
      <c r="C439" s="75" t="str">
        <f t="shared" si="51"/>
        <v/>
      </c>
      <c r="D439" s="75" t="str">
        <f t="shared" si="52"/>
        <v/>
      </c>
      <c r="E439" s="14"/>
      <c r="F439" s="14"/>
      <c r="G439" s="14"/>
      <c r="H439" s="75" t="str">
        <f t="shared" si="53"/>
        <v/>
      </c>
      <c r="I439" s="77" t="str">
        <f>IF(G439="","",IFERROR(VLOOKUP(G439,'Plan Comptable'!$B$5:$C$278,2,FALSE),"Compte inconnu"))</f>
        <v/>
      </c>
      <c r="J439" s="83"/>
      <c r="K439" s="83"/>
      <c r="L439" s="14"/>
      <c r="M439" s="32" t="str">
        <f t="shared" si="48"/>
        <v/>
      </c>
      <c r="N439" s="77" t="str">
        <f t="shared" si="54"/>
        <v/>
      </c>
      <c r="O439" s="75" t="str">
        <f t="shared" si="55"/>
        <v/>
      </c>
      <c r="P439" s="79" t="str">
        <f>IF(B439="","",SUM($K$6:K439)-SUM($L$6:L439))</f>
        <v/>
      </c>
      <c r="Q439" s="75" t="str">
        <f t="shared" si="49"/>
        <v/>
      </c>
      <c r="R439" s="84"/>
      <c r="S439" s="84"/>
    </row>
    <row r="440" spans="1:19" x14ac:dyDescent="0.35">
      <c r="A440" s="75" t="str">
        <f t="shared" si="50"/>
        <v/>
      </c>
      <c r="B440" s="81"/>
      <c r="C440" s="75" t="str">
        <f t="shared" si="51"/>
        <v/>
      </c>
      <c r="D440" s="75" t="str">
        <f t="shared" si="52"/>
        <v/>
      </c>
      <c r="E440" s="14"/>
      <c r="F440" s="14"/>
      <c r="G440" s="14"/>
      <c r="H440" s="75" t="str">
        <f t="shared" si="53"/>
        <v/>
      </c>
      <c r="I440" s="77" t="str">
        <f>IF(G440="","",IFERROR(VLOOKUP(G440,'Plan Comptable'!$B$5:$C$278,2,FALSE),"Compte inconnu"))</f>
        <v/>
      </c>
      <c r="J440" s="83"/>
      <c r="K440" s="83"/>
      <c r="L440" s="14"/>
      <c r="M440" s="32" t="str">
        <f t="shared" si="48"/>
        <v/>
      </c>
      <c r="N440" s="77" t="str">
        <f t="shared" si="54"/>
        <v/>
      </c>
      <c r="O440" s="75" t="str">
        <f t="shared" si="55"/>
        <v/>
      </c>
      <c r="P440" s="79" t="str">
        <f>IF(B440="","",SUM($K$6:K440)-SUM($L$6:L440))</f>
        <v/>
      </c>
      <c r="Q440" s="75" t="str">
        <f t="shared" si="49"/>
        <v/>
      </c>
      <c r="R440" s="84"/>
      <c r="S440" s="84"/>
    </row>
    <row r="441" spans="1:19" x14ac:dyDescent="0.35">
      <c r="A441" s="75" t="str">
        <f t="shared" si="50"/>
        <v/>
      </c>
      <c r="B441" s="81"/>
      <c r="C441" s="75" t="str">
        <f t="shared" si="51"/>
        <v/>
      </c>
      <c r="D441" s="75" t="str">
        <f t="shared" si="52"/>
        <v/>
      </c>
      <c r="E441" s="14"/>
      <c r="F441" s="14"/>
      <c r="G441" s="14"/>
      <c r="H441" s="75" t="str">
        <f t="shared" si="53"/>
        <v/>
      </c>
      <c r="I441" s="77" t="str">
        <f>IF(G441="","",IFERROR(VLOOKUP(G441,'Plan Comptable'!$B$5:$C$278,2,FALSE),"Compte inconnu"))</f>
        <v/>
      </c>
      <c r="J441" s="83"/>
      <c r="K441" s="83"/>
      <c r="L441" s="14"/>
      <c r="M441" s="32" t="str">
        <f t="shared" si="48"/>
        <v/>
      </c>
      <c r="N441" s="77" t="str">
        <f t="shared" si="54"/>
        <v/>
      </c>
      <c r="O441" s="75" t="str">
        <f t="shared" si="55"/>
        <v/>
      </c>
      <c r="P441" s="79" t="str">
        <f>IF(B441="","",SUM($K$6:K441)-SUM($L$6:L441))</f>
        <v/>
      </c>
      <c r="Q441" s="75" t="str">
        <f t="shared" si="49"/>
        <v/>
      </c>
      <c r="R441" s="84"/>
      <c r="S441" s="84"/>
    </row>
    <row r="442" spans="1:19" x14ac:dyDescent="0.35">
      <c r="A442" s="75" t="str">
        <f t="shared" si="50"/>
        <v/>
      </c>
      <c r="B442" s="81"/>
      <c r="C442" s="75" t="str">
        <f t="shared" si="51"/>
        <v/>
      </c>
      <c r="D442" s="75" t="str">
        <f t="shared" si="52"/>
        <v/>
      </c>
      <c r="E442" s="14"/>
      <c r="F442" s="14"/>
      <c r="G442" s="14"/>
      <c r="H442" s="75" t="str">
        <f t="shared" si="53"/>
        <v/>
      </c>
      <c r="I442" s="77" t="str">
        <f>IF(G442="","",IFERROR(VLOOKUP(G442,'Plan Comptable'!$B$5:$C$278,2,FALSE),"Compte inconnu"))</f>
        <v/>
      </c>
      <c r="J442" s="83"/>
      <c r="K442" s="83"/>
      <c r="L442" s="14"/>
      <c r="M442" s="32" t="str">
        <f t="shared" si="48"/>
        <v/>
      </c>
      <c r="N442" s="77" t="str">
        <f t="shared" si="54"/>
        <v/>
      </c>
      <c r="O442" s="75" t="str">
        <f t="shared" si="55"/>
        <v/>
      </c>
      <c r="P442" s="79" t="str">
        <f>IF(B442="","",SUM($K$6:K442)-SUM($L$6:L442))</f>
        <v/>
      </c>
      <c r="Q442" s="75" t="str">
        <f t="shared" si="49"/>
        <v/>
      </c>
      <c r="R442" s="84"/>
      <c r="S442" s="84"/>
    </row>
    <row r="443" spans="1:19" x14ac:dyDescent="0.35">
      <c r="A443" s="75" t="str">
        <f t="shared" si="50"/>
        <v/>
      </c>
      <c r="B443" s="81"/>
      <c r="C443" s="75" t="str">
        <f t="shared" si="51"/>
        <v/>
      </c>
      <c r="D443" s="75" t="str">
        <f t="shared" si="52"/>
        <v/>
      </c>
      <c r="E443" s="14"/>
      <c r="F443" s="14"/>
      <c r="G443" s="14"/>
      <c r="H443" s="75" t="str">
        <f t="shared" si="53"/>
        <v/>
      </c>
      <c r="I443" s="77" t="str">
        <f>IF(G443="","",IFERROR(VLOOKUP(G443,'Plan Comptable'!$B$5:$C$278,2,FALSE),"Compte inconnu"))</f>
        <v/>
      </c>
      <c r="J443" s="83"/>
      <c r="K443" s="83"/>
      <c r="L443" s="14"/>
      <c r="M443" s="32" t="str">
        <f t="shared" si="48"/>
        <v/>
      </c>
      <c r="N443" s="77" t="str">
        <f t="shared" si="54"/>
        <v/>
      </c>
      <c r="O443" s="75" t="str">
        <f t="shared" si="55"/>
        <v/>
      </c>
      <c r="P443" s="79" t="str">
        <f>IF(B443="","",SUM($K$6:K443)-SUM($L$6:L443))</f>
        <v/>
      </c>
      <c r="Q443" s="75" t="str">
        <f t="shared" si="49"/>
        <v/>
      </c>
      <c r="R443" s="84"/>
      <c r="S443" s="84"/>
    </row>
    <row r="444" spans="1:19" x14ac:dyDescent="0.35">
      <c r="A444" s="75" t="str">
        <f t="shared" si="50"/>
        <v/>
      </c>
      <c r="B444" s="81"/>
      <c r="C444" s="75" t="str">
        <f t="shared" si="51"/>
        <v/>
      </c>
      <c r="D444" s="75" t="str">
        <f t="shared" si="52"/>
        <v/>
      </c>
      <c r="E444" s="14"/>
      <c r="F444" s="14"/>
      <c r="G444" s="14"/>
      <c r="H444" s="75" t="str">
        <f t="shared" si="53"/>
        <v/>
      </c>
      <c r="I444" s="77" t="str">
        <f>IF(G444="","",IFERROR(VLOOKUP(G444,'Plan Comptable'!$B$5:$C$278,2,FALSE),"Compte inconnu"))</f>
        <v/>
      </c>
      <c r="J444" s="83"/>
      <c r="K444" s="83"/>
      <c r="L444" s="14"/>
      <c r="M444" s="32" t="str">
        <f t="shared" si="48"/>
        <v/>
      </c>
      <c r="N444" s="77" t="str">
        <f t="shared" si="54"/>
        <v/>
      </c>
      <c r="O444" s="75" t="str">
        <f t="shared" si="55"/>
        <v/>
      </c>
      <c r="P444" s="79" t="str">
        <f>IF(B444="","",SUM($K$6:K444)-SUM($L$6:L444))</f>
        <v/>
      </c>
      <c r="Q444" s="75" t="str">
        <f t="shared" si="49"/>
        <v/>
      </c>
      <c r="R444" s="84"/>
      <c r="S444" s="84"/>
    </row>
    <row r="445" spans="1:19" x14ac:dyDescent="0.35">
      <c r="A445" s="75" t="str">
        <f t="shared" si="50"/>
        <v/>
      </c>
      <c r="B445" s="81"/>
      <c r="C445" s="75" t="str">
        <f t="shared" si="51"/>
        <v/>
      </c>
      <c r="D445" s="75" t="str">
        <f t="shared" si="52"/>
        <v/>
      </c>
      <c r="E445" s="14"/>
      <c r="F445" s="14"/>
      <c r="G445" s="14"/>
      <c r="H445" s="75" t="str">
        <f t="shared" si="53"/>
        <v/>
      </c>
      <c r="I445" s="77" t="str">
        <f>IF(G445="","",IFERROR(VLOOKUP(G445,'Plan Comptable'!$B$5:$C$278,2,FALSE),"Compte inconnu"))</f>
        <v/>
      </c>
      <c r="J445" s="83"/>
      <c r="K445" s="83"/>
      <c r="L445" s="14"/>
      <c r="M445" s="32" t="str">
        <f t="shared" si="48"/>
        <v/>
      </c>
      <c r="N445" s="77" t="str">
        <f t="shared" si="54"/>
        <v/>
      </c>
      <c r="O445" s="75" t="str">
        <f t="shared" si="55"/>
        <v/>
      </c>
      <c r="P445" s="79" t="str">
        <f>IF(B445="","",SUM($K$6:K445)-SUM($L$6:L445))</f>
        <v/>
      </c>
      <c r="Q445" s="75" t="str">
        <f t="shared" si="49"/>
        <v/>
      </c>
      <c r="R445" s="84"/>
      <c r="S445" s="84"/>
    </row>
    <row r="446" spans="1:19" x14ac:dyDescent="0.35">
      <c r="A446" s="75" t="str">
        <f t="shared" si="50"/>
        <v/>
      </c>
      <c r="B446" s="81"/>
      <c r="C446" s="75" t="str">
        <f t="shared" si="51"/>
        <v/>
      </c>
      <c r="D446" s="75" t="str">
        <f t="shared" si="52"/>
        <v/>
      </c>
      <c r="E446" s="14"/>
      <c r="F446" s="14"/>
      <c r="G446" s="14"/>
      <c r="H446" s="75" t="str">
        <f t="shared" si="53"/>
        <v/>
      </c>
      <c r="I446" s="77" t="str">
        <f>IF(G446="","",IFERROR(VLOOKUP(G446,'Plan Comptable'!$B$5:$C$278,2,FALSE),"Compte inconnu"))</f>
        <v/>
      </c>
      <c r="J446" s="83"/>
      <c r="K446" s="83"/>
      <c r="L446" s="14"/>
      <c r="M446" s="32" t="str">
        <f t="shared" si="48"/>
        <v/>
      </c>
      <c r="N446" s="77" t="str">
        <f t="shared" si="54"/>
        <v/>
      </c>
      <c r="O446" s="75" t="str">
        <f t="shared" si="55"/>
        <v/>
      </c>
      <c r="P446" s="79" t="str">
        <f>IF(B446="","",SUM($K$6:K446)-SUM($L$6:L446))</f>
        <v/>
      </c>
      <c r="Q446" s="75" t="str">
        <f t="shared" si="49"/>
        <v/>
      </c>
      <c r="R446" s="84"/>
      <c r="S446" s="84"/>
    </row>
    <row r="447" spans="1:19" x14ac:dyDescent="0.35">
      <c r="A447" s="75" t="str">
        <f t="shared" si="50"/>
        <v/>
      </c>
      <c r="B447" s="81"/>
      <c r="C447" s="75" t="str">
        <f t="shared" si="51"/>
        <v/>
      </c>
      <c r="D447" s="75" t="str">
        <f t="shared" si="52"/>
        <v/>
      </c>
      <c r="E447" s="14"/>
      <c r="F447" s="14"/>
      <c r="G447" s="14"/>
      <c r="H447" s="75" t="str">
        <f t="shared" si="53"/>
        <v/>
      </c>
      <c r="I447" s="77" t="str">
        <f>IF(G447="","",IFERROR(VLOOKUP(G447,'Plan Comptable'!$B$5:$C$278,2,FALSE),"Compte inconnu"))</f>
        <v/>
      </c>
      <c r="J447" s="83"/>
      <c r="K447" s="83"/>
      <c r="L447" s="14"/>
      <c r="M447" s="32" t="str">
        <f t="shared" si="48"/>
        <v/>
      </c>
      <c r="N447" s="77" t="str">
        <f t="shared" si="54"/>
        <v/>
      </c>
      <c r="O447" s="75" t="str">
        <f t="shared" si="55"/>
        <v/>
      </c>
      <c r="P447" s="79" t="str">
        <f>IF(B447="","",SUM($K$6:K447)-SUM($L$6:L447))</f>
        <v/>
      </c>
      <c r="Q447" s="75" t="str">
        <f t="shared" si="49"/>
        <v/>
      </c>
      <c r="R447" s="84"/>
      <c r="S447" s="84"/>
    </row>
    <row r="448" spans="1:19" x14ac:dyDescent="0.35">
      <c r="A448" s="75" t="str">
        <f t="shared" si="50"/>
        <v/>
      </c>
      <c r="B448" s="81"/>
      <c r="C448" s="75" t="str">
        <f t="shared" si="51"/>
        <v/>
      </c>
      <c r="D448" s="75" t="str">
        <f t="shared" si="52"/>
        <v/>
      </c>
      <c r="E448" s="14"/>
      <c r="F448" s="14"/>
      <c r="G448" s="14"/>
      <c r="H448" s="75" t="str">
        <f t="shared" si="53"/>
        <v/>
      </c>
      <c r="I448" s="77" t="str">
        <f>IF(G448="","",IFERROR(VLOOKUP(G448,'Plan Comptable'!$B$5:$C$278,2,FALSE),"Compte inconnu"))</f>
        <v/>
      </c>
      <c r="J448" s="83"/>
      <c r="K448" s="83"/>
      <c r="L448" s="14"/>
      <c r="M448" s="32" t="str">
        <f t="shared" si="48"/>
        <v/>
      </c>
      <c r="N448" s="77" t="str">
        <f t="shared" si="54"/>
        <v/>
      </c>
      <c r="O448" s="75" t="str">
        <f t="shared" si="55"/>
        <v/>
      </c>
      <c r="P448" s="79" t="str">
        <f>IF(B448="","",SUM($K$6:K448)-SUM($L$6:L448))</f>
        <v/>
      </c>
      <c r="Q448" s="75" t="str">
        <f t="shared" si="49"/>
        <v/>
      </c>
      <c r="R448" s="84"/>
      <c r="S448" s="84"/>
    </row>
    <row r="449" spans="1:19" x14ac:dyDescent="0.35">
      <c r="A449" s="75" t="str">
        <f t="shared" si="50"/>
        <v/>
      </c>
      <c r="B449" s="81"/>
      <c r="C449" s="75" t="str">
        <f t="shared" si="51"/>
        <v/>
      </c>
      <c r="D449" s="75" t="str">
        <f t="shared" si="52"/>
        <v/>
      </c>
      <c r="E449" s="14"/>
      <c r="F449" s="14"/>
      <c r="G449" s="14"/>
      <c r="H449" s="75" t="str">
        <f t="shared" si="53"/>
        <v/>
      </c>
      <c r="I449" s="77" t="str">
        <f>IF(G449="","",IFERROR(VLOOKUP(G449,'Plan Comptable'!$B$5:$C$278,2,FALSE),"Compte inconnu"))</f>
        <v/>
      </c>
      <c r="J449" s="83"/>
      <c r="K449" s="83"/>
      <c r="L449" s="14"/>
      <c r="M449" s="32" t="str">
        <f t="shared" si="48"/>
        <v/>
      </c>
      <c r="N449" s="77" t="str">
        <f t="shared" si="54"/>
        <v/>
      </c>
      <c r="O449" s="75" t="str">
        <f t="shared" si="55"/>
        <v/>
      </c>
      <c r="P449" s="79" t="str">
        <f>IF(B449="","",SUM($K$6:K449)-SUM($L$6:L449))</f>
        <v/>
      </c>
      <c r="Q449" s="75" t="str">
        <f t="shared" si="49"/>
        <v/>
      </c>
      <c r="R449" s="84"/>
      <c r="S449" s="84"/>
    </row>
    <row r="450" spans="1:19" x14ac:dyDescent="0.35">
      <c r="A450" s="75" t="str">
        <f t="shared" si="50"/>
        <v/>
      </c>
      <c r="B450" s="81"/>
      <c r="C450" s="75" t="str">
        <f t="shared" si="51"/>
        <v/>
      </c>
      <c r="D450" s="75" t="str">
        <f t="shared" si="52"/>
        <v/>
      </c>
      <c r="E450" s="14"/>
      <c r="F450" s="14"/>
      <c r="G450" s="14"/>
      <c r="H450" s="75" t="str">
        <f t="shared" si="53"/>
        <v/>
      </c>
      <c r="I450" s="77" t="str">
        <f>IF(G450="","",IFERROR(VLOOKUP(G450,'Plan Comptable'!$B$5:$C$278,2,FALSE),"Compte inconnu"))</f>
        <v/>
      </c>
      <c r="J450" s="83"/>
      <c r="K450" s="83"/>
      <c r="L450" s="14"/>
      <c r="M450" s="32" t="str">
        <f t="shared" si="48"/>
        <v/>
      </c>
      <c r="N450" s="77" t="str">
        <f t="shared" si="54"/>
        <v/>
      </c>
      <c r="O450" s="75" t="str">
        <f t="shared" si="55"/>
        <v/>
      </c>
      <c r="P450" s="79" t="str">
        <f>IF(B450="","",SUM($K$6:K450)-SUM($L$6:L450))</f>
        <v/>
      </c>
      <c r="Q450" s="75" t="str">
        <f t="shared" si="49"/>
        <v/>
      </c>
      <c r="R450" s="84"/>
      <c r="S450" s="84"/>
    </row>
    <row r="451" spans="1:19" x14ac:dyDescent="0.35">
      <c r="A451" s="75" t="str">
        <f t="shared" si="50"/>
        <v/>
      </c>
      <c r="B451" s="81"/>
      <c r="C451" s="75" t="str">
        <f t="shared" si="51"/>
        <v/>
      </c>
      <c r="D451" s="75" t="str">
        <f t="shared" si="52"/>
        <v/>
      </c>
      <c r="E451" s="14"/>
      <c r="F451" s="14"/>
      <c r="G451" s="14"/>
      <c r="H451" s="75" t="str">
        <f t="shared" si="53"/>
        <v/>
      </c>
      <c r="I451" s="77" t="str">
        <f>IF(G451="","",IFERROR(VLOOKUP(G451,'Plan Comptable'!$B$5:$C$278,2,FALSE),"Compte inconnu"))</f>
        <v/>
      </c>
      <c r="J451" s="83"/>
      <c r="K451" s="83"/>
      <c r="L451" s="14"/>
      <c r="M451" s="32" t="str">
        <f t="shared" si="48"/>
        <v/>
      </c>
      <c r="N451" s="77" t="str">
        <f t="shared" si="54"/>
        <v/>
      </c>
      <c r="O451" s="75" t="str">
        <f t="shared" si="55"/>
        <v/>
      </c>
      <c r="P451" s="79" t="str">
        <f>IF(B451="","",SUM($K$6:K451)-SUM($L$6:L451))</f>
        <v/>
      </c>
      <c r="Q451" s="75" t="str">
        <f t="shared" si="49"/>
        <v/>
      </c>
      <c r="R451" s="84"/>
      <c r="S451" s="84"/>
    </row>
    <row r="452" spans="1:19" x14ac:dyDescent="0.35">
      <c r="A452" s="75" t="str">
        <f t="shared" si="50"/>
        <v/>
      </c>
      <c r="B452" s="81"/>
      <c r="C452" s="75" t="str">
        <f t="shared" si="51"/>
        <v/>
      </c>
      <c r="D452" s="75" t="str">
        <f t="shared" si="52"/>
        <v/>
      </c>
      <c r="E452" s="14"/>
      <c r="F452" s="14"/>
      <c r="G452" s="14"/>
      <c r="H452" s="75" t="str">
        <f t="shared" si="53"/>
        <v/>
      </c>
      <c r="I452" s="77" t="str">
        <f>IF(G452="","",IFERROR(VLOOKUP(G452,'Plan Comptable'!$B$5:$C$278,2,FALSE),"Compte inconnu"))</f>
        <v/>
      </c>
      <c r="J452" s="83"/>
      <c r="K452" s="83"/>
      <c r="L452" s="14"/>
      <c r="M452" s="32" t="str">
        <f t="shared" si="48"/>
        <v/>
      </c>
      <c r="N452" s="77" t="str">
        <f t="shared" si="54"/>
        <v/>
      </c>
      <c r="O452" s="75" t="str">
        <f t="shared" si="55"/>
        <v/>
      </c>
      <c r="P452" s="79" t="str">
        <f>IF(B452="","",SUM($K$6:K452)-SUM($L$6:L452))</f>
        <v/>
      </c>
      <c r="Q452" s="75" t="str">
        <f t="shared" si="49"/>
        <v/>
      </c>
      <c r="R452" s="84"/>
      <c r="S452" s="84"/>
    </row>
    <row r="453" spans="1:19" x14ac:dyDescent="0.35">
      <c r="A453" s="75" t="str">
        <f t="shared" si="50"/>
        <v/>
      </c>
      <c r="B453" s="81"/>
      <c r="C453" s="75" t="str">
        <f t="shared" si="51"/>
        <v/>
      </c>
      <c r="D453" s="75" t="str">
        <f t="shared" si="52"/>
        <v/>
      </c>
      <c r="E453" s="14"/>
      <c r="F453" s="14"/>
      <c r="G453" s="14"/>
      <c r="H453" s="75" t="str">
        <f t="shared" si="53"/>
        <v/>
      </c>
      <c r="I453" s="77" t="str">
        <f>IF(G453="","",IFERROR(VLOOKUP(G453,'Plan Comptable'!$B$5:$C$278,2,FALSE),"Compte inconnu"))</f>
        <v/>
      </c>
      <c r="J453" s="83"/>
      <c r="K453" s="83"/>
      <c r="L453" s="14"/>
      <c r="M453" s="32" t="str">
        <f t="shared" si="48"/>
        <v/>
      </c>
      <c r="N453" s="77" t="str">
        <f t="shared" si="54"/>
        <v/>
      </c>
      <c r="O453" s="75" t="str">
        <f t="shared" si="55"/>
        <v/>
      </c>
      <c r="P453" s="79" t="str">
        <f>IF(B453="","",SUM($K$6:K453)-SUM($L$6:L453))</f>
        <v/>
      </c>
      <c r="Q453" s="75" t="str">
        <f t="shared" si="49"/>
        <v/>
      </c>
      <c r="R453" s="84"/>
      <c r="S453" s="84"/>
    </row>
    <row r="454" spans="1:19" x14ac:dyDescent="0.35">
      <c r="A454" s="75" t="str">
        <f t="shared" si="50"/>
        <v/>
      </c>
      <c r="B454" s="81"/>
      <c r="C454" s="75" t="str">
        <f t="shared" si="51"/>
        <v/>
      </c>
      <c r="D454" s="75" t="str">
        <f t="shared" si="52"/>
        <v/>
      </c>
      <c r="E454" s="14"/>
      <c r="F454" s="14"/>
      <c r="G454" s="14"/>
      <c r="H454" s="75" t="str">
        <f t="shared" si="53"/>
        <v/>
      </c>
      <c r="I454" s="77" t="str">
        <f>IF(G454="","",IFERROR(VLOOKUP(G454,'Plan Comptable'!$B$5:$C$278,2,FALSE),"Compte inconnu"))</f>
        <v/>
      </c>
      <c r="J454" s="83"/>
      <c r="K454" s="83"/>
      <c r="L454" s="14"/>
      <c r="M454" s="32" t="str">
        <f t="shared" ref="M454:M508" si="56">IF(B454="","",IF(AND(OR(K454="",L454=""),K454&lt;&gt;L454),"",IF(AND(K454&lt;&gt;"",L454&lt;&gt;"",ABS(K454-L454)&gt;=0.01),"⚠ D/C",IF(AND(E454&lt;&gt;"",F454&lt;&gt;"",COUNTIFS($F$6:$F$508,F454,$E$6:$E$508,E454)&gt;1),"⚠ DBL",IF(AND(E454&lt;&gt;"",ABS(SUMIF($E$6:$E$507,E454,$K$6:$K$507)-SUMIF($E$6:$E$507,E454,$L$6:$L$507))&gt;=0.01),"⚠ PÈC",IF(AND(DebutExercice&lt;&gt;"",FinExercice&lt;&gt;"",OR(B454&lt;DebutExercice,B454&gt;FinExercice)),"⚠ DATE","✓"))))))</f>
        <v/>
      </c>
      <c r="N454" s="77" t="str">
        <f t="shared" si="54"/>
        <v/>
      </c>
      <c r="O454" s="75" t="str">
        <f t="shared" si="55"/>
        <v/>
      </c>
      <c r="P454" s="79" t="str">
        <f>IF(B454="","",SUM($K$6:K454)-SUM($L$6:L454))</f>
        <v/>
      </c>
      <c r="Q454" s="75" t="str">
        <f t="shared" ref="Q454:Q507" si="57">IF(B454="","",IF(OR(DebutExercice="",FinExercice=""),"?",IF(AND(B454&gt;=DebutExercice,B454&lt;=FinExercice),"✓","⚠ Hors")))</f>
        <v/>
      </c>
      <c r="R454" s="84"/>
      <c r="S454" s="84"/>
    </row>
    <row r="455" spans="1:19" x14ac:dyDescent="0.35">
      <c r="A455" s="75" t="str">
        <f t="shared" ref="A455:A507" si="58">IF(B455="","",ROW()-4)</f>
        <v/>
      </c>
      <c r="B455" s="81"/>
      <c r="C455" s="75" t="str">
        <f t="shared" ref="C455:C507" si="59">IF(B455="","",MONTH(B455))</f>
        <v/>
      </c>
      <c r="D455" s="75" t="str">
        <f t="shared" ref="D455:D507" si="60">IF(B455="","",YEAR(B455))</f>
        <v/>
      </c>
      <c r="E455" s="14"/>
      <c r="F455" s="14"/>
      <c r="G455" s="14"/>
      <c r="H455" s="75" t="str">
        <f t="shared" ref="H455:H507" si="61">IF(G455="","",LEFT(G455,1))</f>
        <v/>
      </c>
      <c r="I455" s="77" t="str">
        <f>IF(G455="","",IFERROR(VLOOKUP(G455,'Plan Comptable'!$B$5:$C$278,2,FALSE),"Compte inconnu"))</f>
        <v/>
      </c>
      <c r="J455" s="83"/>
      <c r="K455" s="83"/>
      <c r="L455" s="14"/>
      <c r="M455" s="32" t="str">
        <f t="shared" si="56"/>
        <v/>
      </c>
      <c r="N455" s="77" t="str">
        <f t="shared" ref="N455:N508" si="62">IF(OR(E455="",F455=""),"",IF(COUNTIFS($F$6:$F$508,F455,$E$6:$E$508,E455)&gt;1,"DOUBLON",""))</f>
        <v/>
      </c>
      <c r="O455" s="75" t="str">
        <f t="shared" ref="O455:O507" si="63">IF(E455="","",IF(ABS(SUMIF($E$6:$E$507,E455,$K$6:$K$507)-SUMIF($E$6:$E$507,E455,$L$6:$L$507))&lt;0.01,"✓","⚠"))</f>
        <v/>
      </c>
      <c r="P455" s="79" t="str">
        <f>IF(B455="","",SUM($K$6:K455)-SUM($L$6:L455))</f>
        <v/>
      </c>
      <c r="Q455" s="75" t="str">
        <f t="shared" si="57"/>
        <v/>
      </c>
      <c r="R455" s="84"/>
      <c r="S455" s="84"/>
    </row>
    <row r="456" spans="1:19" x14ac:dyDescent="0.35">
      <c r="A456" s="75" t="str">
        <f t="shared" si="58"/>
        <v/>
      </c>
      <c r="B456" s="81"/>
      <c r="C456" s="75" t="str">
        <f t="shared" si="59"/>
        <v/>
      </c>
      <c r="D456" s="75" t="str">
        <f t="shared" si="60"/>
        <v/>
      </c>
      <c r="E456" s="14"/>
      <c r="F456" s="14"/>
      <c r="G456" s="14"/>
      <c r="H456" s="75" t="str">
        <f t="shared" si="61"/>
        <v/>
      </c>
      <c r="I456" s="77" t="str">
        <f>IF(G456="","",IFERROR(VLOOKUP(G456,'Plan Comptable'!$B$5:$C$278,2,FALSE),"Compte inconnu"))</f>
        <v/>
      </c>
      <c r="J456" s="83"/>
      <c r="K456" s="83"/>
      <c r="L456" s="14"/>
      <c r="M456" s="32" t="str">
        <f t="shared" si="56"/>
        <v/>
      </c>
      <c r="N456" s="77" t="str">
        <f t="shared" si="62"/>
        <v/>
      </c>
      <c r="O456" s="75" t="str">
        <f t="shared" si="63"/>
        <v/>
      </c>
      <c r="P456" s="79" t="str">
        <f>IF(B456="","",SUM($K$6:K456)-SUM($L$6:L456))</f>
        <v/>
      </c>
      <c r="Q456" s="75" t="str">
        <f t="shared" si="57"/>
        <v/>
      </c>
      <c r="R456" s="84"/>
      <c r="S456" s="84"/>
    </row>
    <row r="457" spans="1:19" x14ac:dyDescent="0.35">
      <c r="A457" s="75" t="str">
        <f t="shared" si="58"/>
        <v/>
      </c>
      <c r="B457" s="81"/>
      <c r="C457" s="75" t="str">
        <f t="shared" si="59"/>
        <v/>
      </c>
      <c r="D457" s="75" t="str">
        <f t="shared" si="60"/>
        <v/>
      </c>
      <c r="E457" s="14"/>
      <c r="F457" s="14"/>
      <c r="G457" s="14"/>
      <c r="H457" s="75" t="str">
        <f t="shared" si="61"/>
        <v/>
      </c>
      <c r="I457" s="77" t="str">
        <f>IF(G457="","",IFERROR(VLOOKUP(G457,'Plan Comptable'!$B$5:$C$278,2,FALSE),"Compte inconnu"))</f>
        <v/>
      </c>
      <c r="J457" s="83"/>
      <c r="K457" s="83"/>
      <c r="L457" s="14"/>
      <c r="M457" s="32" t="str">
        <f t="shared" si="56"/>
        <v/>
      </c>
      <c r="N457" s="77" t="str">
        <f t="shared" si="62"/>
        <v/>
      </c>
      <c r="O457" s="75" t="str">
        <f t="shared" si="63"/>
        <v/>
      </c>
      <c r="P457" s="79" t="str">
        <f>IF(B457="","",SUM($K$6:K457)-SUM($L$6:L457))</f>
        <v/>
      </c>
      <c r="Q457" s="75" t="str">
        <f t="shared" si="57"/>
        <v/>
      </c>
      <c r="R457" s="84"/>
      <c r="S457" s="84"/>
    </row>
    <row r="458" spans="1:19" x14ac:dyDescent="0.35">
      <c r="A458" s="75" t="str">
        <f t="shared" si="58"/>
        <v/>
      </c>
      <c r="B458" s="81"/>
      <c r="C458" s="75" t="str">
        <f t="shared" si="59"/>
        <v/>
      </c>
      <c r="D458" s="75" t="str">
        <f t="shared" si="60"/>
        <v/>
      </c>
      <c r="E458" s="14"/>
      <c r="F458" s="14"/>
      <c r="G458" s="14"/>
      <c r="H458" s="75" t="str">
        <f t="shared" si="61"/>
        <v/>
      </c>
      <c r="I458" s="77" t="str">
        <f>IF(G458="","",IFERROR(VLOOKUP(G458,'Plan Comptable'!$B$5:$C$278,2,FALSE),"Compte inconnu"))</f>
        <v/>
      </c>
      <c r="J458" s="83"/>
      <c r="K458" s="83"/>
      <c r="L458" s="14"/>
      <c r="M458" s="32" t="str">
        <f t="shared" si="56"/>
        <v/>
      </c>
      <c r="N458" s="77" t="str">
        <f t="shared" si="62"/>
        <v/>
      </c>
      <c r="O458" s="75" t="str">
        <f t="shared" si="63"/>
        <v/>
      </c>
      <c r="P458" s="79" t="str">
        <f>IF(B458="","",SUM($K$6:K458)-SUM($L$6:L458))</f>
        <v/>
      </c>
      <c r="Q458" s="75" t="str">
        <f t="shared" si="57"/>
        <v/>
      </c>
      <c r="R458" s="84"/>
      <c r="S458" s="84"/>
    </row>
    <row r="459" spans="1:19" x14ac:dyDescent="0.35">
      <c r="A459" s="75" t="str">
        <f t="shared" si="58"/>
        <v/>
      </c>
      <c r="B459" s="81"/>
      <c r="C459" s="75" t="str">
        <f t="shared" si="59"/>
        <v/>
      </c>
      <c r="D459" s="75" t="str">
        <f t="shared" si="60"/>
        <v/>
      </c>
      <c r="E459" s="14"/>
      <c r="F459" s="14"/>
      <c r="G459" s="14"/>
      <c r="H459" s="75" t="str">
        <f t="shared" si="61"/>
        <v/>
      </c>
      <c r="I459" s="77" t="str">
        <f>IF(G459="","",IFERROR(VLOOKUP(G459,'Plan Comptable'!$B$5:$C$278,2,FALSE),"Compte inconnu"))</f>
        <v/>
      </c>
      <c r="J459" s="83"/>
      <c r="K459" s="83"/>
      <c r="L459" s="14"/>
      <c r="M459" s="32" t="str">
        <f t="shared" si="56"/>
        <v/>
      </c>
      <c r="N459" s="77" t="str">
        <f t="shared" si="62"/>
        <v/>
      </c>
      <c r="O459" s="75" t="str">
        <f t="shared" si="63"/>
        <v/>
      </c>
      <c r="P459" s="79" t="str">
        <f>IF(B459="","",SUM($K$6:K459)-SUM($L$6:L459))</f>
        <v/>
      </c>
      <c r="Q459" s="75" t="str">
        <f t="shared" si="57"/>
        <v/>
      </c>
      <c r="R459" s="84"/>
      <c r="S459" s="84"/>
    </row>
    <row r="460" spans="1:19" x14ac:dyDescent="0.35">
      <c r="A460" s="75" t="str">
        <f t="shared" si="58"/>
        <v/>
      </c>
      <c r="B460" s="81"/>
      <c r="C460" s="75" t="str">
        <f t="shared" si="59"/>
        <v/>
      </c>
      <c r="D460" s="75" t="str">
        <f t="shared" si="60"/>
        <v/>
      </c>
      <c r="E460" s="14"/>
      <c r="F460" s="14"/>
      <c r="G460" s="14"/>
      <c r="H460" s="75" t="str">
        <f t="shared" si="61"/>
        <v/>
      </c>
      <c r="I460" s="77" t="str">
        <f>IF(G460="","",IFERROR(VLOOKUP(G460,'Plan Comptable'!$B$5:$C$278,2,FALSE),"Compte inconnu"))</f>
        <v/>
      </c>
      <c r="J460" s="83"/>
      <c r="K460" s="83"/>
      <c r="L460" s="14"/>
      <c r="M460" s="32" t="str">
        <f t="shared" si="56"/>
        <v/>
      </c>
      <c r="N460" s="77" t="str">
        <f t="shared" si="62"/>
        <v/>
      </c>
      <c r="O460" s="75" t="str">
        <f t="shared" si="63"/>
        <v/>
      </c>
      <c r="P460" s="79" t="str">
        <f>IF(B460="","",SUM($K$6:K460)-SUM($L$6:L460))</f>
        <v/>
      </c>
      <c r="Q460" s="75" t="str">
        <f t="shared" si="57"/>
        <v/>
      </c>
      <c r="R460" s="84"/>
      <c r="S460" s="84"/>
    </row>
    <row r="461" spans="1:19" x14ac:dyDescent="0.35">
      <c r="A461" s="75" t="str">
        <f t="shared" si="58"/>
        <v/>
      </c>
      <c r="B461" s="81"/>
      <c r="C461" s="75" t="str">
        <f t="shared" si="59"/>
        <v/>
      </c>
      <c r="D461" s="75" t="str">
        <f t="shared" si="60"/>
        <v/>
      </c>
      <c r="E461" s="14"/>
      <c r="F461" s="14"/>
      <c r="G461" s="14"/>
      <c r="H461" s="75" t="str">
        <f t="shared" si="61"/>
        <v/>
      </c>
      <c r="I461" s="77" t="str">
        <f>IF(G461="","",IFERROR(VLOOKUP(G461,'Plan Comptable'!$B$5:$C$278,2,FALSE),"Compte inconnu"))</f>
        <v/>
      </c>
      <c r="J461" s="83"/>
      <c r="K461" s="83"/>
      <c r="L461" s="14"/>
      <c r="M461" s="32" t="str">
        <f t="shared" si="56"/>
        <v/>
      </c>
      <c r="N461" s="77" t="str">
        <f t="shared" si="62"/>
        <v/>
      </c>
      <c r="O461" s="75" t="str">
        <f t="shared" si="63"/>
        <v/>
      </c>
      <c r="P461" s="79" t="str">
        <f>IF(B461="","",SUM($K$6:K461)-SUM($L$6:L461))</f>
        <v/>
      </c>
      <c r="Q461" s="75" t="str">
        <f t="shared" si="57"/>
        <v/>
      </c>
      <c r="R461" s="84"/>
      <c r="S461" s="84"/>
    </row>
    <row r="462" spans="1:19" x14ac:dyDescent="0.35">
      <c r="A462" s="75" t="str">
        <f t="shared" si="58"/>
        <v/>
      </c>
      <c r="B462" s="81"/>
      <c r="C462" s="75" t="str">
        <f t="shared" si="59"/>
        <v/>
      </c>
      <c r="D462" s="75" t="str">
        <f t="shared" si="60"/>
        <v/>
      </c>
      <c r="E462" s="14"/>
      <c r="F462" s="14"/>
      <c r="G462" s="14"/>
      <c r="H462" s="75" t="str">
        <f t="shared" si="61"/>
        <v/>
      </c>
      <c r="I462" s="77" t="str">
        <f>IF(G462="","",IFERROR(VLOOKUP(G462,'Plan Comptable'!$B$5:$C$278,2,FALSE),"Compte inconnu"))</f>
        <v/>
      </c>
      <c r="J462" s="83"/>
      <c r="K462" s="83"/>
      <c r="L462" s="14"/>
      <c r="M462" s="32" t="str">
        <f t="shared" si="56"/>
        <v/>
      </c>
      <c r="N462" s="77" t="str">
        <f t="shared" si="62"/>
        <v/>
      </c>
      <c r="O462" s="75" t="str">
        <f t="shared" si="63"/>
        <v/>
      </c>
      <c r="P462" s="79" t="str">
        <f>IF(B462="","",SUM($K$6:K462)-SUM($L$6:L462))</f>
        <v/>
      </c>
      <c r="Q462" s="75" t="str">
        <f t="shared" si="57"/>
        <v/>
      </c>
      <c r="R462" s="84"/>
      <c r="S462" s="84"/>
    </row>
    <row r="463" spans="1:19" x14ac:dyDescent="0.35">
      <c r="A463" s="75" t="str">
        <f t="shared" si="58"/>
        <v/>
      </c>
      <c r="B463" s="81"/>
      <c r="C463" s="75" t="str">
        <f t="shared" si="59"/>
        <v/>
      </c>
      <c r="D463" s="75" t="str">
        <f t="shared" si="60"/>
        <v/>
      </c>
      <c r="E463" s="14"/>
      <c r="F463" s="14"/>
      <c r="G463" s="14"/>
      <c r="H463" s="75" t="str">
        <f t="shared" si="61"/>
        <v/>
      </c>
      <c r="I463" s="77" t="str">
        <f>IF(G463="","",IFERROR(VLOOKUP(G463,'Plan Comptable'!$B$5:$C$278,2,FALSE),"Compte inconnu"))</f>
        <v/>
      </c>
      <c r="J463" s="83"/>
      <c r="K463" s="83"/>
      <c r="L463" s="14"/>
      <c r="M463" s="32" t="str">
        <f t="shared" si="56"/>
        <v/>
      </c>
      <c r="N463" s="77" t="str">
        <f t="shared" si="62"/>
        <v/>
      </c>
      <c r="O463" s="75" t="str">
        <f t="shared" si="63"/>
        <v/>
      </c>
      <c r="P463" s="79" t="str">
        <f>IF(B463="","",SUM($K$6:K463)-SUM($L$6:L463))</f>
        <v/>
      </c>
      <c r="Q463" s="75" t="str">
        <f t="shared" si="57"/>
        <v/>
      </c>
      <c r="R463" s="84"/>
      <c r="S463" s="84"/>
    </row>
    <row r="464" spans="1:19" x14ac:dyDescent="0.35">
      <c r="A464" s="75" t="str">
        <f t="shared" si="58"/>
        <v/>
      </c>
      <c r="B464" s="81"/>
      <c r="C464" s="75" t="str">
        <f t="shared" si="59"/>
        <v/>
      </c>
      <c r="D464" s="75" t="str">
        <f t="shared" si="60"/>
        <v/>
      </c>
      <c r="E464" s="14"/>
      <c r="F464" s="14"/>
      <c r="G464" s="14"/>
      <c r="H464" s="75" t="str">
        <f t="shared" si="61"/>
        <v/>
      </c>
      <c r="I464" s="77" t="str">
        <f>IF(G464="","",IFERROR(VLOOKUP(G464,'Plan Comptable'!$B$5:$C$278,2,FALSE),"Compte inconnu"))</f>
        <v/>
      </c>
      <c r="J464" s="83"/>
      <c r="K464" s="83"/>
      <c r="L464" s="14"/>
      <c r="M464" s="32" t="str">
        <f t="shared" si="56"/>
        <v/>
      </c>
      <c r="N464" s="77" t="str">
        <f t="shared" si="62"/>
        <v/>
      </c>
      <c r="O464" s="75" t="str">
        <f t="shared" si="63"/>
        <v/>
      </c>
      <c r="P464" s="79" t="str">
        <f>IF(B464="","",SUM($K$6:K464)-SUM($L$6:L464))</f>
        <v/>
      </c>
      <c r="Q464" s="75" t="str">
        <f t="shared" si="57"/>
        <v/>
      </c>
      <c r="R464" s="84"/>
      <c r="S464" s="84"/>
    </row>
    <row r="465" spans="1:19" x14ac:dyDescent="0.35">
      <c r="A465" s="75" t="str">
        <f t="shared" si="58"/>
        <v/>
      </c>
      <c r="B465" s="81"/>
      <c r="C465" s="75" t="str">
        <f t="shared" si="59"/>
        <v/>
      </c>
      <c r="D465" s="75" t="str">
        <f t="shared" si="60"/>
        <v/>
      </c>
      <c r="E465" s="14"/>
      <c r="F465" s="14"/>
      <c r="G465" s="14"/>
      <c r="H465" s="75" t="str">
        <f t="shared" si="61"/>
        <v/>
      </c>
      <c r="I465" s="77" t="str">
        <f>IF(G465="","",IFERROR(VLOOKUP(G465,'Plan Comptable'!$B$5:$C$278,2,FALSE),"Compte inconnu"))</f>
        <v/>
      </c>
      <c r="J465" s="83"/>
      <c r="K465" s="83"/>
      <c r="L465" s="14"/>
      <c r="M465" s="32" t="str">
        <f t="shared" si="56"/>
        <v/>
      </c>
      <c r="N465" s="77" t="str">
        <f t="shared" si="62"/>
        <v/>
      </c>
      <c r="O465" s="75" t="str">
        <f t="shared" si="63"/>
        <v/>
      </c>
      <c r="P465" s="79" t="str">
        <f>IF(B465="","",SUM($K$6:K465)-SUM($L$6:L465))</f>
        <v/>
      </c>
      <c r="Q465" s="75" t="str">
        <f t="shared" si="57"/>
        <v/>
      </c>
      <c r="R465" s="84"/>
      <c r="S465" s="84"/>
    </row>
    <row r="466" spans="1:19" x14ac:dyDescent="0.35">
      <c r="A466" s="75" t="str">
        <f t="shared" si="58"/>
        <v/>
      </c>
      <c r="B466" s="81"/>
      <c r="C466" s="75" t="str">
        <f t="shared" si="59"/>
        <v/>
      </c>
      <c r="D466" s="75" t="str">
        <f t="shared" si="60"/>
        <v/>
      </c>
      <c r="E466" s="14"/>
      <c r="F466" s="14"/>
      <c r="G466" s="14"/>
      <c r="H466" s="75" t="str">
        <f t="shared" si="61"/>
        <v/>
      </c>
      <c r="I466" s="77" t="str">
        <f>IF(G466="","",IFERROR(VLOOKUP(G466,'Plan Comptable'!$B$5:$C$278,2,FALSE),"Compte inconnu"))</f>
        <v/>
      </c>
      <c r="J466" s="83"/>
      <c r="K466" s="83"/>
      <c r="L466" s="14"/>
      <c r="M466" s="32" t="str">
        <f t="shared" si="56"/>
        <v/>
      </c>
      <c r="N466" s="77" t="str">
        <f t="shared" si="62"/>
        <v/>
      </c>
      <c r="O466" s="75" t="str">
        <f t="shared" si="63"/>
        <v/>
      </c>
      <c r="P466" s="79" t="str">
        <f>IF(B466="","",SUM($K$6:K466)-SUM($L$6:L466))</f>
        <v/>
      </c>
      <c r="Q466" s="75" t="str">
        <f t="shared" si="57"/>
        <v/>
      </c>
      <c r="R466" s="84"/>
      <c r="S466" s="84"/>
    </row>
    <row r="467" spans="1:19" x14ac:dyDescent="0.35">
      <c r="A467" s="75" t="str">
        <f t="shared" si="58"/>
        <v/>
      </c>
      <c r="B467" s="81"/>
      <c r="C467" s="75" t="str">
        <f t="shared" si="59"/>
        <v/>
      </c>
      <c r="D467" s="75" t="str">
        <f t="shared" si="60"/>
        <v/>
      </c>
      <c r="E467" s="14"/>
      <c r="F467" s="14"/>
      <c r="G467" s="14"/>
      <c r="H467" s="75" t="str">
        <f t="shared" si="61"/>
        <v/>
      </c>
      <c r="I467" s="77" t="str">
        <f>IF(G467="","",IFERROR(VLOOKUP(G467,'Plan Comptable'!$B$5:$C$278,2,FALSE),"Compte inconnu"))</f>
        <v/>
      </c>
      <c r="J467" s="83"/>
      <c r="K467" s="83"/>
      <c r="L467" s="14"/>
      <c r="M467" s="32" t="str">
        <f t="shared" si="56"/>
        <v/>
      </c>
      <c r="N467" s="77" t="str">
        <f t="shared" si="62"/>
        <v/>
      </c>
      <c r="O467" s="75" t="str">
        <f t="shared" si="63"/>
        <v/>
      </c>
      <c r="P467" s="79" t="str">
        <f>IF(B467="","",SUM($K$6:K467)-SUM($L$6:L467))</f>
        <v/>
      </c>
      <c r="Q467" s="75" t="str">
        <f t="shared" si="57"/>
        <v/>
      </c>
      <c r="R467" s="84"/>
      <c r="S467" s="84"/>
    </row>
    <row r="468" spans="1:19" x14ac:dyDescent="0.35">
      <c r="A468" s="75" t="str">
        <f t="shared" si="58"/>
        <v/>
      </c>
      <c r="B468" s="81"/>
      <c r="C468" s="75" t="str">
        <f t="shared" si="59"/>
        <v/>
      </c>
      <c r="D468" s="75" t="str">
        <f t="shared" si="60"/>
        <v/>
      </c>
      <c r="E468" s="14"/>
      <c r="F468" s="14"/>
      <c r="G468" s="14"/>
      <c r="H468" s="75" t="str">
        <f t="shared" si="61"/>
        <v/>
      </c>
      <c r="I468" s="77" t="str">
        <f>IF(G468="","",IFERROR(VLOOKUP(G468,'Plan Comptable'!$B$5:$C$278,2,FALSE),"Compte inconnu"))</f>
        <v/>
      </c>
      <c r="J468" s="83"/>
      <c r="K468" s="83"/>
      <c r="L468" s="14"/>
      <c r="M468" s="32" t="str">
        <f t="shared" si="56"/>
        <v/>
      </c>
      <c r="N468" s="77" t="str">
        <f t="shared" si="62"/>
        <v/>
      </c>
      <c r="O468" s="75" t="str">
        <f t="shared" si="63"/>
        <v/>
      </c>
      <c r="P468" s="79" t="str">
        <f>IF(B468="","",SUM($K$6:K468)-SUM($L$6:L468))</f>
        <v/>
      </c>
      <c r="Q468" s="75" t="str">
        <f t="shared" si="57"/>
        <v/>
      </c>
      <c r="R468" s="84"/>
      <c r="S468" s="84"/>
    </row>
    <row r="469" spans="1:19" x14ac:dyDescent="0.35">
      <c r="A469" s="75" t="str">
        <f t="shared" si="58"/>
        <v/>
      </c>
      <c r="B469" s="81"/>
      <c r="C469" s="75" t="str">
        <f t="shared" si="59"/>
        <v/>
      </c>
      <c r="D469" s="75" t="str">
        <f t="shared" si="60"/>
        <v/>
      </c>
      <c r="E469" s="14"/>
      <c r="F469" s="14"/>
      <c r="G469" s="14"/>
      <c r="H469" s="75" t="str">
        <f t="shared" si="61"/>
        <v/>
      </c>
      <c r="I469" s="77" t="str">
        <f>IF(G469="","",IFERROR(VLOOKUP(G469,'Plan Comptable'!$B$5:$C$278,2,FALSE),"Compte inconnu"))</f>
        <v/>
      </c>
      <c r="J469" s="83"/>
      <c r="K469" s="83"/>
      <c r="L469" s="14"/>
      <c r="M469" s="32" t="str">
        <f t="shared" si="56"/>
        <v/>
      </c>
      <c r="N469" s="77" t="str">
        <f t="shared" si="62"/>
        <v/>
      </c>
      <c r="O469" s="75" t="str">
        <f t="shared" si="63"/>
        <v/>
      </c>
      <c r="P469" s="79" t="str">
        <f>IF(B469="","",SUM($K$6:K469)-SUM($L$6:L469))</f>
        <v/>
      </c>
      <c r="Q469" s="75" t="str">
        <f t="shared" si="57"/>
        <v/>
      </c>
      <c r="R469" s="84"/>
      <c r="S469" s="84"/>
    </row>
    <row r="470" spans="1:19" x14ac:dyDescent="0.35">
      <c r="A470" s="75" t="str">
        <f t="shared" si="58"/>
        <v/>
      </c>
      <c r="B470" s="81"/>
      <c r="C470" s="75" t="str">
        <f t="shared" si="59"/>
        <v/>
      </c>
      <c r="D470" s="75" t="str">
        <f t="shared" si="60"/>
        <v/>
      </c>
      <c r="E470" s="14"/>
      <c r="F470" s="14"/>
      <c r="G470" s="14"/>
      <c r="H470" s="75" t="str">
        <f t="shared" si="61"/>
        <v/>
      </c>
      <c r="I470" s="77" t="str">
        <f>IF(G470="","",IFERROR(VLOOKUP(G470,'Plan Comptable'!$B$5:$C$278,2,FALSE),"Compte inconnu"))</f>
        <v/>
      </c>
      <c r="J470" s="83"/>
      <c r="K470" s="83"/>
      <c r="L470" s="14"/>
      <c r="M470" s="32" t="str">
        <f t="shared" si="56"/>
        <v/>
      </c>
      <c r="N470" s="77" t="str">
        <f t="shared" si="62"/>
        <v/>
      </c>
      <c r="O470" s="75" t="str">
        <f t="shared" si="63"/>
        <v/>
      </c>
      <c r="P470" s="79" t="str">
        <f>IF(B470="","",SUM($K$6:K470)-SUM($L$6:L470))</f>
        <v/>
      </c>
      <c r="Q470" s="75" t="str">
        <f t="shared" si="57"/>
        <v/>
      </c>
      <c r="R470" s="84"/>
      <c r="S470" s="84"/>
    </row>
    <row r="471" spans="1:19" x14ac:dyDescent="0.35">
      <c r="A471" s="75" t="str">
        <f t="shared" si="58"/>
        <v/>
      </c>
      <c r="B471" s="81"/>
      <c r="C471" s="75" t="str">
        <f t="shared" si="59"/>
        <v/>
      </c>
      <c r="D471" s="75" t="str">
        <f t="shared" si="60"/>
        <v/>
      </c>
      <c r="E471" s="14"/>
      <c r="F471" s="14"/>
      <c r="G471" s="14"/>
      <c r="H471" s="75" t="str">
        <f t="shared" si="61"/>
        <v/>
      </c>
      <c r="I471" s="77" t="str">
        <f>IF(G471="","",IFERROR(VLOOKUP(G471,'Plan Comptable'!$B$5:$C$278,2,FALSE),"Compte inconnu"))</f>
        <v/>
      </c>
      <c r="J471" s="83"/>
      <c r="K471" s="83"/>
      <c r="L471" s="14"/>
      <c r="M471" s="32" t="str">
        <f t="shared" si="56"/>
        <v/>
      </c>
      <c r="N471" s="77" t="str">
        <f t="shared" si="62"/>
        <v/>
      </c>
      <c r="O471" s="75" t="str">
        <f t="shared" si="63"/>
        <v/>
      </c>
      <c r="P471" s="79" t="str">
        <f>IF(B471="","",SUM($K$6:K471)-SUM($L$6:L471))</f>
        <v/>
      </c>
      <c r="Q471" s="75" t="str">
        <f t="shared" si="57"/>
        <v/>
      </c>
      <c r="R471" s="84"/>
      <c r="S471" s="84"/>
    </row>
    <row r="472" spans="1:19" x14ac:dyDescent="0.35">
      <c r="A472" s="75" t="str">
        <f t="shared" si="58"/>
        <v/>
      </c>
      <c r="B472" s="81"/>
      <c r="C472" s="75" t="str">
        <f t="shared" si="59"/>
        <v/>
      </c>
      <c r="D472" s="75" t="str">
        <f t="shared" si="60"/>
        <v/>
      </c>
      <c r="E472" s="14"/>
      <c r="F472" s="14"/>
      <c r="G472" s="14"/>
      <c r="H472" s="75" t="str">
        <f t="shared" si="61"/>
        <v/>
      </c>
      <c r="I472" s="77" t="str">
        <f>IF(G472="","",IFERROR(VLOOKUP(G472,'Plan Comptable'!$B$5:$C$278,2,FALSE),"Compte inconnu"))</f>
        <v/>
      </c>
      <c r="J472" s="83"/>
      <c r="K472" s="83"/>
      <c r="L472" s="14"/>
      <c r="M472" s="32" t="str">
        <f t="shared" si="56"/>
        <v/>
      </c>
      <c r="N472" s="77" t="str">
        <f t="shared" si="62"/>
        <v/>
      </c>
      <c r="O472" s="75" t="str">
        <f t="shared" si="63"/>
        <v/>
      </c>
      <c r="P472" s="79" t="str">
        <f>IF(B472="","",SUM($K$6:K472)-SUM($L$6:L472))</f>
        <v/>
      </c>
      <c r="Q472" s="75" t="str">
        <f t="shared" si="57"/>
        <v/>
      </c>
      <c r="R472" s="84"/>
      <c r="S472" s="84"/>
    </row>
    <row r="473" spans="1:19" x14ac:dyDescent="0.35">
      <c r="A473" s="75" t="str">
        <f t="shared" si="58"/>
        <v/>
      </c>
      <c r="B473" s="81"/>
      <c r="C473" s="75" t="str">
        <f t="shared" si="59"/>
        <v/>
      </c>
      <c r="D473" s="75" t="str">
        <f t="shared" si="60"/>
        <v/>
      </c>
      <c r="E473" s="14"/>
      <c r="F473" s="14"/>
      <c r="G473" s="14"/>
      <c r="H473" s="75" t="str">
        <f t="shared" si="61"/>
        <v/>
      </c>
      <c r="I473" s="77" t="str">
        <f>IF(G473="","",IFERROR(VLOOKUP(G473,'Plan Comptable'!$B$5:$C$278,2,FALSE),"Compte inconnu"))</f>
        <v/>
      </c>
      <c r="J473" s="83"/>
      <c r="K473" s="83"/>
      <c r="L473" s="14"/>
      <c r="M473" s="32" t="str">
        <f t="shared" si="56"/>
        <v/>
      </c>
      <c r="N473" s="77" t="str">
        <f t="shared" si="62"/>
        <v/>
      </c>
      <c r="O473" s="75" t="str">
        <f t="shared" si="63"/>
        <v/>
      </c>
      <c r="P473" s="79" t="str">
        <f>IF(B473="","",SUM($K$6:K473)-SUM($L$6:L473))</f>
        <v/>
      </c>
      <c r="Q473" s="75" t="str">
        <f t="shared" si="57"/>
        <v/>
      </c>
      <c r="R473" s="84"/>
      <c r="S473" s="84"/>
    </row>
    <row r="474" spans="1:19" x14ac:dyDescent="0.35">
      <c r="A474" s="75" t="str">
        <f t="shared" si="58"/>
        <v/>
      </c>
      <c r="B474" s="81"/>
      <c r="C474" s="75" t="str">
        <f t="shared" si="59"/>
        <v/>
      </c>
      <c r="D474" s="75" t="str">
        <f t="shared" si="60"/>
        <v/>
      </c>
      <c r="E474" s="14"/>
      <c r="F474" s="14"/>
      <c r="G474" s="14"/>
      <c r="H474" s="75" t="str">
        <f t="shared" si="61"/>
        <v/>
      </c>
      <c r="I474" s="77" t="str">
        <f>IF(G474="","",IFERROR(VLOOKUP(G474,'Plan Comptable'!$B$5:$C$278,2,FALSE),"Compte inconnu"))</f>
        <v/>
      </c>
      <c r="J474" s="83"/>
      <c r="K474" s="83"/>
      <c r="L474" s="14"/>
      <c r="M474" s="32" t="str">
        <f t="shared" si="56"/>
        <v/>
      </c>
      <c r="N474" s="77" t="str">
        <f t="shared" si="62"/>
        <v/>
      </c>
      <c r="O474" s="75" t="str">
        <f t="shared" si="63"/>
        <v/>
      </c>
      <c r="P474" s="79" t="str">
        <f>IF(B474="","",SUM($K$6:K474)-SUM($L$6:L474))</f>
        <v/>
      </c>
      <c r="Q474" s="75" t="str">
        <f t="shared" si="57"/>
        <v/>
      </c>
      <c r="R474" s="84"/>
      <c r="S474" s="84"/>
    </row>
    <row r="475" spans="1:19" x14ac:dyDescent="0.35">
      <c r="A475" s="75" t="str">
        <f t="shared" si="58"/>
        <v/>
      </c>
      <c r="B475" s="81"/>
      <c r="C475" s="75" t="str">
        <f t="shared" si="59"/>
        <v/>
      </c>
      <c r="D475" s="75" t="str">
        <f t="shared" si="60"/>
        <v/>
      </c>
      <c r="E475" s="14"/>
      <c r="F475" s="14"/>
      <c r="G475" s="14"/>
      <c r="H475" s="75" t="str">
        <f t="shared" si="61"/>
        <v/>
      </c>
      <c r="I475" s="77" t="str">
        <f>IF(G475="","",IFERROR(VLOOKUP(G475,'Plan Comptable'!$B$5:$C$278,2,FALSE),"Compte inconnu"))</f>
        <v/>
      </c>
      <c r="J475" s="83"/>
      <c r="K475" s="83"/>
      <c r="L475" s="14"/>
      <c r="M475" s="32" t="str">
        <f t="shared" si="56"/>
        <v/>
      </c>
      <c r="N475" s="77" t="str">
        <f t="shared" si="62"/>
        <v/>
      </c>
      <c r="O475" s="75" t="str">
        <f t="shared" si="63"/>
        <v/>
      </c>
      <c r="P475" s="79" t="str">
        <f>IF(B475="","",SUM($K$6:K475)-SUM($L$6:L475))</f>
        <v/>
      </c>
      <c r="Q475" s="75" t="str">
        <f t="shared" si="57"/>
        <v/>
      </c>
      <c r="R475" s="84"/>
      <c r="S475" s="84"/>
    </row>
    <row r="476" spans="1:19" x14ac:dyDescent="0.35">
      <c r="A476" s="75" t="str">
        <f t="shared" si="58"/>
        <v/>
      </c>
      <c r="B476" s="81"/>
      <c r="C476" s="75" t="str">
        <f t="shared" si="59"/>
        <v/>
      </c>
      <c r="D476" s="75" t="str">
        <f t="shared" si="60"/>
        <v/>
      </c>
      <c r="E476" s="14"/>
      <c r="F476" s="14"/>
      <c r="G476" s="14"/>
      <c r="H476" s="75" t="str">
        <f t="shared" si="61"/>
        <v/>
      </c>
      <c r="I476" s="77" t="str">
        <f>IF(G476="","",IFERROR(VLOOKUP(G476,'Plan Comptable'!$B$5:$C$278,2,FALSE),"Compte inconnu"))</f>
        <v/>
      </c>
      <c r="J476" s="83"/>
      <c r="K476" s="83"/>
      <c r="L476" s="14"/>
      <c r="M476" s="32" t="str">
        <f t="shared" si="56"/>
        <v/>
      </c>
      <c r="N476" s="77" t="str">
        <f t="shared" si="62"/>
        <v/>
      </c>
      <c r="O476" s="75" t="str">
        <f t="shared" si="63"/>
        <v/>
      </c>
      <c r="P476" s="79" t="str">
        <f>IF(B476="","",SUM($K$6:K476)-SUM($L$6:L476))</f>
        <v/>
      </c>
      <c r="Q476" s="75" t="str">
        <f t="shared" si="57"/>
        <v/>
      </c>
      <c r="R476" s="84"/>
      <c r="S476" s="84"/>
    </row>
    <row r="477" spans="1:19" x14ac:dyDescent="0.35">
      <c r="A477" s="75" t="str">
        <f t="shared" si="58"/>
        <v/>
      </c>
      <c r="B477" s="81"/>
      <c r="C477" s="75" t="str">
        <f t="shared" si="59"/>
        <v/>
      </c>
      <c r="D477" s="75" t="str">
        <f t="shared" si="60"/>
        <v/>
      </c>
      <c r="E477" s="14"/>
      <c r="F477" s="14"/>
      <c r="G477" s="14"/>
      <c r="H477" s="75" t="str">
        <f t="shared" si="61"/>
        <v/>
      </c>
      <c r="I477" s="77" t="str">
        <f>IF(G477="","",IFERROR(VLOOKUP(G477,'Plan Comptable'!$B$5:$C$278,2,FALSE),"Compte inconnu"))</f>
        <v/>
      </c>
      <c r="J477" s="83"/>
      <c r="K477" s="83"/>
      <c r="L477" s="14"/>
      <c r="M477" s="32" t="str">
        <f t="shared" si="56"/>
        <v/>
      </c>
      <c r="N477" s="77" t="str">
        <f t="shared" si="62"/>
        <v/>
      </c>
      <c r="O477" s="75" t="str">
        <f t="shared" si="63"/>
        <v/>
      </c>
      <c r="P477" s="79" t="str">
        <f>IF(B477="","",SUM($K$6:K477)-SUM($L$6:L477))</f>
        <v/>
      </c>
      <c r="Q477" s="75" t="str">
        <f t="shared" si="57"/>
        <v/>
      </c>
      <c r="R477" s="84"/>
      <c r="S477" s="84"/>
    </row>
    <row r="478" spans="1:19" x14ac:dyDescent="0.35">
      <c r="A478" s="75" t="str">
        <f t="shared" si="58"/>
        <v/>
      </c>
      <c r="B478" s="81"/>
      <c r="C478" s="75" t="str">
        <f t="shared" si="59"/>
        <v/>
      </c>
      <c r="D478" s="75" t="str">
        <f t="shared" si="60"/>
        <v/>
      </c>
      <c r="E478" s="14"/>
      <c r="F478" s="14"/>
      <c r="G478" s="14"/>
      <c r="H478" s="75" t="str">
        <f t="shared" si="61"/>
        <v/>
      </c>
      <c r="I478" s="77" t="str">
        <f>IF(G478="","",IFERROR(VLOOKUP(G478,'Plan Comptable'!$B$5:$C$278,2,FALSE),"Compte inconnu"))</f>
        <v/>
      </c>
      <c r="J478" s="83"/>
      <c r="K478" s="83"/>
      <c r="L478" s="14"/>
      <c r="M478" s="32" t="str">
        <f t="shared" si="56"/>
        <v/>
      </c>
      <c r="N478" s="77" t="str">
        <f t="shared" si="62"/>
        <v/>
      </c>
      <c r="O478" s="75" t="str">
        <f t="shared" si="63"/>
        <v/>
      </c>
      <c r="P478" s="79" t="str">
        <f>IF(B478="","",SUM($K$6:K478)-SUM($L$6:L478))</f>
        <v/>
      </c>
      <c r="Q478" s="75" t="str">
        <f t="shared" si="57"/>
        <v/>
      </c>
      <c r="R478" s="84"/>
      <c r="S478" s="84"/>
    </row>
    <row r="479" spans="1:19" x14ac:dyDescent="0.35">
      <c r="A479" s="75" t="str">
        <f t="shared" si="58"/>
        <v/>
      </c>
      <c r="B479" s="81"/>
      <c r="C479" s="75" t="str">
        <f t="shared" si="59"/>
        <v/>
      </c>
      <c r="D479" s="75" t="str">
        <f t="shared" si="60"/>
        <v/>
      </c>
      <c r="E479" s="14"/>
      <c r="F479" s="14"/>
      <c r="G479" s="14"/>
      <c r="H479" s="75" t="str">
        <f t="shared" si="61"/>
        <v/>
      </c>
      <c r="I479" s="77" t="str">
        <f>IF(G479="","",IFERROR(VLOOKUP(G479,'Plan Comptable'!$B$5:$C$278,2,FALSE),"Compte inconnu"))</f>
        <v/>
      </c>
      <c r="J479" s="83"/>
      <c r="K479" s="83"/>
      <c r="L479" s="14"/>
      <c r="M479" s="32" t="str">
        <f t="shared" si="56"/>
        <v/>
      </c>
      <c r="N479" s="77" t="str">
        <f t="shared" si="62"/>
        <v/>
      </c>
      <c r="O479" s="75" t="str">
        <f t="shared" si="63"/>
        <v/>
      </c>
      <c r="P479" s="79" t="str">
        <f>IF(B479="","",SUM($K$6:K479)-SUM($L$6:L479))</f>
        <v/>
      </c>
      <c r="Q479" s="75" t="str">
        <f t="shared" si="57"/>
        <v/>
      </c>
      <c r="R479" s="84"/>
      <c r="S479" s="84"/>
    </row>
    <row r="480" spans="1:19" x14ac:dyDescent="0.35">
      <c r="A480" s="75" t="str">
        <f t="shared" si="58"/>
        <v/>
      </c>
      <c r="B480" s="81"/>
      <c r="C480" s="75" t="str">
        <f t="shared" si="59"/>
        <v/>
      </c>
      <c r="D480" s="75" t="str">
        <f t="shared" si="60"/>
        <v/>
      </c>
      <c r="E480" s="14"/>
      <c r="F480" s="14"/>
      <c r="G480" s="14"/>
      <c r="H480" s="75" t="str">
        <f t="shared" si="61"/>
        <v/>
      </c>
      <c r="I480" s="77" t="str">
        <f>IF(G480="","",IFERROR(VLOOKUP(G480,'Plan Comptable'!$B$5:$C$278,2,FALSE),"Compte inconnu"))</f>
        <v/>
      </c>
      <c r="J480" s="83"/>
      <c r="K480" s="83"/>
      <c r="L480" s="14"/>
      <c r="M480" s="32" t="str">
        <f t="shared" si="56"/>
        <v/>
      </c>
      <c r="N480" s="77" t="str">
        <f t="shared" si="62"/>
        <v/>
      </c>
      <c r="O480" s="75" t="str">
        <f t="shared" si="63"/>
        <v/>
      </c>
      <c r="P480" s="79" t="str">
        <f>IF(B480="","",SUM($K$6:K480)-SUM($L$6:L480))</f>
        <v/>
      </c>
      <c r="Q480" s="75" t="str">
        <f t="shared" si="57"/>
        <v/>
      </c>
      <c r="R480" s="84"/>
      <c r="S480" s="84"/>
    </row>
    <row r="481" spans="1:19" x14ac:dyDescent="0.35">
      <c r="A481" s="75" t="str">
        <f t="shared" si="58"/>
        <v/>
      </c>
      <c r="B481" s="81"/>
      <c r="C481" s="75" t="str">
        <f t="shared" si="59"/>
        <v/>
      </c>
      <c r="D481" s="75" t="str">
        <f t="shared" si="60"/>
        <v/>
      </c>
      <c r="E481" s="14"/>
      <c r="F481" s="14"/>
      <c r="G481" s="14"/>
      <c r="H481" s="75" t="str">
        <f t="shared" si="61"/>
        <v/>
      </c>
      <c r="I481" s="77" t="str">
        <f>IF(G481="","",IFERROR(VLOOKUP(G481,'Plan Comptable'!$B$5:$C$278,2,FALSE),"Compte inconnu"))</f>
        <v/>
      </c>
      <c r="J481" s="83"/>
      <c r="K481" s="83"/>
      <c r="L481" s="14"/>
      <c r="M481" s="32" t="str">
        <f t="shared" si="56"/>
        <v/>
      </c>
      <c r="N481" s="77" t="str">
        <f t="shared" si="62"/>
        <v/>
      </c>
      <c r="O481" s="75" t="str">
        <f t="shared" si="63"/>
        <v/>
      </c>
      <c r="P481" s="79" t="str">
        <f>IF(B481="","",SUM($K$6:K481)-SUM($L$6:L481))</f>
        <v/>
      </c>
      <c r="Q481" s="75" t="str">
        <f t="shared" si="57"/>
        <v/>
      </c>
      <c r="R481" s="84"/>
      <c r="S481" s="84"/>
    </row>
    <row r="482" spans="1:19" x14ac:dyDescent="0.35">
      <c r="A482" s="75" t="str">
        <f t="shared" si="58"/>
        <v/>
      </c>
      <c r="B482" s="81"/>
      <c r="C482" s="75" t="str">
        <f t="shared" si="59"/>
        <v/>
      </c>
      <c r="D482" s="75" t="str">
        <f t="shared" si="60"/>
        <v/>
      </c>
      <c r="E482" s="14"/>
      <c r="F482" s="14"/>
      <c r="G482" s="14"/>
      <c r="H482" s="75" t="str">
        <f t="shared" si="61"/>
        <v/>
      </c>
      <c r="I482" s="77" t="str">
        <f>IF(G482="","",IFERROR(VLOOKUP(G482,'Plan Comptable'!$B$5:$C$278,2,FALSE),"Compte inconnu"))</f>
        <v/>
      </c>
      <c r="J482" s="83"/>
      <c r="K482" s="83"/>
      <c r="L482" s="14"/>
      <c r="M482" s="32" t="str">
        <f t="shared" si="56"/>
        <v/>
      </c>
      <c r="N482" s="77" t="str">
        <f t="shared" si="62"/>
        <v/>
      </c>
      <c r="O482" s="75" t="str">
        <f t="shared" si="63"/>
        <v/>
      </c>
      <c r="P482" s="79" t="str">
        <f>IF(B482="","",SUM($K$6:K482)-SUM($L$6:L482))</f>
        <v/>
      </c>
      <c r="Q482" s="75" t="str">
        <f t="shared" si="57"/>
        <v/>
      </c>
      <c r="R482" s="84"/>
      <c r="S482" s="84"/>
    </row>
    <row r="483" spans="1:19" x14ac:dyDescent="0.35">
      <c r="A483" s="75" t="str">
        <f t="shared" si="58"/>
        <v/>
      </c>
      <c r="B483" s="81"/>
      <c r="C483" s="75" t="str">
        <f t="shared" si="59"/>
        <v/>
      </c>
      <c r="D483" s="75" t="str">
        <f t="shared" si="60"/>
        <v/>
      </c>
      <c r="E483" s="14"/>
      <c r="F483" s="14"/>
      <c r="G483" s="14"/>
      <c r="H483" s="75" t="str">
        <f t="shared" si="61"/>
        <v/>
      </c>
      <c r="I483" s="77" t="str">
        <f>IF(G483="","",IFERROR(VLOOKUP(G483,'Plan Comptable'!$B$5:$C$278,2,FALSE),"Compte inconnu"))</f>
        <v/>
      </c>
      <c r="J483" s="83"/>
      <c r="K483" s="83"/>
      <c r="L483" s="14"/>
      <c r="M483" s="32" t="str">
        <f t="shared" si="56"/>
        <v/>
      </c>
      <c r="N483" s="77" t="str">
        <f t="shared" si="62"/>
        <v/>
      </c>
      <c r="O483" s="75" t="str">
        <f t="shared" si="63"/>
        <v/>
      </c>
      <c r="P483" s="79" t="str">
        <f>IF(B483="","",SUM($K$6:K483)-SUM($L$6:L483))</f>
        <v/>
      </c>
      <c r="Q483" s="75" t="str">
        <f t="shared" si="57"/>
        <v/>
      </c>
      <c r="R483" s="84"/>
      <c r="S483" s="84"/>
    </row>
    <row r="484" spans="1:19" x14ac:dyDescent="0.35">
      <c r="A484" s="75" t="str">
        <f t="shared" si="58"/>
        <v/>
      </c>
      <c r="B484" s="81"/>
      <c r="C484" s="75" t="str">
        <f t="shared" si="59"/>
        <v/>
      </c>
      <c r="D484" s="75" t="str">
        <f t="shared" si="60"/>
        <v/>
      </c>
      <c r="E484" s="14"/>
      <c r="F484" s="14"/>
      <c r="G484" s="14"/>
      <c r="H484" s="75" t="str">
        <f t="shared" si="61"/>
        <v/>
      </c>
      <c r="I484" s="77" t="str">
        <f>IF(G484="","",IFERROR(VLOOKUP(G484,'Plan Comptable'!$B$5:$C$278,2,FALSE),"Compte inconnu"))</f>
        <v/>
      </c>
      <c r="J484" s="83"/>
      <c r="K484" s="83"/>
      <c r="L484" s="14"/>
      <c r="M484" s="32" t="str">
        <f t="shared" si="56"/>
        <v/>
      </c>
      <c r="N484" s="77" t="str">
        <f t="shared" si="62"/>
        <v/>
      </c>
      <c r="O484" s="75" t="str">
        <f t="shared" si="63"/>
        <v/>
      </c>
      <c r="P484" s="79" t="str">
        <f>IF(B484="","",SUM($K$6:K484)-SUM($L$6:L484))</f>
        <v/>
      </c>
      <c r="Q484" s="75" t="str">
        <f t="shared" si="57"/>
        <v/>
      </c>
      <c r="R484" s="84"/>
      <c r="S484" s="84"/>
    </row>
    <row r="485" spans="1:19" x14ac:dyDescent="0.35">
      <c r="A485" s="75" t="str">
        <f t="shared" si="58"/>
        <v/>
      </c>
      <c r="B485" s="81"/>
      <c r="C485" s="75" t="str">
        <f t="shared" si="59"/>
        <v/>
      </c>
      <c r="D485" s="75" t="str">
        <f t="shared" si="60"/>
        <v/>
      </c>
      <c r="E485" s="14"/>
      <c r="F485" s="14"/>
      <c r="G485" s="14"/>
      <c r="H485" s="75" t="str">
        <f t="shared" si="61"/>
        <v/>
      </c>
      <c r="I485" s="77" t="str">
        <f>IF(G485="","",IFERROR(VLOOKUP(G485,'Plan Comptable'!$B$5:$C$278,2,FALSE),"Compte inconnu"))</f>
        <v/>
      </c>
      <c r="J485" s="83"/>
      <c r="K485" s="83"/>
      <c r="L485" s="14"/>
      <c r="M485" s="32" t="str">
        <f t="shared" si="56"/>
        <v/>
      </c>
      <c r="N485" s="77" t="str">
        <f t="shared" si="62"/>
        <v/>
      </c>
      <c r="O485" s="75" t="str">
        <f t="shared" si="63"/>
        <v/>
      </c>
      <c r="P485" s="79" t="str">
        <f>IF(B485="","",SUM($K$6:K485)-SUM($L$6:L485))</f>
        <v/>
      </c>
      <c r="Q485" s="75" t="str">
        <f t="shared" si="57"/>
        <v/>
      </c>
      <c r="R485" s="84"/>
      <c r="S485" s="84"/>
    </row>
    <row r="486" spans="1:19" x14ac:dyDescent="0.35">
      <c r="A486" s="75" t="str">
        <f t="shared" si="58"/>
        <v/>
      </c>
      <c r="B486" s="81"/>
      <c r="C486" s="75" t="str">
        <f t="shared" si="59"/>
        <v/>
      </c>
      <c r="D486" s="75" t="str">
        <f t="shared" si="60"/>
        <v/>
      </c>
      <c r="E486" s="14"/>
      <c r="F486" s="14"/>
      <c r="G486" s="14"/>
      <c r="H486" s="75" t="str">
        <f t="shared" si="61"/>
        <v/>
      </c>
      <c r="I486" s="77" t="str">
        <f>IF(G486="","",IFERROR(VLOOKUP(G486,'Plan Comptable'!$B$5:$C$278,2,FALSE),"Compte inconnu"))</f>
        <v/>
      </c>
      <c r="J486" s="83"/>
      <c r="K486" s="83"/>
      <c r="L486" s="14"/>
      <c r="M486" s="32" t="str">
        <f t="shared" si="56"/>
        <v/>
      </c>
      <c r="N486" s="77" t="str">
        <f t="shared" si="62"/>
        <v/>
      </c>
      <c r="O486" s="75" t="str">
        <f t="shared" si="63"/>
        <v/>
      </c>
      <c r="P486" s="79" t="str">
        <f>IF(B486="","",SUM($K$6:K486)-SUM($L$6:L486))</f>
        <v/>
      </c>
      <c r="Q486" s="75" t="str">
        <f t="shared" si="57"/>
        <v/>
      </c>
      <c r="R486" s="84"/>
      <c r="S486" s="84"/>
    </row>
    <row r="487" spans="1:19" x14ac:dyDescent="0.35">
      <c r="A487" s="75" t="str">
        <f t="shared" si="58"/>
        <v/>
      </c>
      <c r="B487" s="81"/>
      <c r="C487" s="75" t="str">
        <f t="shared" si="59"/>
        <v/>
      </c>
      <c r="D487" s="75" t="str">
        <f t="shared" si="60"/>
        <v/>
      </c>
      <c r="E487" s="14"/>
      <c r="F487" s="14"/>
      <c r="G487" s="14"/>
      <c r="H487" s="75" t="str">
        <f t="shared" si="61"/>
        <v/>
      </c>
      <c r="I487" s="77" t="str">
        <f>IF(G487="","",IFERROR(VLOOKUP(G487,'Plan Comptable'!$B$5:$C$278,2,FALSE),"Compte inconnu"))</f>
        <v/>
      </c>
      <c r="J487" s="83"/>
      <c r="K487" s="83"/>
      <c r="L487" s="14"/>
      <c r="M487" s="32" t="str">
        <f t="shared" si="56"/>
        <v/>
      </c>
      <c r="N487" s="77" t="str">
        <f t="shared" si="62"/>
        <v/>
      </c>
      <c r="O487" s="75" t="str">
        <f t="shared" si="63"/>
        <v/>
      </c>
      <c r="P487" s="79" t="str">
        <f>IF(B487="","",SUM($K$6:K487)-SUM($L$6:L487))</f>
        <v/>
      </c>
      <c r="Q487" s="75" t="str">
        <f t="shared" si="57"/>
        <v/>
      </c>
      <c r="R487" s="84"/>
      <c r="S487" s="84"/>
    </row>
    <row r="488" spans="1:19" x14ac:dyDescent="0.35">
      <c r="A488" s="75" t="str">
        <f t="shared" si="58"/>
        <v/>
      </c>
      <c r="B488" s="81"/>
      <c r="C488" s="75" t="str">
        <f t="shared" si="59"/>
        <v/>
      </c>
      <c r="D488" s="75" t="str">
        <f t="shared" si="60"/>
        <v/>
      </c>
      <c r="E488" s="14"/>
      <c r="F488" s="14"/>
      <c r="G488" s="14"/>
      <c r="H488" s="75" t="str">
        <f t="shared" si="61"/>
        <v/>
      </c>
      <c r="I488" s="77" t="str">
        <f>IF(G488="","",IFERROR(VLOOKUP(G488,'Plan Comptable'!$B$5:$C$278,2,FALSE),"Compte inconnu"))</f>
        <v/>
      </c>
      <c r="J488" s="83"/>
      <c r="K488" s="83"/>
      <c r="L488" s="14"/>
      <c r="M488" s="32" t="str">
        <f t="shared" si="56"/>
        <v/>
      </c>
      <c r="N488" s="77" t="str">
        <f t="shared" si="62"/>
        <v/>
      </c>
      <c r="O488" s="75" t="str">
        <f t="shared" si="63"/>
        <v/>
      </c>
      <c r="P488" s="79" t="str">
        <f>IF(B488="","",SUM($K$6:K488)-SUM($L$6:L488))</f>
        <v/>
      </c>
      <c r="Q488" s="75" t="str">
        <f t="shared" si="57"/>
        <v/>
      </c>
      <c r="R488" s="84"/>
      <c r="S488" s="84"/>
    </row>
    <row r="489" spans="1:19" x14ac:dyDescent="0.35">
      <c r="A489" s="75" t="str">
        <f t="shared" si="58"/>
        <v/>
      </c>
      <c r="B489" s="81"/>
      <c r="C489" s="75" t="str">
        <f t="shared" si="59"/>
        <v/>
      </c>
      <c r="D489" s="75" t="str">
        <f t="shared" si="60"/>
        <v/>
      </c>
      <c r="E489" s="14"/>
      <c r="F489" s="14"/>
      <c r="G489" s="14"/>
      <c r="H489" s="75" t="str">
        <f t="shared" si="61"/>
        <v/>
      </c>
      <c r="I489" s="77" t="str">
        <f>IF(G489="","",IFERROR(VLOOKUP(G489,'Plan Comptable'!$B$5:$C$278,2,FALSE),"Compte inconnu"))</f>
        <v/>
      </c>
      <c r="J489" s="83"/>
      <c r="K489" s="83"/>
      <c r="L489" s="14"/>
      <c r="M489" s="32" t="str">
        <f t="shared" si="56"/>
        <v/>
      </c>
      <c r="N489" s="77" t="str">
        <f t="shared" si="62"/>
        <v/>
      </c>
      <c r="O489" s="75" t="str">
        <f t="shared" si="63"/>
        <v/>
      </c>
      <c r="P489" s="79" t="str">
        <f>IF(B489="","",SUM($K$6:K489)-SUM($L$6:L489))</f>
        <v/>
      </c>
      <c r="Q489" s="75" t="str">
        <f t="shared" si="57"/>
        <v/>
      </c>
      <c r="R489" s="84"/>
      <c r="S489" s="84"/>
    </row>
    <row r="490" spans="1:19" x14ac:dyDescent="0.35">
      <c r="A490" s="75" t="str">
        <f t="shared" si="58"/>
        <v/>
      </c>
      <c r="B490" s="81"/>
      <c r="C490" s="75" t="str">
        <f t="shared" si="59"/>
        <v/>
      </c>
      <c r="D490" s="75" t="str">
        <f t="shared" si="60"/>
        <v/>
      </c>
      <c r="E490" s="14"/>
      <c r="F490" s="14"/>
      <c r="G490" s="14"/>
      <c r="H490" s="75" t="str">
        <f t="shared" si="61"/>
        <v/>
      </c>
      <c r="I490" s="77" t="str">
        <f>IF(G490="","",IFERROR(VLOOKUP(G490,'Plan Comptable'!$B$5:$C$278,2,FALSE),"Compte inconnu"))</f>
        <v/>
      </c>
      <c r="J490" s="83"/>
      <c r="K490" s="83"/>
      <c r="L490" s="14"/>
      <c r="M490" s="32" t="str">
        <f t="shared" si="56"/>
        <v/>
      </c>
      <c r="N490" s="77" t="str">
        <f t="shared" si="62"/>
        <v/>
      </c>
      <c r="O490" s="75" t="str">
        <f t="shared" si="63"/>
        <v/>
      </c>
      <c r="P490" s="79" t="str">
        <f>IF(B490="","",SUM($K$6:K490)-SUM($L$6:L490))</f>
        <v/>
      </c>
      <c r="Q490" s="75" t="str">
        <f t="shared" si="57"/>
        <v/>
      </c>
      <c r="R490" s="84"/>
      <c r="S490" s="84"/>
    </row>
    <row r="491" spans="1:19" x14ac:dyDescent="0.35">
      <c r="A491" s="75" t="str">
        <f t="shared" si="58"/>
        <v/>
      </c>
      <c r="B491" s="81"/>
      <c r="C491" s="75" t="str">
        <f t="shared" si="59"/>
        <v/>
      </c>
      <c r="D491" s="75" t="str">
        <f t="shared" si="60"/>
        <v/>
      </c>
      <c r="E491" s="14"/>
      <c r="F491" s="14"/>
      <c r="G491" s="14"/>
      <c r="H491" s="75" t="str">
        <f t="shared" si="61"/>
        <v/>
      </c>
      <c r="I491" s="77" t="str">
        <f>IF(G491="","",IFERROR(VLOOKUP(G491,'Plan Comptable'!$B$5:$C$278,2,FALSE),"Compte inconnu"))</f>
        <v/>
      </c>
      <c r="J491" s="83"/>
      <c r="K491" s="83"/>
      <c r="L491" s="14"/>
      <c r="M491" s="32" t="str">
        <f t="shared" si="56"/>
        <v/>
      </c>
      <c r="N491" s="77" t="str">
        <f t="shared" si="62"/>
        <v/>
      </c>
      <c r="O491" s="75" t="str">
        <f t="shared" si="63"/>
        <v/>
      </c>
      <c r="P491" s="79" t="str">
        <f>IF(B491="","",SUM($K$6:K491)-SUM($L$6:L491))</f>
        <v/>
      </c>
      <c r="Q491" s="75" t="str">
        <f t="shared" si="57"/>
        <v/>
      </c>
      <c r="R491" s="84"/>
      <c r="S491" s="84"/>
    </row>
    <row r="492" spans="1:19" x14ac:dyDescent="0.35">
      <c r="A492" s="75" t="str">
        <f t="shared" si="58"/>
        <v/>
      </c>
      <c r="B492" s="81"/>
      <c r="C492" s="75" t="str">
        <f t="shared" si="59"/>
        <v/>
      </c>
      <c r="D492" s="75" t="str">
        <f t="shared" si="60"/>
        <v/>
      </c>
      <c r="E492" s="14"/>
      <c r="F492" s="14"/>
      <c r="G492" s="14"/>
      <c r="H492" s="75" t="str">
        <f t="shared" si="61"/>
        <v/>
      </c>
      <c r="I492" s="77" t="str">
        <f>IF(G492="","",IFERROR(VLOOKUP(G492,'Plan Comptable'!$B$5:$C$278,2,FALSE),"Compte inconnu"))</f>
        <v/>
      </c>
      <c r="J492" s="83"/>
      <c r="K492" s="83"/>
      <c r="L492" s="14"/>
      <c r="M492" s="32" t="str">
        <f t="shared" si="56"/>
        <v/>
      </c>
      <c r="N492" s="77" t="str">
        <f t="shared" si="62"/>
        <v/>
      </c>
      <c r="O492" s="75" t="str">
        <f t="shared" si="63"/>
        <v/>
      </c>
      <c r="P492" s="79" t="str">
        <f>IF(B492="","",SUM($K$6:K492)-SUM($L$6:L492))</f>
        <v/>
      </c>
      <c r="Q492" s="75" t="str">
        <f t="shared" si="57"/>
        <v/>
      </c>
      <c r="R492" s="84"/>
      <c r="S492" s="84"/>
    </row>
    <row r="493" spans="1:19" x14ac:dyDescent="0.35">
      <c r="A493" s="75" t="str">
        <f t="shared" si="58"/>
        <v/>
      </c>
      <c r="B493" s="81"/>
      <c r="C493" s="75" t="str">
        <f t="shared" si="59"/>
        <v/>
      </c>
      <c r="D493" s="75" t="str">
        <f t="shared" si="60"/>
        <v/>
      </c>
      <c r="E493" s="14"/>
      <c r="F493" s="14"/>
      <c r="G493" s="14"/>
      <c r="H493" s="75" t="str">
        <f t="shared" si="61"/>
        <v/>
      </c>
      <c r="I493" s="77" t="str">
        <f>IF(G493="","",IFERROR(VLOOKUP(G493,'Plan Comptable'!$B$5:$C$278,2,FALSE),"Compte inconnu"))</f>
        <v/>
      </c>
      <c r="J493" s="83"/>
      <c r="K493" s="83"/>
      <c r="L493" s="14"/>
      <c r="M493" s="32" t="str">
        <f t="shared" si="56"/>
        <v/>
      </c>
      <c r="N493" s="77" t="str">
        <f t="shared" si="62"/>
        <v/>
      </c>
      <c r="O493" s="75" t="str">
        <f t="shared" si="63"/>
        <v/>
      </c>
      <c r="P493" s="79" t="str">
        <f>IF(B493="","",SUM($K$6:K493)-SUM($L$6:L493))</f>
        <v/>
      </c>
      <c r="Q493" s="75" t="str">
        <f t="shared" si="57"/>
        <v/>
      </c>
      <c r="R493" s="84"/>
      <c r="S493" s="84"/>
    </row>
    <row r="494" spans="1:19" x14ac:dyDescent="0.35">
      <c r="A494" s="75" t="str">
        <f t="shared" si="58"/>
        <v/>
      </c>
      <c r="B494" s="81"/>
      <c r="C494" s="75" t="str">
        <f t="shared" si="59"/>
        <v/>
      </c>
      <c r="D494" s="75" t="str">
        <f t="shared" si="60"/>
        <v/>
      </c>
      <c r="E494" s="14"/>
      <c r="F494" s="14"/>
      <c r="G494" s="14"/>
      <c r="H494" s="75" t="str">
        <f t="shared" si="61"/>
        <v/>
      </c>
      <c r="I494" s="77" t="str">
        <f>IF(G494="","",IFERROR(VLOOKUP(G494,'Plan Comptable'!$B$5:$C$278,2,FALSE),"Compte inconnu"))</f>
        <v/>
      </c>
      <c r="J494" s="83"/>
      <c r="K494" s="83"/>
      <c r="L494" s="14"/>
      <c r="M494" s="32" t="str">
        <f t="shared" si="56"/>
        <v/>
      </c>
      <c r="N494" s="77" t="str">
        <f t="shared" si="62"/>
        <v/>
      </c>
      <c r="O494" s="75" t="str">
        <f t="shared" si="63"/>
        <v/>
      </c>
      <c r="P494" s="79" t="str">
        <f>IF(B494="","",SUM($K$6:K494)-SUM($L$6:L494))</f>
        <v/>
      </c>
      <c r="Q494" s="75" t="str">
        <f t="shared" si="57"/>
        <v/>
      </c>
      <c r="R494" s="84"/>
      <c r="S494" s="84"/>
    </row>
    <row r="495" spans="1:19" x14ac:dyDescent="0.35">
      <c r="A495" s="75" t="str">
        <f t="shared" si="58"/>
        <v/>
      </c>
      <c r="B495" s="81"/>
      <c r="C495" s="75" t="str">
        <f t="shared" si="59"/>
        <v/>
      </c>
      <c r="D495" s="75" t="str">
        <f t="shared" si="60"/>
        <v/>
      </c>
      <c r="E495" s="14"/>
      <c r="F495" s="14"/>
      <c r="G495" s="14"/>
      <c r="H495" s="75" t="str">
        <f t="shared" si="61"/>
        <v/>
      </c>
      <c r="I495" s="77" t="str">
        <f>IF(G495="","",IFERROR(VLOOKUP(G495,'Plan Comptable'!$B$5:$C$278,2,FALSE),"Compte inconnu"))</f>
        <v/>
      </c>
      <c r="J495" s="83"/>
      <c r="K495" s="83"/>
      <c r="L495" s="14"/>
      <c r="M495" s="32" t="str">
        <f t="shared" si="56"/>
        <v/>
      </c>
      <c r="N495" s="77" t="str">
        <f t="shared" si="62"/>
        <v/>
      </c>
      <c r="O495" s="75" t="str">
        <f t="shared" si="63"/>
        <v/>
      </c>
      <c r="P495" s="79" t="str">
        <f>IF(B495="","",SUM($K$6:K495)-SUM($L$6:L495))</f>
        <v/>
      </c>
      <c r="Q495" s="75" t="str">
        <f t="shared" si="57"/>
        <v/>
      </c>
      <c r="R495" s="84"/>
      <c r="S495" s="84"/>
    </row>
    <row r="496" spans="1:19" x14ac:dyDescent="0.35">
      <c r="A496" s="75" t="str">
        <f t="shared" si="58"/>
        <v/>
      </c>
      <c r="B496" s="81"/>
      <c r="C496" s="75" t="str">
        <f t="shared" si="59"/>
        <v/>
      </c>
      <c r="D496" s="75" t="str">
        <f t="shared" si="60"/>
        <v/>
      </c>
      <c r="E496" s="14"/>
      <c r="F496" s="14"/>
      <c r="G496" s="14"/>
      <c r="H496" s="75" t="str">
        <f t="shared" si="61"/>
        <v/>
      </c>
      <c r="I496" s="77" t="str">
        <f>IF(G496="","",IFERROR(VLOOKUP(G496,'Plan Comptable'!$B$5:$C$278,2,FALSE),"Compte inconnu"))</f>
        <v/>
      </c>
      <c r="J496" s="83"/>
      <c r="K496" s="83"/>
      <c r="L496" s="14"/>
      <c r="M496" s="32" t="str">
        <f t="shared" si="56"/>
        <v/>
      </c>
      <c r="N496" s="77" t="str">
        <f t="shared" si="62"/>
        <v/>
      </c>
      <c r="O496" s="75" t="str">
        <f t="shared" si="63"/>
        <v/>
      </c>
      <c r="P496" s="79" t="str">
        <f>IF(B496="","",SUM($K$6:K496)-SUM($L$6:L496))</f>
        <v/>
      </c>
      <c r="Q496" s="75" t="str">
        <f t="shared" si="57"/>
        <v/>
      </c>
      <c r="R496" s="84"/>
      <c r="S496" s="84"/>
    </row>
    <row r="497" spans="1:19" x14ac:dyDescent="0.35">
      <c r="A497" s="75" t="str">
        <f t="shared" si="58"/>
        <v/>
      </c>
      <c r="B497" s="81"/>
      <c r="C497" s="75" t="str">
        <f t="shared" si="59"/>
        <v/>
      </c>
      <c r="D497" s="75" t="str">
        <f t="shared" si="60"/>
        <v/>
      </c>
      <c r="E497" s="14"/>
      <c r="F497" s="14"/>
      <c r="G497" s="14"/>
      <c r="H497" s="75" t="str">
        <f t="shared" si="61"/>
        <v/>
      </c>
      <c r="I497" s="77" t="str">
        <f>IF(G497="","",IFERROR(VLOOKUP(G497,'Plan Comptable'!$B$5:$C$278,2,FALSE),"Compte inconnu"))</f>
        <v/>
      </c>
      <c r="J497" s="83"/>
      <c r="K497" s="83"/>
      <c r="L497" s="14"/>
      <c r="M497" s="32" t="str">
        <f t="shared" si="56"/>
        <v/>
      </c>
      <c r="N497" s="77" t="str">
        <f t="shared" si="62"/>
        <v/>
      </c>
      <c r="O497" s="75" t="str">
        <f t="shared" si="63"/>
        <v/>
      </c>
      <c r="P497" s="79" t="str">
        <f>IF(B497="","",SUM($K$6:K497)-SUM($L$6:L497))</f>
        <v/>
      </c>
      <c r="Q497" s="75" t="str">
        <f t="shared" si="57"/>
        <v/>
      </c>
      <c r="R497" s="84"/>
      <c r="S497" s="84"/>
    </row>
    <row r="498" spans="1:19" x14ac:dyDescent="0.35">
      <c r="A498" s="75" t="str">
        <f t="shared" si="58"/>
        <v/>
      </c>
      <c r="B498" s="81"/>
      <c r="C498" s="75" t="str">
        <f t="shared" si="59"/>
        <v/>
      </c>
      <c r="D498" s="75" t="str">
        <f t="shared" si="60"/>
        <v/>
      </c>
      <c r="E498" s="14"/>
      <c r="F498" s="14"/>
      <c r="G498" s="14"/>
      <c r="H498" s="75" t="str">
        <f t="shared" si="61"/>
        <v/>
      </c>
      <c r="I498" s="77" t="str">
        <f>IF(G498="","",IFERROR(VLOOKUP(G498,'Plan Comptable'!$B$5:$C$278,2,FALSE),"Compte inconnu"))</f>
        <v/>
      </c>
      <c r="J498" s="83"/>
      <c r="K498" s="83"/>
      <c r="L498" s="14"/>
      <c r="M498" s="32" t="str">
        <f t="shared" si="56"/>
        <v/>
      </c>
      <c r="N498" s="77" t="str">
        <f t="shared" si="62"/>
        <v/>
      </c>
      <c r="O498" s="75" t="str">
        <f t="shared" si="63"/>
        <v/>
      </c>
      <c r="P498" s="79" t="str">
        <f>IF(B498="","",SUM($K$6:K498)-SUM($L$6:L498))</f>
        <v/>
      </c>
      <c r="Q498" s="75" t="str">
        <f t="shared" si="57"/>
        <v/>
      </c>
      <c r="R498" s="84"/>
      <c r="S498" s="84"/>
    </row>
    <row r="499" spans="1:19" x14ac:dyDescent="0.35">
      <c r="A499" s="75" t="str">
        <f t="shared" si="58"/>
        <v/>
      </c>
      <c r="B499" s="81"/>
      <c r="C499" s="75" t="str">
        <f t="shared" si="59"/>
        <v/>
      </c>
      <c r="D499" s="75" t="str">
        <f t="shared" si="60"/>
        <v/>
      </c>
      <c r="E499" s="14"/>
      <c r="F499" s="14"/>
      <c r="G499" s="14"/>
      <c r="H499" s="75" t="str">
        <f t="shared" si="61"/>
        <v/>
      </c>
      <c r="I499" s="77" t="str">
        <f>IF(G499="","",IFERROR(VLOOKUP(G499,'Plan Comptable'!$B$5:$C$278,2,FALSE),"Compte inconnu"))</f>
        <v/>
      </c>
      <c r="J499" s="83"/>
      <c r="K499" s="83"/>
      <c r="L499" s="14"/>
      <c r="M499" s="32" t="str">
        <f t="shared" si="56"/>
        <v/>
      </c>
      <c r="N499" s="77" t="str">
        <f t="shared" si="62"/>
        <v/>
      </c>
      <c r="O499" s="75" t="str">
        <f t="shared" si="63"/>
        <v/>
      </c>
      <c r="P499" s="79" t="str">
        <f>IF(B499="","",SUM($K$6:K499)-SUM($L$6:L499))</f>
        <v/>
      </c>
      <c r="Q499" s="75" t="str">
        <f t="shared" si="57"/>
        <v/>
      </c>
      <c r="R499" s="84"/>
      <c r="S499" s="84"/>
    </row>
    <row r="500" spans="1:19" x14ac:dyDescent="0.35">
      <c r="A500" s="75" t="str">
        <f t="shared" si="58"/>
        <v/>
      </c>
      <c r="B500" s="81"/>
      <c r="C500" s="75" t="str">
        <f t="shared" si="59"/>
        <v/>
      </c>
      <c r="D500" s="75" t="str">
        <f t="shared" si="60"/>
        <v/>
      </c>
      <c r="E500" s="14"/>
      <c r="F500" s="14"/>
      <c r="G500" s="14"/>
      <c r="H500" s="75" t="str">
        <f t="shared" si="61"/>
        <v/>
      </c>
      <c r="I500" s="77" t="str">
        <f>IF(G500="","",IFERROR(VLOOKUP(G500,'Plan Comptable'!$B$5:$C$278,2,FALSE),"Compte inconnu"))</f>
        <v/>
      </c>
      <c r="J500" s="83"/>
      <c r="K500" s="83"/>
      <c r="L500" s="14"/>
      <c r="M500" s="32" t="str">
        <f t="shared" si="56"/>
        <v/>
      </c>
      <c r="N500" s="77" t="str">
        <f t="shared" si="62"/>
        <v/>
      </c>
      <c r="O500" s="75" t="str">
        <f t="shared" si="63"/>
        <v/>
      </c>
      <c r="P500" s="79" t="str">
        <f>IF(B500="","",SUM($K$6:K500)-SUM($L$6:L500))</f>
        <v/>
      </c>
      <c r="Q500" s="75" t="str">
        <f t="shared" si="57"/>
        <v/>
      </c>
      <c r="R500" s="84"/>
      <c r="S500" s="84"/>
    </row>
    <row r="501" spans="1:19" x14ac:dyDescent="0.35">
      <c r="A501" s="75" t="str">
        <f t="shared" si="58"/>
        <v/>
      </c>
      <c r="B501" s="81"/>
      <c r="C501" s="75" t="str">
        <f t="shared" si="59"/>
        <v/>
      </c>
      <c r="D501" s="75" t="str">
        <f t="shared" si="60"/>
        <v/>
      </c>
      <c r="E501" s="14"/>
      <c r="F501" s="14"/>
      <c r="G501" s="14"/>
      <c r="H501" s="75" t="str">
        <f t="shared" si="61"/>
        <v/>
      </c>
      <c r="I501" s="77" t="str">
        <f>IF(G501="","",IFERROR(VLOOKUP(G501,'Plan Comptable'!$B$5:$C$278,2,FALSE),"Compte inconnu"))</f>
        <v/>
      </c>
      <c r="J501" s="83"/>
      <c r="K501" s="83"/>
      <c r="L501" s="14"/>
      <c r="M501" s="32" t="str">
        <f t="shared" si="56"/>
        <v/>
      </c>
      <c r="N501" s="77" t="str">
        <f t="shared" si="62"/>
        <v/>
      </c>
      <c r="O501" s="75" t="str">
        <f t="shared" si="63"/>
        <v/>
      </c>
      <c r="P501" s="79" t="str">
        <f>IF(B501="","",SUM($K$6:K501)-SUM($L$6:L501))</f>
        <v/>
      </c>
      <c r="Q501" s="75" t="str">
        <f t="shared" si="57"/>
        <v/>
      </c>
      <c r="R501" s="84"/>
      <c r="S501" s="84"/>
    </row>
    <row r="502" spans="1:19" x14ac:dyDescent="0.35">
      <c r="A502" s="75" t="str">
        <f t="shared" si="58"/>
        <v/>
      </c>
      <c r="B502" s="81"/>
      <c r="C502" s="75" t="str">
        <f t="shared" si="59"/>
        <v/>
      </c>
      <c r="D502" s="75" t="str">
        <f t="shared" si="60"/>
        <v/>
      </c>
      <c r="E502" s="14"/>
      <c r="F502" s="14"/>
      <c r="G502" s="14"/>
      <c r="H502" s="75" t="str">
        <f t="shared" si="61"/>
        <v/>
      </c>
      <c r="I502" s="77" t="str">
        <f>IF(G502="","",IFERROR(VLOOKUP(G502,'Plan Comptable'!$B$5:$C$278,2,FALSE),"Compte inconnu"))</f>
        <v/>
      </c>
      <c r="J502" s="83"/>
      <c r="K502" s="83"/>
      <c r="L502" s="14"/>
      <c r="M502" s="32" t="str">
        <f t="shared" si="56"/>
        <v/>
      </c>
      <c r="N502" s="77" t="str">
        <f t="shared" si="62"/>
        <v/>
      </c>
      <c r="O502" s="75" t="str">
        <f t="shared" si="63"/>
        <v/>
      </c>
      <c r="P502" s="79" t="str">
        <f>IF(B502="","",SUM($K$6:K502)-SUM($L$6:L502))</f>
        <v/>
      </c>
      <c r="Q502" s="75" t="str">
        <f t="shared" si="57"/>
        <v/>
      </c>
      <c r="R502" s="84"/>
      <c r="S502" s="84"/>
    </row>
    <row r="503" spans="1:19" x14ac:dyDescent="0.35">
      <c r="A503" s="75" t="str">
        <f t="shared" si="58"/>
        <v/>
      </c>
      <c r="B503" s="81"/>
      <c r="C503" s="75" t="str">
        <f t="shared" si="59"/>
        <v/>
      </c>
      <c r="D503" s="75" t="str">
        <f t="shared" si="60"/>
        <v/>
      </c>
      <c r="E503" s="14"/>
      <c r="F503" s="14"/>
      <c r="G503" s="14"/>
      <c r="H503" s="75" t="str">
        <f t="shared" si="61"/>
        <v/>
      </c>
      <c r="I503" s="77" t="str">
        <f>IF(G503="","",IFERROR(VLOOKUP(G503,'Plan Comptable'!$B$5:$C$278,2,FALSE),"Compte inconnu"))</f>
        <v/>
      </c>
      <c r="J503" s="83"/>
      <c r="K503" s="83"/>
      <c r="L503" s="14"/>
      <c r="M503" s="32" t="str">
        <f t="shared" si="56"/>
        <v/>
      </c>
      <c r="N503" s="77" t="str">
        <f t="shared" si="62"/>
        <v/>
      </c>
      <c r="O503" s="75" t="str">
        <f t="shared" si="63"/>
        <v/>
      </c>
      <c r="P503" s="79" t="str">
        <f>IF(B503="","",SUM($K$6:K503)-SUM($L$6:L503))</f>
        <v/>
      </c>
      <c r="Q503" s="75" t="str">
        <f t="shared" si="57"/>
        <v/>
      </c>
      <c r="R503" s="84"/>
      <c r="S503" s="84"/>
    </row>
    <row r="504" spans="1:19" x14ac:dyDescent="0.35">
      <c r="A504" s="75" t="str">
        <f t="shared" si="58"/>
        <v/>
      </c>
      <c r="B504" s="81"/>
      <c r="C504" s="75" t="str">
        <f t="shared" si="59"/>
        <v/>
      </c>
      <c r="D504" s="75" t="str">
        <f t="shared" si="60"/>
        <v/>
      </c>
      <c r="E504" s="14"/>
      <c r="F504" s="14"/>
      <c r="G504" s="14"/>
      <c r="H504" s="75" t="str">
        <f t="shared" si="61"/>
        <v/>
      </c>
      <c r="I504" s="77" t="str">
        <f>IF(G504="","",IFERROR(VLOOKUP(G504,'Plan Comptable'!$B$5:$C$278,2,FALSE),"Compte inconnu"))</f>
        <v/>
      </c>
      <c r="J504" s="83"/>
      <c r="K504" s="83"/>
      <c r="L504" s="14"/>
      <c r="M504" s="32" t="str">
        <f t="shared" si="56"/>
        <v/>
      </c>
      <c r="N504" s="77" t="str">
        <f t="shared" si="62"/>
        <v/>
      </c>
      <c r="O504" s="75" t="str">
        <f t="shared" si="63"/>
        <v/>
      </c>
      <c r="P504" s="79" t="str">
        <f>IF(B504="","",SUM($K$6:K504)-SUM($L$6:L504))</f>
        <v/>
      </c>
      <c r="Q504" s="75" t="str">
        <f t="shared" si="57"/>
        <v/>
      </c>
      <c r="R504" s="84"/>
      <c r="S504" s="84"/>
    </row>
    <row r="505" spans="1:19" x14ac:dyDescent="0.35">
      <c r="A505" s="75" t="str">
        <f t="shared" si="58"/>
        <v/>
      </c>
      <c r="B505" s="81"/>
      <c r="C505" s="75" t="str">
        <f t="shared" si="59"/>
        <v/>
      </c>
      <c r="D505" s="75" t="str">
        <f t="shared" si="60"/>
        <v/>
      </c>
      <c r="E505" s="14"/>
      <c r="F505" s="14"/>
      <c r="G505" s="14"/>
      <c r="H505" s="75" t="str">
        <f t="shared" si="61"/>
        <v/>
      </c>
      <c r="I505" s="77" t="str">
        <f>IF(G505="","",IFERROR(VLOOKUP(G505,'Plan Comptable'!$B$5:$C$278,2,FALSE),"Compte inconnu"))</f>
        <v/>
      </c>
      <c r="J505" s="83"/>
      <c r="K505" s="83"/>
      <c r="L505" s="14"/>
      <c r="M505" s="32" t="str">
        <f t="shared" si="56"/>
        <v/>
      </c>
      <c r="N505" s="77" t="str">
        <f t="shared" si="62"/>
        <v/>
      </c>
      <c r="O505" s="75" t="str">
        <f t="shared" si="63"/>
        <v/>
      </c>
      <c r="P505" s="79" t="str">
        <f>IF(B505="","",SUM($K$6:K505)-SUM($L$6:L505))</f>
        <v/>
      </c>
      <c r="Q505" s="75" t="str">
        <f t="shared" si="57"/>
        <v/>
      </c>
      <c r="R505" s="84"/>
      <c r="S505" s="84"/>
    </row>
    <row r="506" spans="1:19" x14ac:dyDescent="0.35">
      <c r="A506" s="75" t="str">
        <f t="shared" si="58"/>
        <v/>
      </c>
      <c r="B506" s="81"/>
      <c r="C506" s="75" t="str">
        <f t="shared" si="59"/>
        <v/>
      </c>
      <c r="D506" s="75" t="str">
        <f t="shared" si="60"/>
        <v/>
      </c>
      <c r="E506" s="14"/>
      <c r="F506" s="14"/>
      <c r="G506" s="14"/>
      <c r="H506" s="75" t="str">
        <f t="shared" si="61"/>
        <v/>
      </c>
      <c r="I506" s="77" t="str">
        <f>IF(G506="","",IFERROR(VLOOKUP(G506,'Plan Comptable'!$B$5:$C$278,2,FALSE),"Compte inconnu"))</f>
        <v/>
      </c>
      <c r="J506" s="83"/>
      <c r="K506" s="83"/>
      <c r="L506" s="14"/>
      <c r="M506" s="32" t="str">
        <f t="shared" si="56"/>
        <v/>
      </c>
      <c r="N506" s="77" t="str">
        <f t="shared" si="62"/>
        <v/>
      </c>
      <c r="O506" s="75" t="str">
        <f t="shared" si="63"/>
        <v/>
      </c>
      <c r="P506" s="79" t="str">
        <f>IF(B506="","",SUM($K$6:K506)-SUM($L$6:L506))</f>
        <v/>
      </c>
      <c r="Q506" s="75" t="str">
        <f t="shared" si="57"/>
        <v/>
      </c>
      <c r="R506" s="84"/>
      <c r="S506" s="84"/>
    </row>
    <row r="507" spans="1:19" x14ac:dyDescent="0.35">
      <c r="A507" s="75" t="str">
        <f t="shared" si="58"/>
        <v/>
      </c>
      <c r="B507" s="14"/>
      <c r="C507" s="75" t="str">
        <f t="shared" si="59"/>
        <v/>
      </c>
      <c r="D507" s="75" t="str">
        <f t="shared" si="60"/>
        <v/>
      </c>
      <c r="E507" s="14"/>
      <c r="F507" s="14"/>
      <c r="G507" s="14"/>
      <c r="H507" s="75" t="str">
        <f t="shared" si="61"/>
        <v/>
      </c>
      <c r="I507" s="77" t="str">
        <f>IF(G507="","",IFERROR(VLOOKUP(G507,'Plan Comptable'!$B$5:$C$278,2,FALSE),"Compte inconnu"))</f>
        <v/>
      </c>
      <c r="J507" s="14"/>
      <c r="K507" s="14"/>
      <c r="L507" s="14"/>
      <c r="M507" s="32" t="str">
        <f t="shared" si="56"/>
        <v/>
      </c>
      <c r="N507" s="77" t="str">
        <f t="shared" si="62"/>
        <v/>
      </c>
      <c r="O507" s="75" t="str">
        <f t="shared" si="63"/>
        <v/>
      </c>
      <c r="P507" s="79" t="str">
        <f>IF(B507="","",SUM($K$6:K507)-SUM($L$6:L507))</f>
        <v/>
      </c>
      <c r="Q507" s="75" t="str">
        <f t="shared" si="57"/>
        <v/>
      </c>
      <c r="R507" s="84"/>
      <c r="S507" s="84"/>
    </row>
    <row r="508" spans="1:19" x14ac:dyDescent="0.35">
      <c r="B508" s="14"/>
      <c r="E508" s="14"/>
      <c r="F508" s="14"/>
      <c r="G508" s="82" t="s">
        <v>291</v>
      </c>
      <c r="H508" s="80"/>
      <c r="I508" s="77" t="str">
        <f>IF(G508="","",IFERROR(VLOOKUP(G508,'Plan Comptable'!$B$5:$C$278,2,FALSE),"Compte inconnu"))</f>
        <v>Compte inconnu</v>
      </c>
      <c r="J508" s="82">
        <f>SUM(J6:J506)</f>
        <v>0</v>
      </c>
      <c r="K508" s="82">
        <f>SUM(K6:K506)</f>
        <v>0</v>
      </c>
      <c r="L508" s="82"/>
      <c r="M508" s="32" t="str">
        <f t="shared" si="56"/>
        <v/>
      </c>
      <c r="N508" s="77" t="str">
        <f t="shared" si="62"/>
        <v/>
      </c>
      <c r="R508" s="14"/>
      <c r="S508" s="14"/>
    </row>
    <row r="509" spans="1:19" x14ac:dyDescent="0.35">
      <c r="B509" s="1"/>
    </row>
  </sheetData>
  <sheetProtection sheet="1" objects="1" scenarios="1" sort="0" autoFilter="0"/>
  <autoFilter ref="A5:S508" xr:uid="{7A7F1CB0-06CB-4FDA-ACA5-032BDF6A90AF}"/>
  <conditionalFormatting sqref="N6:N507">
    <cfRule type="containsText" dxfId="10" priority="2" operator="containsText" text="DOUBLON">
      <formula>NOT(ISERROR(SEARCH("DOUBLON",N6)))</formula>
    </cfRule>
  </conditionalFormatting>
  <conditionalFormatting sqref="I6:I507">
    <cfRule type="containsText" dxfId="9" priority="3" operator="containsText" text="Compte inconnu">
      <formula>NOT(ISERROR(SEARCH("Compte inconnu",I6)))</formula>
    </cfRule>
  </conditionalFormatting>
  <conditionalFormatting sqref="O6:O507">
    <cfRule type="containsText" dxfId="8" priority="4" operator="containsText" text="⚠">
      <formula>NOT(ISERROR(SEARCH("⚠",O6)))</formula>
    </cfRule>
  </conditionalFormatting>
  <conditionalFormatting sqref="Q6:Q507">
    <cfRule type="containsText" dxfId="7" priority="5" operator="containsText" text="⚠">
      <formula>NOT(ISERROR(SEARCH("⚠",Q6)))</formula>
    </cfRule>
  </conditionalFormatting>
  <conditionalFormatting sqref="N6:N507">
    <cfRule type="containsText" dxfId="6" priority="7" operator="containsText" text="DOUBLON">
      <formula>NOT(ISERROR(SEARCH("DOUBLON",N6)))</formula>
    </cfRule>
  </conditionalFormatting>
  <conditionalFormatting sqref="I6:I507">
    <cfRule type="containsText" dxfId="5" priority="8" operator="containsText" text="Compte inconnu">
      <formula>NOT(ISERROR(SEARCH("Compte inconnu",I6)))</formula>
    </cfRule>
  </conditionalFormatting>
  <conditionalFormatting sqref="O6:O507">
    <cfRule type="containsText" dxfId="4" priority="9" operator="containsText" text="⚠">
      <formula>NOT(ISERROR(SEARCH("⚠",O6)))</formula>
    </cfRule>
  </conditionalFormatting>
  <dataValidations count="3">
    <dataValidation type="list" errorStyle="warning" allowBlank="1" showInputMessage="1" showErrorMessage="1" errorTitle="Compte non trouvé" error="Ce compte n'est pas dans le Plan Comptable. Vérifiez le numéro." promptTitle="N° Compte" prompt="Sélectionnez un numéro de compte du Plan Comptable SYSCOHADA" sqref="H6:H508" xr:uid="{10240873-C358-484F-AB3F-07CF8BBDF3FB}">
      <formula1>ListeComptes</formula1>
    </dataValidation>
    <dataValidation type="list" allowBlank="1" showInputMessage="1" showErrorMessage="1" errorTitle="Code Journal invalide" error="Veuillez sélectionner un code journal valide dans la liste (AC, VT, BQ, CA, OD, AN, SA, IM, ST, CL)." promptTitle="Code Journal" prompt="Sélectionnez le code du journal comptable." sqref="F6:F508" xr:uid="{B010010D-B9EA-44D2-A9E6-9CC726F87A9E}">
      <formula1>CodesJournaux</formula1>
    </dataValidation>
    <dataValidation type="list" allowBlank="1" showInputMessage="1" showErrorMessage="1" errorTitle="N° Compte invalide" error="Veuillez sélectionner un numéro de compte SYSCOHADA valide dans la liste." promptTitle="N° Compte SYSCOHADA" prompt="Sélectionnez le numéro de compte dans le plan comptable." sqref="G6:G508" xr:uid="{38AAEBD6-3914-46CC-8DD0-8B864F76F9AB}">
      <formula1>ListeComptes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A1AE0-CB31-4799-A964-DD6E9497F56F}">
  <dimension ref="A1:J62"/>
  <sheetViews>
    <sheetView workbookViewId="0">
      <selection activeCell="F7" sqref="F7"/>
    </sheetView>
  </sheetViews>
  <sheetFormatPr baseColWidth="10" defaultRowHeight="14.5" x14ac:dyDescent="0.35"/>
  <cols>
    <col min="2" max="2" width="43.26953125" bestFit="1" customWidth="1"/>
    <col min="3" max="3" width="5.26953125" bestFit="1" customWidth="1"/>
    <col min="4" max="5" width="8.7265625" bestFit="1" customWidth="1"/>
    <col min="6" max="6" width="18.453125" bestFit="1" customWidth="1"/>
    <col min="7" max="7" width="6" bestFit="1" customWidth="1"/>
    <col min="8" max="8" width="6.7265625" bestFit="1" customWidth="1"/>
    <col min="9" max="9" width="13.26953125" bestFit="1" customWidth="1"/>
  </cols>
  <sheetData>
    <row r="1" spans="1:10" x14ac:dyDescent="0.35">
      <c r="A1" s="15" t="str">
        <f>HYPERLINK("#'PAGE DE GARDE'!A1","⬅ Menu")</f>
        <v>⬅ Menu</v>
      </c>
      <c r="B1" s="33" t="s">
        <v>1201</v>
      </c>
      <c r="C1" s="63" t="str">
        <f>HYPERLINK("#'Journal'!A1","◀ Journal")</f>
        <v>◀ Journal</v>
      </c>
      <c r="E1" s="34" t="str">
        <f>HYPERLINK("#'Balance Générale'!A1","Balance Générale ▶")</f>
        <v>Balance Générale ▶</v>
      </c>
    </row>
    <row r="2" spans="1:10" ht="21" x14ac:dyDescent="0.35">
      <c r="B2" s="85" t="s">
        <v>982</v>
      </c>
      <c r="C2" s="85"/>
      <c r="D2" s="85"/>
      <c r="E2" s="85"/>
      <c r="F2" s="85"/>
      <c r="G2" s="85"/>
      <c r="H2" s="85"/>
      <c r="I2" s="85"/>
      <c r="J2" s="85"/>
    </row>
    <row r="3" spans="1:10" x14ac:dyDescent="0.35">
      <c r="B3" s="86" t="s">
        <v>983</v>
      </c>
      <c r="C3" s="86"/>
      <c r="D3" s="86"/>
      <c r="E3" s="86"/>
      <c r="F3" s="86"/>
      <c r="G3" s="86"/>
      <c r="H3" s="86"/>
      <c r="I3" s="86"/>
      <c r="J3" s="86"/>
    </row>
    <row r="5" spans="1:10" ht="16" x14ac:dyDescent="0.4">
      <c r="B5" s="87" t="s">
        <v>984</v>
      </c>
      <c r="C5" s="87"/>
      <c r="D5" s="87"/>
    </row>
    <row r="6" spans="1:10" x14ac:dyDescent="0.35">
      <c r="B6" s="88" t="s">
        <v>985</v>
      </c>
      <c r="C6" s="91"/>
      <c r="D6" s="46" t="str">
        <f>IF(C6="","",IFERROR(VLOOKUP(C6,'Plan Comptable'!B:C,2,FALSE),"Compte inconnu"))</f>
        <v/>
      </c>
      <c r="E6" s="46"/>
      <c r="F6" s="46"/>
    </row>
    <row r="7" spans="1:10" x14ac:dyDescent="0.35">
      <c r="B7" s="88" t="s">
        <v>986</v>
      </c>
      <c r="C7" s="79">
        <f>IF(C6="",0,IFERROR(SUMIF('Balance N-1'!B:B,C6,'Balance N-1'!F:F)-SUMIF('Balance N-1'!B:B,C6,'Balance N-1'!G:G),0))</f>
        <v>0</v>
      </c>
    </row>
    <row r="9" spans="1:10" ht="16" x14ac:dyDescent="0.4">
      <c r="B9" s="87" t="s">
        <v>987</v>
      </c>
      <c r="C9" s="87"/>
      <c r="D9" s="87"/>
      <c r="E9" s="87"/>
      <c r="F9" s="87"/>
      <c r="G9" s="87"/>
      <c r="H9" s="87"/>
      <c r="I9" s="87"/>
      <c r="J9" s="87"/>
    </row>
    <row r="10" spans="1:10" x14ac:dyDescent="0.35">
      <c r="B10" s="74" t="s">
        <v>845</v>
      </c>
      <c r="C10" s="74" t="s">
        <v>284</v>
      </c>
      <c r="D10" s="74" t="s">
        <v>285</v>
      </c>
      <c r="E10" s="74" t="s">
        <v>286</v>
      </c>
      <c r="F10" s="74" t="s">
        <v>287</v>
      </c>
      <c r="G10" s="74" t="s">
        <v>288</v>
      </c>
      <c r="H10" s="74" t="s">
        <v>289</v>
      </c>
      <c r="I10" s="74" t="s">
        <v>988</v>
      </c>
    </row>
    <row r="11" spans="1:10" x14ac:dyDescent="0.35">
      <c r="B11" t="str" cm="1">
        <f t="array" ref="B11">IF($C$6="","",IFERROR(SMALL(IF(Journal!$G$6:$G$507=$C$6,ROW(Journal!$G$6:$G$507)-4),ROW()-10),""))</f>
        <v/>
      </c>
      <c r="C11" s="76" t="str" cm="1">
        <f t="array" ref="C11">IF(B11="","",INDEX(Journal!$B$6:$B$507,B11))</f>
        <v/>
      </c>
      <c r="D11" t="str" cm="1">
        <f t="array" ref="D11">IF(B11="","",INDEX(Journal!$E$6:$E$507,B11))</f>
        <v/>
      </c>
      <c r="E11" t="str" cm="1">
        <f t="array" ref="E11">IF(B11="","",INDEX(Journal!$F$6:$F$507,B11))</f>
        <v/>
      </c>
      <c r="F11" t="str" cm="1">
        <f t="array" ref="F11">IF(B11="","",INDEX(Journal!$J$6:$J$507,B11))</f>
        <v/>
      </c>
      <c r="G11" s="78" t="str" cm="1">
        <f t="array" ref="G11">IF(B11="","",INDEX(Journal!$K$6:$K$507,B11))</f>
        <v/>
      </c>
      <c r="H11" s="78" t="str" cm="1">
        <f t="array" ref="H11">IF(B11="","",INDEX(Journal!$L$6:$L$507,B11))</f>
        <v/>
      </c>
      <c r="I11" s="78" t="str">
        <f>IF(B11="","",$C$7+SUMIF($B$11:B11,"&lt;&gt;"&amp;"",$G$11:G11)-SUMIF($B$11:B11,"&lt;&gt;"&amp;"",$H$11:H11))</f>
        <v/>
      </c>
    </row>
    <row r="12" spans="1:10" x14ac:dyDescent="0.35">
      <c r="B12" t="str" cm="1">
        <f t="array" ref="B12">IF($C$6="","",IFERROR(SMALL(IF(Journal!$G$6:$G$507=$C$6,ROW(Journal!$G$6:$G$507)-4),ROW()-10),""))</f>
        <v/>
      </c>
      <c r="C12" s="76" t="str" cm="1">
        <f t="array" ref="C12">IF(B12="","",INDEX(Journal!$B$6:$B$507,B12))</f>
        <v/>
      </c>
      <c r="D12" t="str" cm="1">
        <f t="array" ref="D12">IF(B12="","",INDEX(Journal!$E$6:$E$507,B12))</f>
        <v/>
      </c>
      <c r="E12" t="str" cm="1">
        <f t="array" ref="E12">IF(B12="","",INDEX(Journal!$F$6:$F$507,B12))</f>
        <v/>
      </c>
      <c r="F12" t="str" cm="1">
        <f t="array" ref="F12">IF(B12="","",INDEX(Journal!$J$6:$J$507,B12))</f>
        <v/>
      </c>
      <c r="G12" s="78" t="str" cm="1">
        <f t="array" ref="G12">IF(B12="","",INDEX(Journal!$K$6:$K$507,B12))</f>
        <v/>
      </c>
      <c r="H12" s="78" t="str" cm="1">
        <f t="array" ref="H12">IF(B12="","",INDEX(Journal!$L$6:$L$507,B12))</f>
        <v/>
      </c>
      <c r="I12" s="78" t="str">
        <f>IF(B12="","",$C$7+SUMIF($B$11:B12,"&lt;&gt;"&amp;"",$G$11:G12)-SUMIF($B$11:B12,"&lt;&gt;"&amp;"",$H$11:H12))</f>
        <v/>
      </c>
    </row>
    <row r="13" spans="1:10" x14ac:dyDescent="0.35">
      <c r="B13" t="str" cm="1">
        <f t="array" ref="B13">IF($C$6="","",IFERROR(SMALL(IF(Journal!$G$6:$G$507=$C$6,ROW(Journal!$G$6:$G$507)-4),ROW()-10),""))</f>
        <v/>
      </c>
      <c r="C13" s="76" t="str" cm="1">
        <f t="array" ref="C13">IF(B13="","",INDEX(Journal!$B$6:$B$507,B13))</f>
        <v/>
      </c>
      <c r="D13" t="str" cm="1">
        <f t="array" ref="D13">IF(B13="","",INDEX(Journal!$E$6:$E$507,B13))</f>
        <v/>
      </c>
      <c r="E13" t="str" cm="1">
        <f t="array" ref="E13">IF(B13="","",INDEX(Journal!$F$6:$F$507,B13))</f>
        <v/>
      </c>
      <c r="F13" t="str" cm="1">
        <f t="array" ref="F13">IF(B13="","",INDEX(Journal!$J$6:$J$507,B13))</f>
        <v/>
      </c>
      <c r="G13" s="78" t="str" cm="1">
        <f t="array" ref="G13">IF(B13="","",INDEX(Journal!$K$6:$K$507,B13))</f>
        <v/>
      </c>
      <c r="H13" s="78" t="str" cm="1">
        <f t="array" ref="H13">IF(B13="","",INDEX(Journal!$L$6:$L$507,B13))</f>
        <v/>
      </c>
      <c r="I13" s="78" t="str">
        <f>IF(B13="","",$C$7+SUMIF($B$11:B13,"&lt;&gt;"&amp;"",$G$11:G13)-SUMIF($B$11:B13,"&lt;&gt;"&amp;"",$H$11:H13))</f>
        <v/>
      </c>
    </row>
    <row r="14" spans="1:10" x14ac:dyDescent="0.35">
      <c r="B14" t="str" cm="1">
        <f t="array" ref="B14">IF($C$6="","",IFERROR(SMALL(IF(Journal!$G$6:$G$507=$C$6,ROW(Journal!$G$6:$G$507)-4),ROW()-10),""))</f>
        <v/>
      </c>
      <c r="C14" s="76" t="str" cm="1">
        <f t="array" ref="C14">IF(B14="","",INDEX(Journal!$B$6:$B$507,B14))</f>
        <v/>
      </c>
      <c r="D14" t="str" cm="1">
        <f t="array" ref="D14">IF(B14="","",INDEX(Journal!$E$6:$E$507,B14))</f>
        <v/>
      </c>
      <c r="E14" t="str" cm="1">
        <f t="array" ref="E14">IF(B14="","",INDEX(Journal!$F$6:$F$507,B14))</f>
        <v/>
      </c>
      <c r="F14" t="str" cm="1">
        <f t="array" ref="F14">IF(B14="","",INDEX(Journal!$J$6:$J$507,B14))</f>
        <v/>
      </c>
      <c r="G14" s="78" t="str" cm="1">
        <f t="array" ref="G14">IF(B14="","",INDEX(Journal!$K$6:$K$507,B14))</f>
        <v/>
      </c>
      <c r="H14" s="78" t="str" cm="1">
        <f t="array" ref="H14">IF(B14="","",INDEX(Journal!$L$6:$L$507,B14))</f>
        <v/>
      </c>
      <c r="I14" s="78" t="str">
        <f>IF(B14="","",$C$7+SUMIF($B$11:B14,"&lt;&gt;"&amp;"",$G$11:G14)-SUMIF($B$11:B14,"&lt;&gt;"&amp;"",$H$11:H14))</f>
        <v/>
      </c>
    </row>
    <row r="15" spans="1:10" x14ac:dyDescent="0.35">
      <c r="B15" t="str" cm="1">
        <f t="array" ref="B15">IF($C$6="","",IFERROR(SMALL(IF(Journal!$G$6:$G$507=$C$6,ROW(Journal!$G$6:$G$507)-4),ROW()-10),""))</f>
        <v/>
      </c>
      <c r="C15" s="76" t="str" cm="1">
        <f t="array" ref="C15">IF(B15="","",INDEX(Journal!$B$6:$B$507,B15))</f>
        <v/>
      </c>
      <c r="D15" t="str" cm="1">
        <f t="array" ref="D15">IF(B15="","",INDEX(Journal!$E$6:$E$507,B15))</f>
        <v/>
      </c>
      <c r="E15" t="str" cm="1">
        <f t="array" ref="E15">IF(B15="","",INDEX(Journal!$F$6:$F$507,B15))</f>
        <v/>
      </c>
      <c r="F15" t="str" cm="1">
        <f t="array" ref="F15">IF(B15="","",INDEX(Journal!$J$6:$J$507,B15))</f>
        <v/>
      </c>
      <c r="G15" s="78" t="str" cm="1">
        <f t="array" ref="G15">IF(B15="","",INDEX(Journal!$K$6:$K$507,B15))</f>
        <v/>
      </c>
      <c r="H15" s="78" t="str" cm="1">
        <f t="array" ref="H15">IF(B15="","",INDEX(Journal!$L$6:$L$507,B15))</f>
        <v/>
      </c>
      <c r="I15" s="78" t="str">
        <f>IF(B15="","",$C$7+SUMIF($B$11:B15,"&lt;&gt;"&amp;"",$G$11:G15)-SUMIF($B$11:B15,"&lt;&gt;"&amp;"",$H$11:H15))</f>
        <v/>
      </c>
    </row>
    <row r="16" spans="1:10" x14ac:dyDescent="0.35">
      <c r="B16" t="str" cm="1">
        <f t="array" ref="B16">IF($C$6="","",IFERROR(SMALL(IF(Journal!$G$6:$G$507=$C$6,ROW(Journal!$G$6:$G$507)-4),ROW()-10),""))</f>
        <v/>
      </c>
      <c r="C16" s="76" t="str" cm="1">
        <f t="array" ref="C16">IF(B16="","",INDEX(Journal!$B$6:$B$507,B16))</f>
        <v/>
      </c>
      <c r="D16" t="str" cm="1">
        <f t="array" ref="D16">IF(B16="","",INDEX(Journal!$E$6:$E$507,B16))</f>
        <v/>
      </c>
      <c r="E16" t="str" cm="1">
        <f t="array" ref="E16">IF(B16="","",INDEX(Journal!$F$6:$F$507,B16))</f>
        <v/>
      </c>
      <c r="F16" t="str" cm="1">
        <f t="array" ref="F16">IF(B16="","",INDEX(Journal!$J$6:$J$507,B16))</f>
        <v/>
      </c>
      <c r="G16" s="78" t="str" cm="1">
        <f t="array" ref="G16">IF(B16="","",INDEX(Journal!$K$6:$K$507,B16))</f>
        <v/>
      </c>
      <c r="H16" s="78" t="str" cm="1">
        <f t="array" ref="H16">IF(B16="","",INDEX(Journal!$L$6:$L$507,B16))</f>
        <v/>
      </c>
      <c r="I16" s="78" t="str">
        <f>IF(B16="","",$C$7+SUMIF($B$11:B16,"&lt;&gt;"&amp;"",$G$11:G16)-SUMIF($B$11:B16,"&lt;&gt;"&amp;"",$H$11:H16))</f>
        <v/>
      </c>
    </row>
    <row r="17" spans="2:9" x14ac:dyDescent="0.35">
      <c r="B17" t="str" cm="1">
        <f t="array" ref="B17">IF($C$6="","",IFERROR(SMALL(IF(Journal!$G$6:$G$507=$C$6,ROW(Journal!$G$6:$G$507)-4),ROW()-10),""))</f>
        <v/>
      </c>
      <c r="C17" s="76" t="str" cm="1">
        <f t="array" ref="C17">IF(B17="","",INDEX(Journal!$B$6:$B$507,B17))</f>
        <v/>
      </c>
      <c r="D17" t="str" cm="1">
        <f t="array" ref="D17">IF(B17="","",INDEX(Journal!$E$6:$E$507,B17))</f>
        <v/>
      </c>
      <c r="E17" t="str" cm="1">
        <f t="array" ref="E17">IF(B17="","",INDEX(Journal!$F$6:$F$507,B17))</f>
        <v/>
      </c>
      <c r="F17" t="str" cm="1">
        <f t="array" ref="F17">IF(B17="","",INDEX(Journal!$J$6:$J$507,B17))</f>
        <v/>
      </c>
      <c r="G17" s="78" t="str" cm="1">
        <f t="array" ref="G17">IF(B17="","",INDEX(Journal!$K$6:$K$507,B17))</f>
        <v/>
      </c>
      <c r="H17" s="78" t="str" cm="1">
        <f t="array" ref="H17">IF(B17="","",INDEX(Journal!$L$6:$L$507,B17))</f>
        <v/>
      </c>
      <c r="I17" s="78" t="str">
        <f>IF(B17="","",$C$7+SUMIF($B$11:B17,"&lt;&gt;"&amp;"",$G$11:G17)-SUMIF($B$11:B17,"&lt;&gt;"&amp;"",$H$11:H17))</f>
        <v/>
      </c>
    </row>
    <row r="18" spans="2:9" x14ac:dyDescent="0.35">
      <c r="B18" t="str" cm="1">
        <f t="array" ref="B18">IF($C$6="","",IFERROR(SMALL(IF(Journal!$G$6:$G$507=$C$6,ROW(Journal!$G$6:$G$507)-4),ROW()-10),""))</f>
        <v/>
      </c>
      <c r="C18" s="76" t="str" cm="1">
        <f t="array" ref="C18">IF(B18="","",INDEX(Journal!$B$6:$B$507,B18))</f>
        <v/>
      </c>
      <c r="D18" t="str" cm="1">
        <f t="array" ref="D18">IF(B18="","",INDEX(Journal!$E$6:$E$507,B18))</f>
        <v/>
      </c>
      <c r="E18" t="str" cm="1">
        <f t="array" ref="E18">IF(B18="","",INDEX(Journal!$F$6:$F$507,B18))</f>
        <v/>
      </c>
      <c r="F18" t="str" cm="1">
        <f t="array" ref="F18">IF(B18="","",INDEX(Journal!$J$6:$J$507,B18))</f>
        <v/>
      </c>
      <c r="G18" s="78" t="str" cm="1">
        <f t="array" ref="G18">IF(B18="","",INDEX(Journal!$K$6:$K$507,B18))</f>
        <v/>
      </c>
      <c r="H18" s="78" t="str" cm="1">
        <f t="array" ref="H18">IF(B18="","",INDEX(Journal!$L$6:$L$507,B18))</f>
        <v/>
      </c>
      <c r="I18" s="78" t="str">
        <f>IF(B18="","",$C$7+SUMIF($B$11:B18,"&lt;&gt;"&amp;"",$G$11:G18)-SUMIF($B$11:B18,"&lt;&gt;"&amp;"",$H$11:H18))</f>
        <v/>
      </c>
    </row>
    <row r="19" spans="2:9" x14ac:dyDescent="0.35">
      <c r="B19" t="str" cm="1">
        <f t="array" ref="B19">IF($C$6="","",IFERROR(SMALL(IF(Journal!$G$6:$G$507=$C$6,ROW(Journal!$G$6:$G$507)-4),ROW()-10),""))</f>
        <v/>
      </c>
      <c r="C19" s="76" t="str" cm="1">
        <f t="array" ref="C19">IF(B19="","",INDEX(Journal!$B$6:$B$507,B19))</f>
        <v/>
      </c>
      <c r="D19" t="str" cm="1">
        <f t="array" ref="D19">IF(B19="","",INDEX(Journal!$E$6:$E$507,B19))</f>
        <v/>
      </c>
      <c r="E19" t="str" cm="1">
        <f t="array" ref="E19">IF(B19="","",INDEX(Journal!$F$6:$F$507,B19))</f>
        <v/>
      </c>
      <c r="F19" t="str" cm="1">
        <f t="array" ref="F19">IF(B19="","",INDEX(Journal!$J$6:$J$507,B19))</f>
        <v/>
      </c>
      <c r="G19" s="78" t="str" cm="1">
        <f t="array" ref="G19">IF(B19="","",INDEX(Journal!$K$6:$K$507,B19))</f>
        <v/>
      </c>
      <c r="H19" s="78" t="str" cm="1">
        <f t="array" ref="H19">IF(B19="","",INDEX(Journal!$L$6:$L$507,B19))</f>
        <v/>
      </c>
      <c r="I19" s="78" t="str">
        <f>IF(B19="","",$C$7+SUMIF($B$11:B19,"&lt;&gt;"&amp;"",$G$11:G19)-SUMIF($B$11:B19,"&lt;&gt;"&amp;"",$H$11:H19))</f>
        <v/>
      </c>
    </row>
    <row r="20" spans="2:9" x14ac:dyDescent="0.35">
      <c r="B20" t="str" cm="1">
        <f t="array" ref="B20">IF($C$6="","",IFERROR(SMALL(IF(Journal!$G$6:$G$507=$C$6,ROW(Journal!$G$6:$G$507)-4),ROW()-10),""))</f>
        <v/>
      </c>
      <c r="C20" s="76" t="str" cm="1">
        <f t="array" ref="C20">IF(B20="","",INDEX(Journal!$B$6:$B$507,B20))</f>
        <v/>
      </c>
      <c r="D20" t="str" cm="1">
        <f t="array" ref="D20">IF(B20="","",INDEX(Journal!$E$6:$E$507,B20))</f>
        <v/>
      </c>
      <c r="E20" t="str" cm="1">
        <f t="array" ref="E20">IF(B20="","",INDEX(Journal!$F$6:$F$507,B20))</f>
        <v/>
      </c>
      <c r="F20" t="str" cm="1">
        <f t="array" ref="F20">IF(B20="","",INDEX(Journal!$J$6:$J$507,B20))</f>
        <v/>
      </c>
      <c r="G20" s="78" t="str" cm="1">
        <f t="array" ref="G20">IF(B20="","",INDEX(Journal!$K$6:$K$507,B20))</f>
        <v/>
      </c>
      <c r="H20" s="78" t="str" cm="1">
        <f t="array" ref="H20">IF(B20="","",INDEX(Journal!$L$6:$L$507,B20))</f>
        <v/>
      </c>
      <c r="I20" s="78" t="str">
        <f>IF(B20="","",$C$7+SUMIF($B$11:B20,"&lt;&gt;"&amp;"",$G$11:G20)-SUMIF($B$11:B20,"&lt;&gt;"&amp;"",$H$11:H20))</f>
        <v/>
      </c>
    </row>
    <row r="21" spans="2:9" x14ac:dyDescent="0.35">
      <c r="B21" t="str" cm="1">
        <f t="array" ref="B21">IF($C$6="","",IFERROR(SMALL(IF(Journal!$G$6:$G$507=$C$6,ROW(Journal!$G$6:$G$507)-4),ROW()-10),""))</f>
        <v/>
      </c>
      <c r="C21" s="76" t="str" cm="1">
        <f t="array" ref="C21">IF(B21="","",INDEX(Journal!$B$6:$B$507,B21))</f>
        <v/>
      </c>
      <c r="D21" t="str" cm="1">
        <f t="array" ref="D21">IF(B21="","",INDEX(Journal!$E$6:$E$507,B21))</f>
        <v/>
      </c>
      <c r="E21" t="str" cm="1">
        <f t="array" ref="E21">IF(B21="","",INDEX(Journal!$F$6:$F$507,B21))</f>
        <v/>
      </c>
      <c r="F21" t="str" cm="1">
        <f t="array" ref="F21">IF(B21="","",INDEX(Journal!$J$6:$J$507,B21))</f>
        <v/>
      </c>
      <c r="G21" s="78" t="str" cm="1">
        <f t="array" ref="G21">IF(B21="","",INDEX(Journal!$K$6:$K$507,B21))</f>
        <v/>
      </c>
      <c r="H21" s="78" t="str" cm="1">
        <f t="array" ref="H21">IF(B21="","",INDEX(Journal!$L$6:$L$507,B21))</f>
        <v/>
      </c>
      <c r="I21" s="78" t="str">
        <f>IF(B21="","",$C$7+SUMIF($B$11:B21,"&lt;&gt;"&amp;"",$G$11:G21)-SUMIF($B$11:B21,"&lt;&gt;"&amp;"",$H$11:H21))</f>
        <v/>
      </c>
    </row>
    <row r="22" spans="2:9" x14ac:dyDescent="0.35">
      <c r="B22" t="str" cm="1">
        <f t="array" ref="B22">IF($C$6="","",IFERROR(SMALL(IF(Journal!$G$6:$G$507=$C$6,ROW(Journal!$G$6:$G$507)-4),ROW()-10),""))</f>
        <v/>
      </c>
      <c r="C22" s="76" t="str" cm="1">
        <f t="array" ref="C22">IF(B22="","",INDEX(Journal!$B$6:$B$507,B22))</f>
        <v/>
      </c>
      <c r="D22" t="str" cm="1">
        <f t="array" ref="D22">IF(B22="","",INDEX(Journal!$E$6:$E$507,B22))</f>
        <v/>
      </c>
      <c r="E22" t="str" cm="1">
        <f t="array" ref="E22">IF(B22="","",INDEX(Journal!$F$6:$F$507,B22))</f>
        <v/>
      </c>
      <c r="F22" t="str" cm="1">
        <f t="array" ref="F22">IF(B22="","",INDEX(Journal!$J$6:$J$507,B22))</f>
        <v/>
      </c>
      <c r="G22" s="78" t="str" cm="1">
        <f t="array" ref="G22">IF(B22="","",INDEX(Journal!$K$6:$K$507,B22))</f>
        <v/>
      </c>
      <c r="H22" s="78" t="str" cm="1">
        <f t="array" ref="H22">IF(B22="","",INDEX(Journal!$L$6:$L$507,B22))</f>
        <v/>
      </c>
      <c r="I22" s="78" t="str">
        <f>IF(B22="","",$C$7+SUMIF($B$11:B22,"&lt;&gt;"&amp;"",$G$11:G22)-SUMIF($B$11:B22,"&lt;&gt;"&amp;"",$H$11:H22))</f>
        <v/>
      </c>
    </row>
    <row r="23" spans="2:9" x14ac:dyDescent="0.35">
      <c r="B23" t="str" cm="1">
        <f t="array" ref="B23">IF($C$6="","",IFERROR(SMALL(IF(Journal!$G$6:$G$507=$C$6,ROW(Journal!$G$6:$G$507)-4),ROW()-10),""))</f>
        <v/>
      </c>
      <c r="C23" s="76" t="str" cm="1">
        <f t="array" ref="C23">IF(B23="","",INDEX(Journal!$B$6:$B$507,B23))</f>
        <v/>
      </c>
      <c r="D23" t="str" cm="1">
        <f t="array" ref="D23">IF(B23="","",INDEX(Journal!$E$6:$E$507,B23))</f>
        <v/>
      </c>
      <c r="E23" t="str" cm="1">
        <f t="array" ref="E23">IF(B23="","",INDEX(Journal!$F$6:$F$507,B23))</f>
        <v/>
      </c>
      <c r="F23" t="str" cm="1">
        <f t="array" ref="F23">IF(B23="","",INDEX(Journal!$J$6:$J$507,B23))</f>
        <v/>
      </c>
      <c r="G23" s="78" t="str" cm="1">
        <f t="array" ref="G23">IF(B23="","",INDEX(Journal!$K$6:$K$507,B23))</f>
        <v/>
      </c>
      <c r="H23" s="78" t="str" cm="1">
        <f t="array" ref="H23">IF(B23="","",INDEX(Journal!$L$6:$L$507,B23))</f>
        <v/>
      </c>
      <c r="I23" s="78" t="str">
        <f>IF(B23="","",$C$7+SUMIF($B$11:B23,"&lt;&gt;"&amp;"",$G$11:G23)-SUMIF($B$11:B23,"&lt;&gt;"&amp;"",$H$11:H23))</f>
        <v/>
      </c>
    </row>
    <row r="24" spans="2:9" x14ac:dyDescent="0.35">
      <c r="B24" t="str" cm="1">
        <f t="array" ref="B24">IF($C$6="","",IFERROR(SMALL(IF(Journal!$G$6:$G$507=$C$6,ROW(Journal!$G$6:$G$507)-4),ROW()-10),""))</f>
        <v/>
      </c>
      <c r="C24" s="76" t="str" cm="1">
        <f t="array" ref="C24">IF(B24="","",INDEX(Journal!$B$6:$B$507,B24))</f>
        <v/>
      </c>
      <c r="D24" t="str" cm="1">
        <f t="array" ref="D24">IF(B24="","",INDEX(Journal!$E$6:$E$507,B24))</f>
        <v/>
      </c>
      <c r="E24" t="str" cm="1">
        <f t="array" ref="E24">IF(B24="","",INDEX(Journal!$F$6:$F$507,B24))</f>
        <v/>
      </c>
      <c r="F24" t="str" cm="1">
        <f t="array" ref="F24">IF(B24="","",INDEX(Journal!$J$6:$J$507,B24))</f>
        <v/>
      </c>
      <c r="G24" s="78" t="str" cm="1">
        <f t="array" ref="G24">IF(B24="","",INDEX(Journal!$K$6:$K$507,B24))</f>
        <v/>
      </c>
      <c r="H24" s="78" t="str" cm="1">
        <f t="array" ref="H24">IF(B24="","",INDEX(Journal!$L$6:$L$507,B24))</f>
        <v/>
      </c>
      <c r="I24" s="78" t="str">
        <f>IF(B24="","",$C$7+SUMIF($B$11:B24,"&lt;&gt;"&amp;"",$G$11:G24)-SUMIF($B$11:B24,"&lt;&gt;"&amp;"",$H$11:H24))</f>
        <v/>
      </c>
    </row>
    <row r="25" spans="2:9" x14ac:dyDescent="0.35">
      <c r="B25" t="str" cm="1">
        <f t="array" ref="B25">IF($C$6="","",IFERROR(SMALL(IF(Journal!$G$6:$G$507=$C$6,ROW(Journal!$G$6:$G$507)-4),ROW()-10),""))</f>
        <v/>
      </c>
      <c r="C25" s="76" t="str" cm="1">
        <f t="array" ref="C25">IF(B25="","",INDEX(Journal!$B$6:$B$507,B25))</f>
        <v/>
      </c>
      <c r="D25" t="str" cm="1">
        <f t="array" ref="D25">IF(B25="","",INDEX(Journal!$E$6:$E$507,B25))</f>
        <v/>
      </c>
      <c r="E25" t="str" cm="1">
        <f t="array" ref="E25">IF(B25="","",INDEX(Journal!$F$6:$F$507,B25))</f>
        <v/>
      </c>
      <c r="F25" t="str" cm="1">
        <f t="array" ref="F25">IF(B25="","",INDEX(Journal!$J$6:$J$507,B25))</f>
        <v/>
      </c>
      <c r="G25" s="78" t="str" cm="1">
        <f t="array" ref="G25">IF(B25="","",INDEX(Journal!$K$6:$K$507,B25))</f>
        <v/>
      </c>
      <c r="H25" s="78" t="str" cm="1">
        <f t="array" ref="H25">IF(B25="","",INDEX(Journal!$L$6:$L$507,B25))</f>
        <v/>
      </c>
      <c r="I25" s="78" t="str">
        <f>IF(B25="","",$C$7+SUMIF($B$11:B25,"&lt;&gt;"&amp;"",$G$11:G25)-SUMIF($B$11:B25,"&lt;&gt;"&amp;"",$H$11:H25))</f>
        <v/>
      </c>
    </row>
    <row r="26" spans="2:9" x14ac:dyDescent="0.35">
      <c r="B26" t="str" cm="1">
        <f t="array" ref="B26">IF($C$6="","",IFERROR(SMALL(IF(Journal!$G$6:$G$507=$C$6,ROW(Journal!$G$6:$G$507)-4),ROW()-10),""))</f>
        <v/>
      </c>
      <c r="C26" s="76" t="str" cm="1">
        <f t="array" ref="C26">IF(B26="","",INDEX(Journal!$B$6:$B$507,B26))</f>
        <v/>
      </c>
      <c r="D26" t="str" cm="1">
        <f t="array" ref="D26">IF(B26="","",INDEX(Journal!$E$6:$E$507,B26))</f>
        <v/>
      </c>
      <c r="E26" t="str" cm="1">
        <f t="array" ref="E26">IF(B26="","",INDEX(Journal!$F$6:$F$507,B26))</f>
        <v/>
      </c>
      <c r="F26" t="str" cm="1">
        <f t="array" ref="F26">IF(B26="","",INDEX(Journal!$J$6:$J$507,B26))</f>
        <v/>
      </c>
      <c r="G26" s="78" t="str" cm="1">
        <f t="array" ref="G26">IF(B26="","",INDEX(Journal!$K$6:$K$507,B26))</f>
        <v/>
      </c>
      <c r="H26" s="78" t="str" cm="1">
        <f t="array" ref="H26">IF(B26="","",INDEX(Journal!$L$6:$L$507,B26))</f>
        <v/>
      </c>
      <c r="I26" s="78" t="str">
        <f>IF(B26="","",$C$7+SUMIF($B$11:B26,"&lt;&gt;"&amp;"",$G$11:G26)-SUMIF($B$11:B26,"&lt;&gt;"&amp;"",$H$11:H26))</f>
        <v/>
      </c>
    </row>
    <row r="27" spans="2:9" x14ac:dyDescent="0.35">
      <c r="B27" t="str" cm="1">
        <f t="array" ref="B27">IF($C$6="","",IFERROR(SMALL(IF(Journal!$G$6:$G$507=$C$6,ROW(Journal!$G$6:$G$507)-4),ROW()-10),""))</f>
        <v/>
      </c>
      <c r="C27" s="76" t="str" cm="1">
        <f t="array" ref="C27">IF(B27="","",INDEX(Journal!$B$6:$B$507,B27))</f>
        <v/>
      </c>
      <c r="D27" t="str" cm="1">
        <f t="array" ref="D27">IF(B27="","",INDEX(Journal!$E$6:$E$507,B27))</f>
        <v/>
      </c>
      <c r="E27" t="str" cm="1">
        <f t="array" ref="E27">IF(B27="","",INDEX(Journal!$F$6:$F$507,B27))</f>
        <v/>
      </c>
      <c r="F27" t="str" cm="1">
        <f t="array" ref="F27">IF(B27="","",INDEX(Journal!$J$6:$J$507,B27))</f>
        <v/>
      </c>
      <c r="G27" s="78" t="str" cm="1">
        <f t="array" ref="G27">IF(B27="","",INDEX(Journal!$K$6:$K$507,B27))</f>
        <v/>
      </c>
      <c r="H27" s="78" t="str" cm="1">
        <f t="array" ref="H27">IF(B27="","",INDEX(Journal!$L$6:$L$507,B27))</f>
        <v/>
      </c>
      <c r="I27" s="78" t="str">
        <f>IF(B27="","",$C$7+SUMIF($B$11:B27,"&lt;&gt;"&amp;"",$G$11:G27)-SUMIF($B$11:B27,"&lt;&gt;"&amp;"",$H$11:H27))</f>
        <v/>
      </c>
    </row>
    <row r="28" spans="2:9" x14ac:dyDescent="0.35">
      <c r="B28" t="str" cm="1">
        <f t="array" ref="B28">IF($C$6="","",IFERROR(SMALL(IF(Journal!$G$6:$G$507=$C$6,ROW(Journal!$G$6:$G$507)-4),ROW()-10),""))</f>
        <v/>
      </c>
      <c r="C28" s="76" t="str" cm="1">
        <f t="array" ref="C28">IF(B28="","",INDEX(Journal!$B$6:$B$507,B28))</f>
        <v/>
      </c>
      <c r="D28" t="str" cm="1">
        <f t="array" ref="D28">IF(B28="","",INDEX(Journal!$E$6:$E$507,B28))</f>
        <v/>
      </c>
      <c r="E28" t="str" cm="1">
        <f t="array" ref="E28">IF(B28="","",INDEX(Journal!$F$6:$F$507,B28))</f>
        <v/>
      </c>
      <c r="F28" t="str" cm="1">
        <f t="array" ref="F28">IF(B28="","",INDEX(Journal!$J$6:$J$507,B28))</f>
        <v/>
      </c>
      <c r="G28" s="78" t="str" cm="1">
        <f t="array" ref="G28">IF(B28="","",INDEX(Journal!$K$6:$K$507,B28))</f>
        <v/>
      </c>
      <c r="H28" s="78" t="str" cm="1">
        <f t="array" ref="H28">IF(B28="","",INDEX(Journal!$L$6:$L$507,B28))</f>
        <v/>
      </c>
      <c r="I28" s="78" t="str">
        <f>IF(B28="","",$C$7+SUMIF($B$11:B28,"&lt;&gt;"&amp;"",$G$11:G28)-SUMIF($B$11:B28,"&lt;&gt;"&amp;"",$H$11:H28))</f>
        <v/>
      </c>
    </row>
    <row r="29" spans="2:9" x14ac:dyDescent="0.35">
      <c r="B29" t="str" cm="1">
        <f t="array" ref="B29">IF($C$6="","",IFERROR(SMALL(IF(Journal!$G$6:$G$507=$C$6,ROW(Journal!$G$6:$G$507)-4),ROW()-10),""))</f>
        <v/>
      </c>
      <c r="C29" s="76" t="str" cm="1">
        <f t="array" ref="C29">IF(B29="","",INDEX(Journal!$B$6:$B$507,B29))</f>
        <v/>
      </c>
      <c r="D29" t="str" cm="1">
        <f t="array" ref="D29">IF(B29="","",INDEX(Journal!$E$6:$E$507,B29))</f>
        <v/>
      </c>
      <c r="E29" t="str" cm="1">
        <f t="array" ref="E29">IF(B29="","",INDEX(Journal!$F$6:$F$507,B29))</f>
        <v/>
      </c>
      <c r="F29" t="str" cm="1">
        <f t="array" ref="F29">IF(B29="","",INDEX(Journal!$J$6:$J$507,B29))</f>
        <v/>
      </c>
      <c r="G29" s="78" t="str" cm="1">
        <f t="array" ref="G29">IF(B29="","",INDEX(Journal!$K$6:$K$507,B29))</f>
        <v/>
      </c>
      <c r="H29" s="78" t="str" cm="1">
        <f t="array" ref="H29">IF(B29="","",INDEX(Journal!$L$6:$L$507,B29))</f>
        <v/>
      </c>
      <c r="I29" s="78" t="str">
        <f>IF(B29="","",$C$7+SUMIF($B$11:B29,"&lt;&gt;"&amp;"",$G$11:G29)-SUMIF($B$11:B29,"&lt;&gt;"&amp;"",$H$11:H29))</f>
        <v/>
      </c>
    </row>
    <row r="30" spans="2:9" x14ac:dyDescent="0.35">
      <c r="B30" t="str" cm="1">
        <f t="array" ref="B30">IF($C$6="","",IFERROR(SMALL(IF(Journal!$G$6:$G$507=$C$6,ROW(Journal!$G$6:$G$507)-4),ROW()-10),""))</f>
        <v/>
      </c>
      <c r="C30" s="76" t="str" cm="1">
        <f t="array" ref="C30">IF(B30="","",INDEX(Journal!$B$6:$B$507,B30))</f>
        <v/>
      </c>
      <c r="D30" t="str" cm="1">
        <f t="array" ref="D30">IF(B30="","",INDEX(Journal!$E$6:$E$507,B30))</f>
        <v/>
      </c>
      <c r="E30" t="str" cm="1">
        <f t="array" ref="E30">IF(B30="","",INDEX(Journal!$F$6:$F$507,B30))</f>
        <v/>
      </c>
      <c r="F30" t="str" cm="1">
        <f t="array" ref="F30">IF(B30="","",INDEX(Journal!$J$6:$J$507,B30))</f>
        <v/>
      </c>
      <c r="G30" s="78" t="str" cm="1">
        <f t="array" ref="G30">IF(B30="","",INDEX(Journal!$K$6:$K$507,B30))</f>
        <v/>
      </c>
      <c r="H30" s="78" t="str" cm="1">
        <f t="array" ref="H30">IF(B30="","",INDEX(Journal!$L$6:$L$507,B30))</f>
        <v/>
      </c>
      <c r="I30" s="78" t="str">
        <f>IF(B30="","",$C$7+SUMIF($B$11:B30,"&lt;&gt;"&amp;"",$G$11:G30)-SUMIF($B$11:B30,"&lt;&gt;"&amp;"",$H$11:H30))</f>
        <v/>
      </c>
    </row>
    <row r="31" spans="2:9" x14ac:dyDescent="0.35">
      <c r="B31" t="str" cm="1">
        <f t="array" ref="B31">IF($C$6="","",IFERROR(SMALL(IF(Journal!$G$6:$G$507=$C$6,ROW(Journal!$G$6:$G$507)-4),ROW()-10),""))</f>
        <v/>
      </c>
      <c r="C31" s="76" t="str" cm="1">
        <f t="array" ref="C31">IF(B31="","",INDEX(Journal!$B$6:$B$507,B31))</f>
        <v/>
      </c>
      <c r="D31" t="str" cm="1">
        <f t="array" ref="D31">IF(B31="","",INDEX(Journal!$E$6:$E$507,B31))</f>
        <v/>
      </c>
      <c r="E31" t="str" cm="1">
        <f t="array" ref="E31">IF(B31="","",INDEX(Journal!$F$6:$F$507,B31))</f>
        <v/>
      </c>
      <c r="F31" t="str" cm="1">
        <f t="array" ref="F31">IF(B31="","",INDEX(Journal!$J$6:$J$507,B31))</f>
        <v/>
      </c>
      <c r="G31" s="78" t="str" cm="1">
        <f t="array" ref="G31">IF(B31="","",INDEX(Journal!$K$6:$K$507,B31))</f>
        <v/>
      </c>
      <c r="H31" s="78" t="str" cm="1">
        <f t="array" ref="H31">IF(B31="","",INDEX(Journal!$L$6:$L$507,B31))</f>
        <v/>
      </c>
      <c r="I31" s="78" t="str">
        <f>IF(B31="","",$C$7+SUMIF($B$11:B31,"&lt;&gt;"&amp;"",$G$11:G31)-SUMIF($B$11:B31,"&lt;&gt;"&amp;"",$H$11:H31))</f>
        <v/>
      </c>
    </row>
    <row r="32" spans="2:9" x14ac:dyDescent="0.35">
      <c r="B32" t="str" cm="1">
        <f t="array" ref="B32">IF($C$6="","",IFERROR(SMALL(IF(Journal!$G$6:$G$507=$C$6,ROW(Journal!$G$6:$G$507)-4),ROW()-10),""))</f>
        <v/>
      </c>
      <c r="C32" s="76" t="str" cm="1">
        <f t="array" ref="C32">IF(B32="","",INDEX(Journal!$B$6:$B$507,B32))</f>
        <v/>
      </c>
      <c r="D32" t="str" cm="1">
        <f t="array" ref="D32">IF(B32="","",INDEX(Journal!$E$6:$E$507,B32))</f>
        <v/>
      </c>
      <c r="E32" t="str" cm="1">
        <f t="array" ref="E32">IF(B32="","",INDEX(Journal!$F$6:$F$507,B32))</f>
        <v/>
      </c>
      <c r="F32" t="str" cm="1">
        <f t="array" ref="F32">IF(B32="","",INDEX(Journal!$J$6:$J$507,B32))</f>
        <v/>
      </c>
      <c r="G32" s="78" t="str" cm="1">
        <f t="array" ref="G32">IF(B32="","",INDEX(Journal!$K$6:$K$507,B32))</f>
        <v/>
      </c>
      <c r="H32" s="78" t="str" cm="1">
        <f t="array" ref="H32">IF(B32="","",INDEX(Journal!$L$6:$L$507,B32))</f>
        <v/>
      </c>
      <c r="I32" s="78" t="str">
        <f>IF(B32="","",$C$7+SUMIF($B$11:B32,"&lt;&gt;"&amp;"",$G$11:G32)-SUMIF($B$11:B32,"&lt;&gt;"&amp;"",$H$11:H32))</f>
        <v/>
      </c>
    </row>
    <row r="33" spans="2:9" x14ac:dyDescent="0.35">
      <c r="B33" t="str" cm="1">
        <f t="array" ref="B33">IF($C$6="","",IFERROR(SMALL(IF(Journal!$G$6:$G$507=$C$6,ROW(Journal!$G$6:$G$507)-4),ROW()-10),""))</f>
        <v/>
      </c>
      <c r="C33" s="76" t="str" cm="1">
        <f t="array" ref="C33">IF(B33="","",INDEX(Journal!$B$6:$B$507,B33))</f>
        <v/>
      </c>
      <c r="D33" t="str" cm="1">
        <f t="array" ref="D33">IF(B33="","",INDEX(Journal!$E$6:$E$507,B33))</f>
        <v/>
      </c>
      <c r="E33" t="str" cm="1">
        <f t="array" ref="E33">IF(B33="","",INDEX(Journal!$F$6:$F$507,B33))</f>
        <v/>
      </c>
      <c r="F33" t="str" cm="1">
        <f t="array" ref="F33">IF(B33="","",INDEX(Journal!$J$6:$J$507,B33))</f>
        <v/>
      </c>
      <c r="G33" s="78" t="str" cm="1">
        <f t="array" ref="G33">IF(B33="","",INDEX(Journal!$K$6:$K$507,B33))</f>
        <v/>
      </c>
      <c r="H33" s="78" t="str" cm="1">
        <f t="array" ref="H33">IF(B33="","",INDEX(Journal!$L$6:$L$507,B33))</f>
        <v/>
      </c>
      <c r="I33" s="78" t="str">
        <f>IF(B33="","",$C$7+SUMIF($B$11:B33,"&lt;&gt;"&amp;"",$G$11:G33)-SUMIF($B$11:B33,"&lt;&gt;"&amp;"",$H$11:H33))</f>
        <v/>
      </c>
    </row>
    <row r="34" spans="2:9" x14ac:dyDescent="0.35">
      <c r="B34" t="str" cm="1">
        <f t="array" ref="B34">IF($C$6="","",IFERROR(SMALL(IF(Journal!$G$6:$G$507=$C$6,ROW(Journal!$G$6:$G$507)-4),ROW()-10),""))</f>
        <v/>
      </c>
      <c r="C34" s="76" t="str" cm="1">
        <f t="array" ref="C34">IF(B34="","",INDEX(Journal!$B$6:$B$507,B34))</f>
        <v/>
      </c>
      <c r="D34" t="str" cm="1">
        <f t="array" ref="D34">IF(B34="","",INDEX(Journal!$E$6:$E$507,B34))</f>
        <v/>
      </c>
      <c r="E34" t="str" cm="1">
        <f t="array" ref="E34">IF(B34="","",INDEX(Journal!$F$6:$F$507,B34))</f>
        <v/>
      </c>
      <c r="F34" t="str" cm="1">
        <f t="array" ref="F34">IF(B34="","",INDEX(Journal!$J$6:$J$507,B34))</f>
        <v/>
      </c>
      <c r="G34" s="78" t="str" cm="1">
        <f t="array" ref="G34">IF(B34="","",INDEX(Journal!$K$6:$K$507,B34))</f>
        <v/>
      </c>
      <c r="H34" s="78" t="str" cm="1">
        <f t="array" ref="H34">IF(B34="","",INDEX(Journal!$L$6:$L$507,B34))</f>
        <v/>
      </c>
      <c r="I34" s="78" t="str">
        <f>IF(B34="","",$C$7+SUMIF($B$11:B34,"&lt;&gt;"&amp;"",$G$11:G34)-SUMIF($B$11:B34,"&lt;&gt;"&amp;"",$H$11:H34))</f>
        <v/>
      </c>
    </row>
    <row r="35" spans="2:9" x14ac:dyDescent="0.35">
      <c r="B35" t="str" cm="1">
        <f t="array" ref="B35">IF($C$6="","",IFERROR(SMALL(IF(Journal!$G$6:$G$507=$C$6,ROW(Journal!$G$6:$G$507)-4),ROW()-10),""))</f>
        <v/>
      </c>
      <c r="C35" s="76" t="str" cm="1">
        <f t="array" ref="C35">IF(B35="","",INDEX(Journal!$B$6:$B$507,B35))</f>
        <v/>
      </c>
      <c r="D35" t="str" cm="1">
        <f t="array" ref="D35">IF(B35="","",INDEX(Journal!$E$6:$E$507,B35))</f>
        <v/>
      </c>
      <c r="E35" t="str" cm="1">
        <f t="array" ref="E35">IF(B35="","",INDEX(Journal!$F$6:$F$507,B35))</f>
        <v/>
      </c>
      <c r="F35" t="str" cm="1">
        <f t="array" ref="F35">IF(B35="","",INDEX(Journal!$J$6:$J$507,B35))</f>
        <v/>
      </c>
      <c r="G35" s="78" t="str" cm="1">
        <f t="array" ref="G35">IF(B35="","",INDEX(Journal!$K$6:$K$507,B35))</f>
        <v/>
      </c>
      <c r="H35" s="78" t="str" cm="1">
        <f t="array" ref="H35">IF(B35="","",INDEX(Journal!$L$6:$L$507,B35))</f>
        <v/>
      </c>
      <c r="I35" s="78" t="str">
        <f>IF(B35="","",$C$7+SUMIF($B$11:B35,"&lt;&gt;"&amp;"",$G$11:G35)-SUMIF($B$11:B35,"&lt;&gt;"&amp;"",$H$11:H35))</f>
        <v/>
      </c>
    </row>
    <row r="36" spans="2:9" x14ac:dyDescent="0.35">
      <c r="B36" t="str" cm="1">
        <f t="array" ref="B36">IF($C$6="","",IFERROR(SMALL(IF(Journal!$G$6:$G$507=$C$6,ROW(Journal!$G$6:$G$507)-4),ROW()-10),""))</f>
        <v/>
      </c>
      <c r="C36" s="76" t="str" cm="1">
        <f t="array" ref="C36">IF(B36="","",INDEX(Journal!$B$6:$B$507,B36))</f>
        <v/>
      </c>
      <c r="D36" t="str" cm="1">
        <f t="array" ref="D36">IF(B36="","",INDEX(Journal!$E$6:$E$507,B36))</f>
        <v/>
      </c>
      <c r="E36" t="str" cm="1">
        <f t="array" ref="E36">IF(B36="","",INDEX(Journal!$F$6:$F$507,B36))</f>
        <v/>
      </c>
      <c r="F36" t="str" cm="1">
        <f t="array" ref="F36">IF(B36="","",INDEX(Journal!$J$6:$J$507,B36))</f>
        <v/>
      </c>
      <c r="G36" s="78" t="str" cm="1">
        <f t="array" ref="G36">IF(B36="","",INDEX(Journal!$K$6:$K$507,B36))</f>
        <v/>
      </c>
      <c r="H36" s="78" t="str" cm="1">
        <f t="array" ref="H36">IF(B36="","",INDEX(Journal!$L$6:$L$507,B36))</f>
        <v/>
      </c>
      <c r="I36" s="78" t="str">
        <f>IF(B36="","",$C$7+SUMIF($B$11:B36,"&lt;&gt;"&amp;"",$G$11:G36)-SUMIF($B$11:B36,"&lt;&gt;"&amp;"",$H$11:H36))</f>
        <v/>
      </c>
    </row>
    <row r="37" spans="2:9" x14ac:dyDescent="0.35">
      <c r="B37" t="str" cm="1">
        <f t="array" ref="B37">IF($C$6="","",IFERROR(SMALL(IF(Journal!$G$6:$G$507=$C$6,ROW(Journal!$G$6:$G$507)-4),ROW()-10),""))</f>
        <v/>
      </c>
      <c r="C37" s="76" t="str" cm="1">
        <f t="array" ref="C37">IF(B37="","",INDEX(Journal!$B$6:$B$507,B37))</f>
        <v/>
      </c>
      <c r="D37" t="str" cm="1">
        <f t="array" ref="D37">IF(B37="","",INDEX(Journal!$E$6:$E$507,B37))</f>
        <v/>
      </c>
      <c r="E37" t="str" cm="1">
        <f t="array" ref="E37">IF(B37="","",INDEX(Journal!$F$6:$F$507,B37))</f>
        <v/>
      </c>
      <c r="F37" t="str" cm="1">
        <f t="array" ref="F37">IF(B37="","",INDEX(Journal!$J$6:$J$507,B37))</f>
        <v/>
      </c>
      <c r="G37" s="78" t="str" cm="1">
        <f t="array" ref="G37">IF(B37="","",INDEX(Journal!$K$6:$K$507,B37))</f>
        <v/>
      </c>
      <c r="H37" s="78" t="str" cm="1">
        <f t="array" ref="H37">IF(B37="","",INDEX(Journal!$L$6:$L$507,B37))</f>
        <v/>
      </c>
      <c r="I37" s="78" t="str">
        <f>IF(B37="","",$C$7+SUMIF($B$11:B37,"&lt;&gt;"&amp;"",$G$11:G37)-SUMIF($B$11:B37,"&lt;&gt;"&amp;"",$H$11:H37))</f>
        <v/>
      </c>
    </row>
    <row r="38" spans="2:9" x14ac:dyDescent="0.35">
      <c r="B38" t="str" cm="1">
        <f t="array" ref="B38">IF($C$6="","",IFERROR(SMALL(IF(Journal!$G$6:$G$507=$C$6,ROW(Journal!$G$6:$G$507)-4),ROW()-10),""))</f>
        <v/>
      </c>
      <c r="C38" s="76" t="str" cm="1">
        <f t="array" ref="C38">IF(B38="","",INDEX(Journal!$B$6:$B$507,B38))</f>
        <v/>
      </c>
      <c r="D38" t="str" cm="1">
        <f t="array" ref="D38">IF(B38="","",INDEX(Journal!$E$6:$E$507,B38))</f>
        <v/>
      </c>
      <c r="E38" t="str" cm="1">
        <f t="array" ref="E38">IF(B38="","",INDEX(Journal!$F$6:$F$507,B38))</f>
        <v/>
      </c>
      <c r="F38" t="str" cm="1">
        <f t="array" ref="F38">IF(B38="","",INDEX(Journal!$J$6:$J$507,B38))</f>
        <v/>
      </c>
      <c r="G38" s="78" t="str" cm="1">
        <f t="array" ref="G38">IF(B38="","",INDEX(Journal!$K$6:$K$507,B38))</f>
        <v/>
      </c>
      <c r="H38" s="78" t="str" cm="1">
        <f t="array" ref="H38">IF(B38="","",INDEX(Journal!$L$6:$L$507,B38))</f>
        <v/>
      </c>
      <c r="I38" s="78" t="str">
        <f>IF(B38="","",$C$7+SUMIF($B$11:B38,"&lt;&gt;"&amp;"",$G$11:G38)-SUMIF($B$11:B38,"&lt;&gt;"&amp;"",$H$11:H38))</f>
        <v/>
      </c>
    </row>
    <row r="39" spans="2:9" x14ac:dyDescent="0.35">
      <c r="B39" t="str" cm="1">
        <f t="array" ref="B39">IF($C$6="","",IFERROR(SMALL(IF(Journal!$G$6:$G$507=$C$6,ROW(Journal!$G$6:$G$507)-4),ROW()-10),""))</f>
        <v/>
      </c>
      <c r="C39" s="76" t="str" cm="1">
        <f t="array" ref="C39">IF(B39="","",INDEX(Journal!$B$6:$B$507,B39))</f>
        <v/>
      </c>
      <c r="D39" t="str" cm="1">
        <f t="array" ref="D39">IF(B39="","",INDEX(Journal!$E$6:$E$507,B39))</f>
        <v/>
      </c>
      <c r="E39" t="str" cm="1">
        <f t="array" ref="E39">IF(B39="","",INDEX(Journal!$F$6:$F$507,B39))</f>
        <v/>
      </c>
      <c r="F39" t="str" cm="1">
        <f t="array" ref="F39">IF(B39="","",INDEX(Journal!$J$6:$J$507,B39))</f>
        <v/>
      </c>
      <c r="G39" s="78" t="str" cm="1">
        <f t="array" ref="G39">IF(B39="","",INDEX(Journal!$K$6:$K$507,B39))</f>
        <v/>
      </c>
      <c r="H39" s="78" t="str" cm="1">
        <f t="array" ref="H39">IF(B39="","",INDEX(Journal!$L$6:$L$507,B39))</f>
        <v/>
      </c>
      <c r="I39" s="78" t="str">
        <f>IF(B39="","",$C$7+SUMIF($B$11:B39,"&lt;&gt;"&amp;"",$G$11:G39)-SUMIF($B$11:B39,"&lt;&gt;"&amp;"",$H$11:H39))</f>
        <v/>
      </c>
    </row>
    <row r="40" spans="2:9" x14ac:dyDescent="0.35">
      <c r="B40" t="str" cm="1">
        <f t="array" ref="B40">IF($C$6="","",IFERROR(SMALL(IF(Journal!$G$6:$G$507=$C$6,ROW(Journal!$G$6:$G$507)-4),ROW()-10),""))</f>
        <v/>
      </c>
      <c r="C40" s="76" t="str" cm="1">
        <f t="array" ref="C40">IF(B40="","",INDEX(Journal!$B$6:$B$507,B40))</f>
        <v/>
      </c>
      <c r="D40" t="str" cm="1">
        <f t="array" ref="D40">IF(B40="","",INDEX(Journal!$E$6:$E$507,B40))</f>
        <v/>
      </c>
      <c r="E40" t="str" cm="1">
        <f t="array" ref="E40">IF(B40="","",INDEX(Journal!$F$6:$F$507,B40))</f>
        <v/>
      </c>
      <c r="F40" t="str" cm="1">
        <f t="array" ref="F40">IF(B40="","",INDEX(Journal!$J$6:$J$507,B40))</f>
        <v/>
      </c>
      <c r="G40" s="78" t="str" cm="1">
        <f t="array" ref="G40">IF(B40="","",INDEX(Journal!$K$6:$K$507,B40))</f>
        <v/>
      </c>
      <c r="H40" s="78" t="str" cm="1">
        <f t="array" ref="H40">IF(B40="","",INDEX(Journal!$L$6:$L$507,B40))</f>
        <v/>
      </c>
      <c r="I40" s="78" t="str">
        <f>IF(B40="","",$C$7+SUMIF($B$11:B40,"&lt;&gt;"&amp;"",$G$11:G40)-SUMIF($B$11:B40,"&lt;&gt;"&amp;"",$H$11:H40))</f>
        <v/>
      </c>
    </row>
    <row r="41" spans="2:9" x14ac:dyDescent="0.35">
      <c r="B41" t="str" cm="1">
        <f t="array" ref="B41">IF($C$6="","",IFERROR(SMALL(IF(Journal!$G$6:$G$507=$C$6,ROW(Journal!$G$6:$G$507)-4),ROW()-10),""))</f>
        <v/>
      </c>
      <c r="C41" s="76" t="str" cm="1">
        <f t="array" ref="C41">IF(B41="","",INDEX(Journal!$B$6:$B$507,B41))</f>
        <v/>
      </c>
      <c r="D41" t="str" cm="1">
        <f t="array" ref="D41">IF(B41="","",INDEX(Journal!$E$6:$E$507,B41))</f>
        <v/>
      </c>
      <c r="E41" t="str" cm="1">
        <f t="array" ref="E41">IF(B41="","",INDEX(Journal!$F$6:$F$507,B41))</f>
        <v/>
      </c>
      <c r="F41" t="str" cm="1">
        <f t="array" ref="F41">IF(B41="","",INDEX(Journal!$J$6:$J$507,B41))</f>
        <v/>
      </c>
      <c r="G41" s="78" t="str" cm="1">
        <f t="array" ref="G41">IF(B41="","",INDEX(Journal!$K$6:$K$507,B41))</f>
        <v/>
      </c>
      <c r="H41" s="78" t="str" cm="1">
        <f t="array" ref="H41">IF(B41="","",INDEX(Journal!$L$6:$L$507,B41))</f>
        <v/>
      </c>
      <c r="I41" s="78" t="str">
        <f>IF(B41="","",$C$7+SUMIF($B$11:B41,"&lt;&gt;"&amp;"",$G$11:G41)-SUMIF($B$11:B41,"&lt;&gt;"&amp;"",$H$11:H41))</f>
        <v/>
      </c>
    </row>
    <row r="42" spans="2:9" x14ac:dyDescent="0.35">
      <c r="B42" t="str" cm="1">
        <f t="array" ref="B42">IF($C$6="","",IFERROR(SMALL(IF(Journal!$G$6:$G$507=$C$6,ROW(Journal!$G$6:$G$507)-4),ROW()-10),""))</f>
        <v/>
      </c>
      <c r="C42" s="76" t="str" cm="1">
        <f t="array" ref="C42">IF(B42="","",INDEX(Journal!$B$6:$B$507,B42))</f>
        <v/>
      </c>
      <c r="D42" t="str" cm="1">
        <f t="array" ref="D42">IF(B42="","",INDEX(Journal!$E$6:$E$507,B42))</f>
        <v/>
      </c>
      <c r="E42" t="str" cm="1">
        <f t="array" ref="E42">IF(B42="","",INDEX(Journal!$F$6:$F$507,B42))</f>
        <v/>
      </c>
      <c r="F42" t="str" cm="1">
        <f t="array" ref="F42">IF(B42="","",INDEX(Journal!$J$6:$J$507,B42))</f>
        <v/>
      </c>
      <c r="G42" s="78" t="str" cm="1">
        <f t="array" ref="G42">IF(B42="","",INDEX(Journal!$K$6:$K$507,B42))</f>
        <v/>
      </c>
      <c r="H42" s="78" t="str" cm="1">
        <f t="array" ref="H42">IF(B42="","",INDEX(Journal!$L$6:$L$507,B42))</f>
        <v/>
      </c>
      <c r="I42" s="78" t="str">
        <f>IF(B42="","",$C$7+SUMIF($B$11:B42,"&lt;&gt;"&amp;"",$G$11:G42)-SUMIF($B$11:B42,"&lt;&gt;"&amp;"",$H$11:H42))</f>
        <v/>
      </c>
    </row>
    <row r="43" spans="2:9" x14ac:dyDescent="0.35">
      <c r="B43" t="str" cm="1">
        <f t="array" ref="B43">IF($C$6="","",IFERROR(SMALL(IF(Journal!$G$6:$G$507=$C$6,ROW(Journal!$G$6:$G$507)-4),ROW()-10),""))</f>
        <v/>
      </c>
      <c r="C43" s="76" t="str" cm="1">
        <f t="array" ref="C43">IF(B43="","",INDEX(Journal!$B$6:$B$507,B43))</f>
        <v/>
      </c>
      <c r="D43" t="str" cm="1">
        <f t="array" ref="D43">IF(B43="","",INDEX(Journal!$E$6:$E$507,B43))</f>
        <v/>
      </c>
      <c r="E43" t="str" cm="1">
        <f t="array" ref="E43">IF(B43="","",INDEX(Journal!$F$6:$F$507,B43))</f>
        <v/>
      </c>
      <c r="F43" t="str" cm="1">
        <f t="array" ref="F43">IF(B43="","",INDEX(Journal!$J$6:$J$507,B43))</f>
        <v/>
      </c>
      <c r="G43" s="78" t="str" cm="1">
        <f t="array" ref="G43">IF(B43="","",INDEX(Journal!$K$6:$K$507,B43))</f>
        <v/>
      </c>
      <c r="H43" s="78" t="str" cm="1">
        <f t="array" ref="H43">IF(B43="","",INDEX(Journal!$L$6:$L$507,B43))</f>
        <v/>
      </c>
      <c r="I43" s="78" t="str">
        <f>IF(B43="","",$C$7+SUMIF($B$11:B43,"&lt;&gt;"&amp;"",$G$11:G43)-SUMIF($B$11:B43,"&lt;&gt;"&amp;"",$H$11:H43))</f>
        <v/>
      </c>
    </row>
    <row r="44" spans="2:9" x14ac:dyDescent="0.35">
      <c r="B44" t="str" cm="1">
        <f t="array" ref="B44">IF($C$6="","",IFERROR(SMALL(IF(Journal!$G$6:$G$507=$C$6,ROW(Journal!$G$6:$G$507)-4),ROW()-10),""))</f>
        <v/>
      </c>
      <c r="C44" s="76" t="str" cm="1">
        <f t="array" ref="C44">IF(B44="","",INDEX(Journal!$B$6:$B$507,B44))</f>
        <v/>
      </c>
      <c r="D44" t="str" cm="1">
        <f t="array" ref="D44">IF(B44="","",INDEX(Journal!$E$6:$E$507,B44))</f>
        <v/>
      </c>
      <c r="E44" t="str" cm="1">
        <f t="array" ref="E44">IF(B44="","",INDEX(Journal!$F$6:$F$507,B44))</f>
        <v/>
      </c>
      <c r="F44" t="str" cm="1">
        <f t="array" ref="F44">IF(B44="","",INDEX(Journal!$J$6:$J$507,B44))</f>
        <v/>
      </c>
      <c r="G44" s="78" t="str" cm="1">
        <f t="array" ref="G44">IF(B44="","",INDEX(Journal!$K$6:$K$507,B44))</f>
        <v/>
      </c>
      <c r="H44" s="78" t="str" cm="1">
        <f t="array" ref="H44">IF(B44="","",INDEX(Journal!$L$6:$L$507,B44))</f>
        <v/>
      </c>
      <c r="I44" s="78" t="str">
        <f>IF(B44="","",$C$7+SUMIF($B$11:B44,"&lt;&gt;"&amp;"",$G$11:G44)-SUMIF($B$11:B44,"&lt;&gt;"&amp;"",$H$11:H44))</f>
        <v/>
      </c>
    </row>
    <row r="45" spans="2:9" x14ac:dyDescent="0.35">
      <c r="B45" t="str" cm="1">
        <f t="array" ref="B45">IF($C$6="","",IFERROR(SMALL(IF(Journal!$G$6:$G$507=$C$6,ROW(Journal!$G$6:$G$507)-4),ROW()-10),""))</f>
        <v/>
      </c>
      <c r="C45" s="76" t="str" cm="1">
        <f t="array" ref="C45">IF(B45="","",INDEX(Journal!$B$6:$B$507,B45))</f>
        <v/>
      </c>
      <c r="D45" t="str" cm="1">
        <f t="array" ref="D45">IF(B45="","",INDEX(Journal!$E$6:$E$507,B45))</f>
        <v/>
      </c>
      <c r="E45" t="str" cm="1">
        <f t="array" ref="E45">IF(B45="","",INDEX(Journal!$F$6:$F$507,B45))</f>
        <v/>
      </c>
      <c r="F45" t="str" cm="1">
        <f t="array" ref="F45">IF(B45="","",INDEX(Journal!$J$6:$J$507,B45))</f>
        <v/>
      </c>
      <c r="G45" s="78" t="str" cm="1">
        <f t="array" ref="G45">IF(B45="","",INDEX(Journal!$K$6:$K$507,B45))</f>
        <v/>
      </c>
      <c r="H45" s="78" t="str" cm="1">
        <f t="array" ref="H45">IF(B45="","",INDEX(Journal!$L$6:$L$507,B45))</f>
        <v/>
      </c>
      <c r="I45" s="78" t="str">
        <f>IF(B45="","",$C$7+SUMIF($B$11:B45,"&lt;&gt;"&amp;"",$G$11:G45)-SUMIF($B$11:B45,"&lt;&gt;"&amp;"",$H$11:H45))</f>
        <v/>
      </c>
    </row>
    <row r="46" spans="2:9" x14ac:dyDescent="0.35">
      <c r="B46" t="str" cm="1">
        <f t="array" ref="B46">IF($C$6="","",IFERROR(SMALL(IF(Journal!$G$6:$G$507=$C$6,ROW(Journal!$G$6:$G$507)-4),ROW()-10),""))</f>
        <v/>
      </c>
      <c r="C46" s="76" t="str" cm="1">
        <f t="array" ref="C46">IF(B46="","",INDEX(Journal!$B$6:$B$507,B46))</f>
        <v/>
      </c>
      <c r="D46" t="str" cm="1">
        <f t="array" ref="D46">IF(B46="","",INDEX(Journal!$E$6:$E$507,B46))</f>
        <v/>
      </c>
      <c r="E46" t="str" cm="1">
        <f t="array" ref="E46">IF(B46="","",INDEX(Journal!$F$6:$F$507,B46))</f>
        <v/>
      </c>
      <c r="F46" t="str" cm="1">
        <f t="array" ref="F46">IF(B46="","",INDEX(Journal!$J$6:$J$507,B46))</f>
        <v/>
      </c>
      <c r="G46" s="78" t="str" cm="1">
        <f t="array" ref="G46">IF(B46="","",INDEX(Journal!$K$6:$K$507,B46))</f>
        <v/>
      </c>
      <c r="H46" s="78" t="str" cm="1">
        <f t="array" ref="H46">IF(B46="","",INDEX(Journal!$L$6:$L$507,B46))</f>
        <v/>
      </c>
      <c r="I46" s="78" t="str">
        <f>IF(B46="","",$C$7+SUMIF($B$11:B46,"&lt;&gt;"&amp;"",$G$11:G46)-SUMIF($B$11:B46,"&lt;&gt;"&amp;"",$H$11:H46))</f>
        <v/>
      </c>
    </row>
    <row r="47" spans="2:9" x14ac:dyDescent="0.35">
      <c r="B47" t="str" cm="1">
        <f t="array" ref="B47">IF($C$6="","",IFERROR(SMALL(IF(Journal!$G$6:$G$507=$C$6,ROW(Journal!$G$6:$G$507)-4),ROW()-10),""))</f>
        <v/>
      </c>
      <c r="C47" s="76" t="str" cm="1">
        <f t="array" ref="C47">IF(B47="","",INDEX(Journal!$B$6:$B$507,B47))</f>
        <v/>
      </c>
      <c r="D47" t="str" cm="1">
        <f t="array" ref="D47">IF(B47="","",INDEX(Journal!$E$6:$E$507,B47))</f>
        <v/>
      </c>
      <c r="E47" t="str" cm="1">
        <f t="array" ref="E47">IF(B47="","",INDEX(Journal!$F$6:$F$507,B47))</f>
        <v/>
      </c>
      <c r="F47" t="str" cm="1">
        <f t="array" ref="F47">IF(B47="","",INDEX(Journal!$J$6:$J$507,B47))</f>
        <v/>
      </c>
      <c r="G47" s="78" t="str" cm="1">
        <f t="array" ref="G47">IF(B47="","",INDEX(Journal!$K$6:$K$507,B47))</f>
        <v/>
      </c>
      <c r="H47" s="78" t="str" cm="1">
        <f t="array" ref="H47">IF(B47="","",INDEX(Journal!$L$6:$L$507,B47))</f>
        <v/>
      </c>
      <c r="I47" s="78" t="str">
        <f>IF(B47="","",$C$7+SUMIF($B$11:B47,"&lt;&gt;"&amp;"",$G$11:G47)-SUMIF($B$11:B47,"&lt;&gt;"&amp;"",$H$11:H47))</f>
        <v/>
      </c>
    </row>
    <row r="48" spans="2:9" x14ac:dyDescent="0.35">
      <c r="B48" t="str" cm="1">
        <f t="array" ref="B48">IF($C$6="","",IFERROR(SMALL(IF(Journal!$G$6:$G$507=$C$6,ROW(Journal!$G$6:$G$507)-4),ROW()-10),""))</f>
        <v/>
      </c>
      <c r="C48" s="76" t="str" cm="1">
        <f t="array" ref="C48">IF(B48="","",INDEX(Journal!$B$6:$B$507,B48))</f>
        <v/>
      </c>
      <c r="D48" t="str" cm="1">
        <f t="array" ref="D48">IF(B48="","",INDEX(Journal!$E$6:$E$507,B48))</f>
        <v/>
      </c>
      <c r="E48" t="str" cm="1">
        <f t="array" ref="E48">IF(B48="","",INDEX(Journal!$F$6:$F$507,B48))</f>
        <v/>
      </c>
      <c r="F48" t="str" cm="1">
        <f t="array" ref="F48">IF(B48="","",INDEX(Journal!$J$6:$J$507,B48))</f>
        <v/>
      </c>
      <c r="G48" s="78" t="str" cm="1">
        <f t="array" ref="G48">IF(B48="","",INDEX(Journal!$K$6:$K$507,B48))</f>
        <v/>
      </c>
      <c r="H48" s="78" t="str" cm="1">
        <f t="array" ref="H48">IF(B48="","",INDEX(Journal!$L$6:$L$507,B48))</f>
        <v/>
      </c>
      <c r="I48" s="78" t="str">
        <f>IF(B48="","",$C$7+SUMIF($B$11:B48,"&lt;&gt;"&amp;"",$G$11:G48)-SUMIF($B$11:B48,"&lt;&gt;"&amp;"",$H$11:H48))</f>
        <v/>
      </c>
    </row>
    <row r="49" spans="2:9" x14ac:dyDescent="0.35">
      <c r="B49" t="str" cm="1">
        <f t="array" ref="B49">IF($C$6="","",IFERROR(SMALL(IF(Journal!$G$6:$G$507=$C$6,ROW(Journal!$G$6:$G$507)-4),ROW()-10),""))</f>
        <v/>
      </c>
      <c r="C49" s="76" t="str" cm="1">
        <f t="array" ref="C49">IF(B49="","",INDEX(Journal!$B$6:$B$507,B49))</f>
        <v/>
      </c>
      <c r="D49" t="str" cm="1">
        <f t="array" ref="D49">IF(B49="","",INDEX(Journal!$E$6:$E$507,B49))</f>
        <v/>
      </c>
      <c r="E49" t="str" cm="1">
        <f t="array" ref="E49">IF(B49="","",INDEX(Journal!$F$6:$F$507,B49))</f>
        <v/>
      </c>
      <c r="F49" t="str" cm="1">
        <f t="array" ref="F49">IF(B49="","",INDEX(Journal!$J$6:$J$507,B49))</f>
        <v/>
      </c>
      <c r="G49" s="78" t="str" cm="1">
        <f t="array" ref="G49">IF(B49="","",INDEX(Journal!$K$6:$K$507,B49))</f>
        <v/>
      </c>
      <c r="H49" s="78" t="str" cm="1">
        <f t="array" ref="H49">IF(B49="","",INDEX(Journal!$L$6:$L$507,B49))</f>
        <v/>
      </c>
      <c r="I49" s="78" t="str">
        <f>IF(B49="","",$C$7+SUMIF($B$11:B49,"&lt;&gt;"&amp;"",$G$11:G49)-SUMIF($B$11:B49,"&lt;&gt;"&amp;"",$H$11:H49))</f>
        <v/>
      </c>
    </row>
    <row r="50" spans="2:9" x14ac:dyDescent="0.35">
      <c r="B50" t="str" cm="1">
        <f t="array" ref="B50">IF($C$6="","",IFERROR(SMALL(IF(Journal!$G$6:$G$507=$C$6,ROW(Journal!$G$6:$G$507)-4),ROW()-10),""))</f>
        <v/>
      </c>
      <c r="C50" s="76" t="str" cm="1">
        <f t="array" ref="C50">IF(B50="","",INDEX(Journal!$B$6:$B$507,B50))</f>
        <v/>
      </c>
      <c r="D50" t="str" cm="1">
        <f t="array" ref="D50">IF(B50="","",INDEX(Journal!$E$6:$E$507,B50))</f>
        <v/>
      </c>
      <c r="E50" t="str" cm="1">
        <f t="array" ref="E50">IF(B50="","",INDEX(Journal!$F$6:$F$507,B50))</f>
        <v/>
      </c>
      <c r="F50" t="str" cm="1">
        <f t="array" ref="F50">IF(B50="","",INDEX(Journal!$J$6:$J$507,B50))</f>
        <v/>
      </c>
      <c r="G50" s="78" t="str" cm="1">
        <f t="array" ref="G50">IF(B50="","",INDEX(Journal!$K$6:$K$507,B50))</f>
        <v/>
      </c>
      <c r="H50" s="78" t="str" cm="1">
        <f t="array" ref="H50">IF(B50="","",INDEX(Journal!$L$6:$L$507,B50))</f>
        <v/>
      </c>
      <c r="I50" s="78" t="str">
        <f>IF(B50="","",$C$7+SUMIF($B$11:B50,"&lt;&gt;"&amp;"",$G$11:G50)-SUMIF($B$11:B50,"&lt;&gt;"&amp;"",$H$11:H50))</f>
        <v/>
      </c>
    </row>
    <row r="51" spans="2:9" x14ac:dyDescent="0.35">
      <c r="B51" t="str" cm="1">
        <f t="array" ref="B51">IF($C$6="","",IFERROR(SMALL(IF(Journal!$G$6:$G$507=$C$6,ROW(Journal!$G$6:$G$507)-4),ROW()-10),""))</f>
        <v/>
      </c>
      <c r="C51" s="76" t="str" cm="1">
        <f t="array" ref="C51">IF(B51="","",INDEX(Journal!$B$6:$B$507,B51))</f>
        <v/>
      </c>
      <c r="D51" t="str" cm="1">
        <f t="array" ref="D51">IF(B51="","",INDEX(Journal!$E$6:$E$507,B51))</f>
        <v/>
      </c>
      <c r="E51" t="str" cm="1">
        <f t="array" ref="E51">IF(B51="","",INDEX(Journal!$F$6:$F$507,B51))</f>
        <v/>
      </c>
      <c r="F51" t="str" cm="1">
        <f t="array" ref="F51">IF(B51="","",INDEX(Journal!$J$6:$J$507,B51))</f>
        <v/>
      </c>
      <c r="G51" s="78" t="str" cm="1">
        <f t="array" ref="G51">IF(B51="","",INDEX(Journal!$K$6:$K$507,B51))</f>
        <v/>
      </c>
      <c r="H51" s="78" t="str" cm="1">
        <f t="array" ref="H51">IF(B51="","",INDEX(Journal!$L$6:$L$507,B51))</f>
        <v/>
      </c>
      <c r="I51" s="78" t="str">
        <f>IF(B51="","",$C$7+SUMIF($B$11:B51,"&lt;&gt;"&amp;"",$G$11:G51)-SUMIF($B$11:B51,"&lt;&gt;"&amp;"",$H$11:H51))</f>
        <v/>
      </c>
    </row>
    <row r="52" spans="2:9" x14ac:dyDescent="0.35">
      <c r="B52" t="str" cm="1">
        <f t="array" ref="B52">IF($C$6="","",IFERROR(SMALL(IF(Journal!$G$6:$G$507=$C$6,ROW(Journal!$G$6:$G$507)-4),ROW()-10),""))</f>
        <v/>
      </c>
      <c r="C52" s="76" t="str" cm="1">
        <f t="array" ref="C52">IF(B52="","",INDEX(Journal!$B$6:$B$507,B52))</f>
        <v/>
      </c>
      <c r="D52" t="str" cm="1">
        <f t="array" ref="D52">IF(B52="","",INDEX(Journal!$E$6:$E$507,B52))</f>
        <v/>
      </c>
      <c r="E52" t="str" cm="1">
        <f t="array" ref="E52">IF(B52="","",INDEX(Journal!$F$6:$F$507,B52))</f>
        <v/>
      </c>
      <c r="F52" t="str" cm="1">
        <f t="array" ref="F52">IF(B52="","",INDEX(Journal!$J$6:$J$507,B52))</f>
        <v/>
      </c>
      <c r="G52" s="78" t="str" cm="1">
        <f t="array" ref="G52">IF(B52="","",INDEX(Journal!$K$6:$K$507,B52))</f>
        <v/>
      </c>
      <c r="H52" s="78" t="str" cm="1">
        <f t="array" ref="H52">IF(B52="","",INDEX(Journal!$L$6:$L$507,B52))</f>
        <v/>
      </c>
      <c r="I52" s="78" t="str">
        <f>IF(B52="","",$C$7+SUMIF($B$11:B52,"&lt;&gt;"&amp;"",$G$11:G52)-SUMIF($B$11:B52,"&lt;&gt;"&amp;"",$H$11:H52))</f>
        <v/>
      </c>
    </row>
    <row r="53" spans="2:9" x14ac:dyDescent="0.35">
      <c r="B53" t="str" cm="1">
        <f t="array" ref="B53">IF($C$6="","",IFERROR(SMALL(IF(Journal!$G$6:$G$507=$C$6,ROW(Journal!$G$6:$G$507)-4),ROW()-10),""))</f>
        <v/>
      </c>
      <c r="C53" s="76" t="str" cm="1">
        <f t="array" ref="C53">IF(B53="","",INDEX(Journal!$B$6:$B$507,B53))</f>
        <v/>
      </c>
      <c r="D53" t="str" cm="1">
        <f t="array" ref="D53">IF(B53="","",INDEX(Journal!$E$6:$E$507,B53))</f>
        <v/>
      </c>
      <c r="E53" t="str" cm="1">
        <f t="array" ref="E53">IF(B53="","",INDEX(Journal!$F$6:$F$507,B53))</f>
        <v/>
      </c>
      <c r="F53" t="str" cm="1">
        <f t="array" ref="F53">IF(B53="","",INDEX(Journal!$J$6:$J$507,B53))</f>
        <v/>
      </c>
      <c r="G53" s="78" t="str" cm="1">
        <f t="array" ref="G53">IF(B53="","",INDEX(Journal!$K$6:$K$507,B53))</f>
        <v/>
      </c>
      <c r="H53" s="78" t="str" cm="1">
        <f t="array" ref="H53">IF(B53="","",INDEX(Journal!$L$6:$L$507,B53))</f>
        <v/>
      </c>
      <c r="I53" s="78" t="str">
        <f>IF(B53="","",$C$7+SUMIF($B$11:B53,"&lt;&gt;"&amp;"",$G$11:G53)-SUMIF($B$11:B53,"&lt;&gt;"&amp;"",$H$11:H53))</f>
        <v/>
      </c>
    </row>
    <row r="54" spans="2:9" x14ac:dyDescent="0.35">
      <c r="B54" t="str" cm="1">
        <f t="array" ref="B54">IF($C$6="","",IFERROR(SMALL(IF(Journal!$G$6:$G$507=$C$6,ROW(Journal!$G$6:$G$507)-4),ROW()-10),""))</f>
        <v/>
      </c>
      <c r="C54" s="76" t="str" cm="1">
        <f t="array" ref="C54">IF(B54="","",INDEX(Journal!$B$6:$B$507,B54))</f>
        <v/>
      </c>
      <c r="D54" t="str" cm="1">
        <f t="array" ref="D54">IF(B54="","",INDEX(Journal!$E$6:$E$507,B54))</f>
        <v/>
      </c>
      <c r="E54" t="str" cm="1">
        <f t="array" ref="E54">IF(B54="","",INDEX(Journal!$F$6:$F$507,B54))</f>
        <v/>
      </c>
      <c r="F54" t="str" cm="1">
        <f t="array" ref="F54">IF(B54="","",INDEX(Journal!$J$6:$J$507,B54))</f>
        <v/>
      </c>
      <c r="G54" s="78" t="str" cm="1">
        <f t="array" ref="G54">IF(B54="","",INDEX(Journal!$K$6:$K$507,B54))</f>
        <v/>
      </c>
      <c r="H54" s="78" t="str" cm="1">
        <f t="array" ref="H54">IF(B54="","",INDEX(Journal!$L$6:$L$507,B54))</f>
        <v/>
      </c>
      <c r="I54" s="78" t="str">
        <f>IF(B54="","",$C$7+SUMIF($B$11:B54,"&lt;&gt;"&amp;"",$G$11:G54)-SUMIF($B$11:B54,"&lt;&gt;"&amp;"",$H$11:H54))</f>
        <v/>
      </c>
    </row>
    <row r="55" spans="2:9" x14ac:dyDescent="0.35">
      <c r="B55" t="str" cm="1">
        <f t="array" ref="B55">IF($C$6="","",IFERROR(SMALL(IF(Journal!$G$6:$G$507=$C$6,ROW(Journal!$G$6:$G$507)-4),ROW()-10),""))</f>
        <v/>
      </c>
      <c r="C55" s="76" t="str" cm="1">
        <f t="array" ref="C55">IF(B55="","",INDEX(Journal!$B$6:$B$507,B55))</f>
        <v/>
      </c>
      <c r="D55" t="str" cm="1">
        <f t="array" ref="D55">IF(B55="","",INDEX(Journal!$E$6:$E$507,B55))</f>
        <v/>
      </c>
      <c r="E55" t="str" cm="1">
        <f t="array" ref="E55">IF(B55="","",INDEX(Journal!$F$6:$F$507,B55))</f>
        <v/>
      </c>
      <c r="F55" t="str" cm="1">
        <f t="array" ref="F55">IF(B55="","",INDEX(Journal!$J$6:$J$507,B55))</f>
        <v/>
      </c>
      <c r="G55" s="78" t="str" cm="1">
        <f t="array" ref="G55">IF(B55="","",INDEX(Journal!$K$6:$K$507,B55))</f>
        <v/>
      </c>
      <c r="H55" s="78" t="str" cm="1">
        <f t="array" ref="H55">IF(B55="","",INDEX(Journal!$L$6:$L$507,B55))</f>
        <v/>
      </c>
      <c r="I55" s="78" t="str">
        <f>IF(B55="","",$C$7+SUMIF($B$11:B55,"&lt;&gt;"&amp;"",$G$11:G55)-SUMIF($B$11:B55,"&lt;&gt;"&amp;"",$H$11:H55))</f>
        <v/>
      </c>
    </row>
    <row r="56" spans="2:9" x14ac:dyDescent="0.35">
      <c r="B56" t="str" cm="1">
        <f t="array" ref="B56">IF($C$6="","",IFERROR(SMALL(IF(Journal!$G$6:$G$507=$C$6,ROW(Journal!$G$6:$G$507)-4),ROW()-10),""))</f>
        <v/>
      </c>
      <c r="C56" s="76" t="str" cm="1">
        <f t="array" ref="C56">IF(B56="","",INDEX(Journal!$B$6:$B$507,B56))</f>
        <v/>
      </c>
      <c r="D56" t="str" cm="1">
        <f t="array" ref="D56">IF(B56="","",INDEX(Journal!$E$6:$E$507,B56))</f>
        <v/>
      </c>
      <c r="E56" t="str" cm="1">
        <f t="array" ref="E56">IF(B56="","",INDEX(Journal!$F$6:$F$507,B56))</f>
        <v/>
      </c>
      <c r="F56" t="str" cm="1">
        <f t="array" ref="F56">IF(B56="","",INDEX(Journal!$J$6:$J$507,B56))</f>
        <v/>
      </c>
      <c r="G56" s="78" t="str" cm="1">
        <f t="array" ref="G56">IF(B56="","",INDEX(Journal!$K$6:$K$507,B56))</f>
        <v/>
      </c>
      <c r="H56" s="78" t="str" cm="1">
        <f t="array" ref="H56">IF(B56="","",INDEX(Journal!$L$6:$L$507,B56))</f>
        <v/>
      </c>
      <c r="I56" s="78" t="str">
        <f>IF(B56="","",$C$7+SUMIF($B$11:B56,"&lt;&gt;"&amp;"",$G$11:G56)-SUMIF($B$11:B56,"&lt;&gt;"&amp;"",$H$11:H56))</f>
        <v/>
      </c>
    </row>
    <row r="57" spans="2:9" x14ac:dyDescent="0.35">
      <c r="B57" t="str" cm="1">
        <f t="array" ref="B57">IF($C$6="","",IFERROR(SMALL(IF(Journal!$G$6:$G$507=$C$6,ROW(Journal!$G$6:$G$507)-4),ROW()-10),""))</f>
        <v/>
      </c>
      <c r="C57" s="76" t="str" cm="1">
        <f t="array" ref="C57">IF(B57="","",INDEX(Journal!$B$6:$B$507,B57))</f>
        <v/>
      </c>
      <c r="D57" t="str" cm="1">
        <f t="array" ref="D57">IF(B57="","",INDEX(Journal!$E$6:$E$507,B57))</f>
        <v/>
      </c>
      <c r="E57" t="str" cm="1">
        <f t="array" ref="E57">IF(B57="","",INDEX(Journal!$F$6:$F$507,B57))</f>
        <v/>
      </c>
      <c r="F57" t="str" cm="1">
        <f t="array" ref="F57">IF(B57="","",INDEX(Journal!$J$6:$J$507,B57))</f>
        <v/>
      </c>
      <c r="G57" s="78" t="str" cm="1">
        <f t="array" ref="G57">IF(B57="","",INDEX(Journal!$K$6:$K$507,B57))</f>
        <v/>
      </c>
      <c r="H57" s="78" t="str" cm="1">
        <f t="array" ref="H57">IF(B57="","",INDEX(Journal!$L$6:$L$507,B57))</f>
        <v/>
      </c>
      <c r="I57" s="78" t="str">
        <f>IF(B57="","",$C$7+SUMIF($B$11:B57,"&lt;&gt;"&amp;"",$G$11:G57)-SUMIF($B$11:B57,"&lt;&gt;"&amp;"",$H$11:H57))</f>
        <v/>
      </c>
    </row>
    <row r="58" spans="2:9" x14ac:dyDescent="0.35">
      <c r="B58" t="str" cm="1">
        <f t="array" ref="B58">IF($C$6="","",IFERROR(SMALL(IF(Journal!$G$6:$G$507=$C$6,ROW(Journal!$G$6:$G$507)-4),ROW()-10),""))</f>
        <v/>
      </c>
      <c r="C58" s="76" t="str" cm="1">
        <f t="array" ref="C58">IF(B58="","",INDEX(Journal!$B$6:$B$507,B58))</f>
        <v/>
      </c>
      <c r="D58" t="str" cm="1">
        <f t="array" ref="D58">IF(B58="","",INDEX(Journal!$E$6:$E$507,B58))</f>
        <v/>
      </c>
      <c r="E58" t="str" cm="1">
        <f t="array" ref="E58">IF(B58="","",INDEX(Journal!$F$6:$F$507,B58))</f>
        <v/>
      </c>
      <c r="F58" t="str" cm="1">
        <f t="array" ref="F58">IF(B58="","",INDEX(Journal!$J$6:$J$507,B58))</f>
        <v/>
      </c>
      <c r="G58" s="78" t="str" cm="1">
        <f t="array" ref="G58">IF(B58="","",INDEX(Journal!$K$6:$K$507,B58))</f>
        <v/>
      </c>
      <c r="H58" s="78" t="str" cm="1">
        <f t="array" ref="H58">IF(B58="","",INDEX(Journal!$L$6:$L$507,B58))</f>
        <v/>
      </c>
      <c r="I58" s="78" t="str">
        <f>IF(B58="","",$C$7+SUMIF($B$11:B58,"&lt;&gt;"&amp;"",$G$11:G58)-SUMIF($B$11:B58,"&lt;&gt;"&amp;"",$H$11:H58))</f>
        <v/>
      </c>
    </row>
    <row r="59" spans="2:9" x14ac:dyDescent="0.35">
      <c r="B59" t="str" cm="1">
        <f t="array" ref="B59">IF($C$6="","",IFERROR(SMALL(IF(Journal!$G$6:$G$507=$C$6,ROW(Journal!$G$6:$G$507)-4),ROW()-10),""))</f>
        <v/>
      </c>
      <c r="C59" s="76" t="str" cm="1">
        <f t="array" ref="C59">IF(B59="","",INDEX(Journal!$B$6:$B$507,B59))</f>
        <v/>
      </c>
      <c r="D59" t="str" cm="1">
        <f t="array" ref="D59">IF(B59="","",INDEX(Journal!$E$6:$E$507,B59))</f>
        <v/>
      </c>
      <c r="E59" t="str" cm="1">
        <f t="array" ref="E59">IF(B59="","",INDEX(Journal!$F$6:$F$507,B59))</f>
        <v/>
      </c>
      <c r="F59" t="str" cm="1">
        <f t="array" ref="F59">IF(B59="","",INDEX(Journal!$J$6:$J$507,B59))</f>
        <v/>
      </c>
      <c r="G59" s="78" t="str" cm="1">
        <f t="array" ref="G59">IF(B59="","",INDEX(Journal!$K$6:$K$507,B59))</f>
        <v/>
      </c>
      <c r="H59" s="78" t="str" cm="1">
        <f t="array" ref="H59">IF(B59="","",INDEX(Journal!$L$6:$L$507,B59))</f>
        <v/>
      </c>
      <c r="I59" s="78" t="str">
        <f>IF(B59="","",$C$7+SUMIF($B$11:B59,"&lt;&gt;"&amp;"",$G$11:G59)-SUMIF($B$11:B59,"&lt;&gt;"&amp;"",$H$11:H59))</f>
        <v/>
      </c>
    </row>
    <row r="60" spans="2:9" x14ac:dyDescent="0.35">
      <c r="B60" t="str" cm="1">
        <f t="array" ref="B60">IF($C$6="","",IFERROR(SMALL(IF(Journal!$G$6:$G$507=$C$6,ROW(Journal!$G$6:$G$507)-4),ROW()-10),""))</f>
        <v/>
      </c>
      <c r="C60" s="76" t="str" cm="1">
        <f t="array" ref="C60">IF(B60="","",INDEX(Journal!$B$6:$B$507,B60))</f>
        <v/>
      </c>
      <c r="D60" t="str" cm="1">
        <f t="array" ref="D60">IF(B60="","",INDEX(Journal!$E$6:$E$507,B60))</f>
        <v/>
      </c>
      <c r="E60" t="str" cm="1">
        <f t="array" ref="E60">IF(B60="","",INDEX(Journal!$F$6:$F$507,B60))</f>
        <v/>
      </c>
      <c r="F60" t="str" cm="1">
        <f t="array" ref="F60">IF(B60="","",INDEX(Journal!$J$6:$J$507,B60))</f>
        <v/>
      </c>
      <c r="G60" s="78" t="str" cm="1">
        <f t="array" ref="G60">IF(B60="","",INDEX(Journal!$K$6:$K$507,B60))</f>
        <v/>
      </c>
      <c r="H60" s="78" t="str" cm="1">
        <f t="array" ref="H60">IF(B60="","",INDEX(Journal!$L$6:$L$507,B60))</f>
        <v/>
      </c>
      <c r="I60" s="78" t="str">
        <f>IF(B60="","",$C$7+SUMIF($B$11:B60,"&lt;&gt;"&amp;"",$G$11:G60)-SUMIF($B$11:B60,"&lt;&gt;"&amp;"",$H$11:H60))</f>
        <v/>
      </c>
    </row>
    <row r="62" spans="2:9" x14ac:dyDescent="0.35">
      <c r="B62" s="89" t="s">
        <v>291</v>
      </c>
      <c r="C62" s="89"/>
      <c r="D62" s="89"/>
      <c r="E62" s="89"/>
      <c r="F62" s="89" t="s">
        <v>989</v>
      </c>
      <c r="G62" s="90">
        <f>SUMIF(B11:B60,"&lt;&gt;",G11:G60)</f>
        <v>0</v>
      </c>
      <c r="H62" s="90">
        <f>SUMIF(B11:B60,"&lt;&gt;",H11:H60)</f>
        <v>0</v>
      </c>
      <c r="I62" s="90">
        <f>G62-H62+C7</f>
        <v>0</v>
      </c>
    </row>
  </sheetData>
  <sheetProtection sheet="1" objects="1" scenarios="1" sort="0" autoFilter="0"/>
  <dataValidations count="1">
    <dataValidation type="list" allowBlank="1" showInputMessage="1" showErrorMessage="1" promptTitle="N° Compte" prompt="Sélectionnez un compte pour afficher son Grand Livre" sqref="C6" xr:uid="{0312AAF7-D866-4D68-9373-9E6AD0361D18}">
      <formula1>ListeComptes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49128-676E-4E6B-BD9A-85149152A39F}">
  <sheetPr codeName="Feuil9"/>
  <dimension ref="A1:I308"/>
  <sheetViews>
    <sheetView showGridLines="0" workbookViewId="0"/>
  </sheetViews>
  <sheetFormatPr baseColWidth="10" defaultRowHeight="14.5" x14ac:dyDescent="0.35"/>
  <cols>
    <col min="2" max="2" width="40.7265625" bestFit="1" customWidth="1"/>
    <col min="3" max="3" width="18.26953125" bestFit="1" customWidth="1"/>
    <col min="4" max="4" width="9.7265625" bestFit="1" customWidth="1"/>
    <col min="5" max="5" width="10.453125" bestFit="1" customWidth="1"/>
    <col min="6" max="6" width="9.7265625" bestFit="1" customWidth="1"/>
    <col min="7" max="7" width="14.54296875" bestFit="1" customWidth="1"/>
    <col min="8" max="8" width="15.26953125" bestFit="1" customWidth="1"/>
    <col min="9" max="9" width="4.26953125" bestFit="1" customWidth="1"/>
  </cols>
  <sheetData>
    <row r="1" spans="1:9" x14ac:dyDescent="0.35">
      <c r="A1" s="15" t="str">
        <f>HYPERLINK("#'PAGE DE GARDE'!A1","⬅ Menu")</f>
        <v>⬅ Menu</v>
      </c>
    </row>
    <row r="2" spans="1:9" ht="18.5" x14ac:dyDescent="0.45">
      <c r="B2" s="18" t="s">
        <v>297</v>
      </c>
      <c r="C2" s="18"/>
      <c r="D2" s="18"/>
      <c r="E2" s="18"/>
      <c r="F2" s="18"/>
      <c r="G2" s="18"/>
      <c r="H2" s="18"/>
      <c r="I2" s="18"/>
    </row>
    <row r="4" spans="1:9" x14ac:dyDescent="0.35">
      <c r="B4" s="31" t="s">
        <v>1</v>
      </c>
      <c r="C4" s="31" t="s">
        <v>2</v>
      </c>
      <c r="D4" s="31" t="s">
        <v>298</v>
      </c>
      <c r="E4" s="31" t="s">
        <v>299</v>
      </c>
      <c r="F4" s="31" t="s">
        <v>300</v>
      </c>
      <c r="G4" s="31" t="s">
        <v>295</v>
      </c>
      <c r="H4" s="31" t="s">
        <v>296</v>
      </c>
      <c r="I4" s="31" t="s">
        <v>301</v>
      </c>
    </row>
    <row r="5" spans="1:9" x14ac:dyDescent="0.35">
      <c r="B5">
        <f>'Plan Comptable'!B5</f>
        <v>1011</v>
      </c>
      <c r="C5" t="str">
        <f>'Plan Comptable'!C5</f>
        <v>Capital social</v>
      </c>
      <c r="D5" s="78">
        <f>SUMIF(Journal!$G:$G,B5,Journal!$J:$J)</f>
        <v>0</v>
      </c>
      <c r="E5" s="78">
        <f>SUMIF(Journal!$G:$G,B5,Journal!$K:$K)</f>
        <v>0</v>
      </c>
      <c r="F5" s="78">
        <f>'Balance N-1'!F5-'Balance N-1'!G5</f>
        <v>0</v>
      </c>
      <c r="G5" s="78">
        <f>MAX(F5+D5-E5,0)</f>
        <v>0</v>
      </c>
      <c r="H5" s="78">
        <f>MAX(E5-D5-F5,0)</f>
        <v>0</v>
      </c>
      <c r="I5" s="78">
        <f>G5-H5</f>
        <v>0</v>
      </c>
    </row>
    <row r="6" spans="1:9" x14ac:dyDescent="0.35">
      <c r="B6">
        <f>'Plan Comptable'!B6</f>
        <v>1012</v>
      </c>
      <c r="C6" t="str">
        <f>'Plan Comptable'!C6</f>
        <v>Capital souscrit appelé non versé</v>
      </c>
      <c r="D6" s="78">
        <f>SUMIF(Journal!$G:$G,B6,Journal!$J:$J)</f>
        <v>0</v>
      </c>
      <c r="E6" s="78">
        <f>SUMIF(Journal!$G:$G,B6,Journal!$K:$K)</f>
        <v>0</v>
      </c>
      <c r="F6" s="78">
        <f>'Balance N-1'!F6-'Balance N-1'!G6</f>
        <v>0</v>
      </c>
      <c r="G6" s="78">
        <f t="shared" ref="G6:G69" si="0">MAX(F6+D6-E6,0)</f>
        <v>0</v>
      </c>
      <c r="H6" s="78">
        <f t="shared" ref="H6:H69" si="1">MAX(E6-D6-F6,0)</f>
        <v>0</v>
      </c>
      <c r="I6" s="78">
        <f t="shared" ref="I6:I69" si="2">G6-H6</f>
        <v>0</v>
      </c>
    </row>
    <row r="7" spans="1:9" x14ac:dyDescent="0.35">
      <c r="B7">
        <f>'Plan Comptable'!B7</f>
        <v>1020</v>
      </c>
      <c r="C7" t="str">
        <f>'Plan Comptable'!C7</f>
        <v>Capital par dotation</v>
      </c>
      <c r="D7" s="78">
        <f>SUMIF(Journal!$G:$G,B7,Journal!$J:$J)</f>
        <v>0</v>
      </c>
      <c r="E7" s="78">
        <f>SUMIF(Journal!$G:$G,B7,Journal!$K:$K)</f>
        <v>0</v>
      </c>
      <c r="F7" s="78">
        <f>'Balance N-1'!F7-'Balance N-1'!G7</f>
        <v>0</v>
      </c>
      <c r="G7" s="78">
        <f t="shared" si="0"/>
        <v>0</v>
      </c>
      <c r="H7" s="78">
        <f t="shared" si="1"/>
        <v>0</v>
      </c>
      <c r="I7" s="78">
        <f t="shared" si="2"/>
        <v>0</v>
      </c>
    </row>
    <row r="8" spans="1:9" x14ac:dyDescent="0.35">
      <c r="B8">
        <f>'Plan Comptable'!B8</f>
        <v>1041</v>
      </c>
      <c r="C8" t="str">
        <f>'Plan Comptable'!C8</f>
        <v>Primes d'émission</v>
      </c>
      <c r="D8" s="78">
        <f>SUMIF(Journal!$G:$G,B8,Journal!$J:$J)</f>
        <v>0</v>
      </c>
      <c r="E8" s="78">
        <f>SUMIF(Journal!$G:$G,B8,Journal!$K:$K)</f>
        <v>0</v>
      </c>
      <c r="F8" s="78">
        <f>'Balance N-1'!F8-'Balance N-1'!G8</f>
        <v>0</v>
      </c>
      <c r="G8" s="78">
        <f t="shared" si="0"/>
        <v>0</v>
      </c>
      <c r="H8" s="78">
        <f t="shared" si="1"/>
        <v>0</v>
      </c>
      <c r="I8" s="78">
        <f t="shared" si="2"/>
        <v>0</v>
      </c>
    </row>
    <row r="9" spans="1:9" x14ac:dyDescent="0.35">
      <c r="B9">
        <f>'Plan Comptable'!B9</f>
        <v>1042</v>
      </c>
      <c r="C9" t="str">
        <f>'Plan Comptable'!C9</f>
        <v>Primes d'apport</v>
      </c>
      <c r="D9" s="78">
        <f>SUMIF(Journal!$G:$G,B9,Journal!$J:$J)</f>
        <v>0</v>
      </c>
      <c r="E9" s="78">
        <f>SUMIF(Journal!$G:$G,B9,Journal!$K:$K)</f>
        <v>0</v>
      </c>
      <c r="F9" s="78">
        <f>'Balance N-1'!F9-'Balance N-1'!G9</f>
        <v>0</v>
      </c>
      <c r="G9" s="78">
        <f t="shared" si="0"/>
        <v>0</v>
      </c>
      <c r="H9" s="78">
        <f t="shared" si="1"/>
        <v>0</v>
      </c>
      <c r="I9" s="78">
        <f t="shared" si="2"/>
        <v>0</v>
      </c>
    </row>
    <row r="10" spans="1:9" x14ac:dyDescent="0.35">
      <c r="B10">
        <f>'Plan Comptable'!B10</f>
        <v>1043</v>
      </c>
      <c r="C10" t="str">
        <f>'Plan Comptable'!C10</f>
        <v>Primes de fusion</v>
      </c>
      <c r="D10" s="78">
        <f>SUMIF(Journal!$G:$G,B10,Journal!$J:$J)</f>
        <v>0</v>
      </c>
      <c r="E10" s="78">
        <f>SUMIF(Journal!$G:$G,B10,Journal!$K:$K)</f>
        <v>0</v>
      </c>
      <c r="F10" s="78">
        <f>'Balance N-1'!F10-'Balance N-1'!G10</f>
        <v>0</v>
      </c>
      <c r="G10" s="78">
        <f t="shared" si="0"/>
        <v>0</v>
      </c>
      <c r="H10" s="78">
        <f t="shared" si="1"/>
        <v>0</v>
      </c>
      <c r="I10" s="78">
        <f t="shared" si="2"/>
        <v>0</v>
      </c>
    </row>
    <row r="11" spans="1:9" x14ac:dyDescent="0.35">
      <c r="B11">
        <f>'Plan Comptable'!B11</f>
        <v>1051</v>
      </c>
      <c r="C11" t="str">
        <f>'Plan Comptable'!C11</f>
        <v>Écarts de réévaluation légale</v>
      </c>
      <c r="D11" s="78">
        <f>SUMIF(Journal!$G:$G,B11,Journal!$J:$J)</f>
        <v>0</v>
      </c>
      <c r="E11" s="78">
        <f>SUMIF(Journal!$G:$G,B11,Journal!$K:$K)</f>
        <v>0</v>
      </c>
      <c r="F11" s="78">
        <f>'Balance N-1'!F11-'Balance N-1'!G11</f>
        <v>0</v>
      </c>
      <c r="G11" s="78">
        <f t="shared" si="0"/>
        <v>0</v>
      </c>
      <c r="H11" s="78">
        <f t="shared" si="1"/>
        <v>0</v>
      </c>
      <c r="I11" s="78">
        <f t="shared" si="2"/>
        <v>0</v>
      </c>
    </row>
    <row r="12" spans="1:9" x14ac:dyDescent="0.35">
      <c r="B12">
        <f>'Plan Comptable'!B12</f>
        <v>1052</v>
      </c>
      <c r="C12" t="str">
        <f>'Plan Comptable'!C12</f>
        <v>Écarts de réévaluation libre</v>
      </c>
      <c r="D12" s="78">
        <f>SUMIF(Journal!$G:$G,B12,Journal!$J:$J)</f>
        <v>0</v>
      </c>
      <c r="E12" s="78">
        <f>SUMIF(Journal!$G:$G,B12,Journal!$K:$K)</f>
        <v>0</v>
      </c>
      <c r="F12" s="78">
        <f>'Balance N-1'!F12-'Balance N-1'!G12</f>
        <v>0</v>
      </c>
      <c r="G12" s="78">
        <f t="shared" si="0"/>
        <v>0</v>
      </c>
      <c r="H12" s="78">
        <f t="shared" si="1"/>
        <v>0</v>
      </c>
      <c r="I12" s="78">
        <f t="shared" si="2"/>
        <v>0</v>
      </c>
    </row>
    <row r="13" spans="1:9" x14ac:dyDescent="0.35">
      <c r="B13">
        <f>'Plan Comptable'!B13</f>
        <v>1061</v>
      </c>
      <c r="C13" t="str">
        <f>'Plan Comptable'!C13</f>
        <v>Réserve légale</v>
      </c>
      <c r="D13" s="78">
        <f>SUMIF(Journal!$G:$G,B13,Journal!$J:$J)</f>
        <v>0</v>
      </c>
      <c r="E13" s="78">
        <f>SUMIF(Journal!$G:$G,B13,Journal!$K:$K)</f>
        <v>0</v>
      </c>
      <c r="F13" s="78">
        <f>'Balance N-1'!F13-'Balance N-1'!G13</f>
        <v>0</v>
      </c>
      <c r="G13" s="78">
        <f t="shared" si="0"/>
        <v>0</v>
      </c>
      <c r="H13" s="78">
        <f t="shared" si="1"/>
        <v>0</v>
      </c>
      <c r="I13" s="78">
        <f t="shared" si="2"/>
        <v>0</v>
      </c>
    </row>
    <row r="14" spans="1:9" x14ac:dyDescent="0.35">
      <c r="B14">
        <f>'Plan Comptable'!B14</f>
        <v>1062</v>
      </c>
      <c r="C14" t="str">
        <f>'Plan Comptable'!C14</f>
        <v>Réserves statutaires</v>
      </c>
      <c r="D14" s="78">
        <f>SUMIF(Journal!$G:$G,B14,Journal!$J:$J)</f>
        <v>0</v>
      </c>
      <c r="E14" s="78">
        <f>SUMIF(Journal!$G:$G,B14,Journal!$K:$K)</f>
        <v>0</v>
      </c>
      <c r="F14" s="78">
        <f>'Balance N-1'!F14-'Balance N-1'!G14</f>
        <v>0</v>
      </c>
      <c r="G14" s="78">
        <f t="shared" si="0"/>
        <v>0</v>
      </c>
      <c r="H14" s="78">
        <f t="shared" si="1"/>
        <v>0</v>
      </c>
      <c r="I14" s="78">
        <f t="shared" si="2"/>
        <v>0</v>
      </c>
    </row>
    <row r="15" spans="1:9" x14ac:dyDescent="0.35">
      <c r="B15">
        <f>'Plan Comptable'!B15</f>
        <v>1063</v>
      </c>
      <c r="C15" t="str">
        <f>'Plan Comptable'!C15</f>
        <v>Réserves réglementées</v>
      </c>
      <c r="D15" s="78">
        <f>SUMIF(Journal!$G:$G,B15,Journal!$J:$J)</f>
        <v>0</v>
      </c>
      <c r="E15" s="78">
        <f>SUMIF(Journal!$G:$G,B15,Journal!$K:$K)</f>
        <v>0</v>
      </c>
      <c r="F15" s="78">
        <f>'Balance N-1'!F15-'Balance N-1'!G15</f>
        <v>0</v>
      </c>
      <c r="G15" s="78">
        <f t="shared" si="0"/>
        <v>0</v>
      </c>
      <c r="H15" s="78">
        <f t="shared" si="1"/>
        <v>0</v>
      </c>
      <c r="I15" s="78">
        <f t="shared" si="2"/>
        <v>0</v>
      </c>
    </row>
    <row r="16" spans="1:9" x14ac:dyDescent="0.35">
      <c r="B16">
        <f>'Plan Comptable'!B16</f>
        <v>1064</v>
      </c>
      <c r="C16" t="str">
        <f>'Plan Comptable'!C16</f>
        <v>Réserves facultatives</v>
      </c>
      <c r="D16" s="78">
        <f>SUMIF(Journal!$G:$G,B16,Journal!$J:$J)</f>
        <v>0</v>
      </c>
      <c r="E16" s="78">
        <f>SUMIF(Journal!$G:$G,B16,Journal!$K:$K)</f>
        <v>0</v>
      </c>
      <c r="F16" s="78">
        <f>'Balance N-1'!F16-'Balance N-1'!G16</f>
        <v>0</v>
      </c>
      <c r="G16" s="78">
        <f t="shared" si="0"/>
        <v>0</v>
      </c>
      <c r="H16" s="78">
        <f t="shared" si="1"/>
        <v>0</v>
      </c>
      <c r="I16" s="78">
        <f t="shared" si="2"/>
        <v>0</v>
      </c>
    </row>
    <row r="17" spans="2:9" x14ac:dyDescent="0.35">
      <c r="B17">
        <f>'Plan Comptable'!B17</f>
        <v>1101</v>
      </c>
      <c r="C17" t="str">
        <f>'Plan Comptable'!C17</f>
        <v>Report à nouveau créditeur</v>
      </c>
      <c r="D17" s="78">
        <f>SUMIF(Journal!$G:$G,B17,Journal!$J:$J)</f>
        <v>0</v>
      </c>
      <c r="E17" s="78">
        <f>SUMIF(Journal!$G:$G,B17,Journal!$K:$K)</f>
        <v>0</v>
      </c>
      <c r="F17" s="78">
        <f>'Balance N-1'!F17-'Balance N-1'!G17</f>
        <v>0</v>
      </c>
      <c r="G17" s="78">
        <f t="shared" si="0"/>
        <v>0</v>
      </c>
      <c r="H17" s="78">
        <f t="shared" si="1"/>
        <v>0</v>
      </c>
      <c r="I17" s="78">
        <f t="shared" si="2"/>
        <v>0</v>
      </c>
    </row>
    <row r="18" spans="2:9" x14ac:dyDescent="0.35">
      <c r="B18">
        <f>'Plan Comptable'!B18</f>
        <v>1109</v>
      </c>
      <c r="C18" t="str">
        <f>'Plan Comptable'!C18</f>
        <v>Report à nouveau débiteur</v>
      </c>
      <c r="D18" s="78">
        <f>SUMIF(Journal!$G:$G,B18,Journal!$J:$J)</f>
        <v>0</v>
      </c>
      <c r="E18" s="78">
        <f>SUMIF(Journal!$G:$G,B18,Journal!$K:$K)</f>
        <v>0</v>
      </c>
      <c r="F18" s="78">
        <f>'Balance N-1'!F18-'Balance N-1'!G18</f>
        <v>0</v>
      </c>
      <c r="G18" s="78">
        <f t="shared" si="0"/>
        <v>0</v>
      </c>
      <c r="H18" s="78">
        <f t="shared" si="1"/>
        <v>0</v>
      </c>
      <c r="I18" s="78">
        <f t="shared" si="2"/>
        <v>0</v>
      </c>
    </row>
    <row r="19" spans="2:9" x14ac:dyDescent="0.35">
      <c r="B19">
        <f>'Plan Comptable'!B19</f>
        <v>1201</v>
      </c>
      <c r="C19" t="str">
        <f>'Plan Comptable'!C19</f>
        <v>Résultat: Bénéfice</v>
      </c>
      <c r="D19" s="78">
        <f>SUMIF(Journal!$G:$G,B19,Journal!$J:$J)</f>
        <v>0</v>
      </c>
      <c r="E19" s="78">
        <f>SUMIF(Journal!$G:$G,B19,Journal!$K:$K)</f>
        <v>0</v>
      </c>
      <c r="F19" s="78">
        <f>'Balance N-1'!F19-'Balance N-1'!G19</f>
        <v>0</v>
      </c>
      <c r="G19" s="78">
        <f t="shared" si="0"/>
        <v>0</v>
      </c>
      <c r="H19" s="78">
        <f t="shared" si="1"/>
        <v>0</v>
      </c>
      <c r="I19" s="78">
        <f t="shared" si="2"/>
        <v>0</v>
      </c>
    </row>
    <row r="20" spans="2:9" x14ac:dyDescent="0.35">
      <c r="B20">
        <f>'Plan Comptable'!B20</f>
        <v>1209</v>
      </c>
      <c r="C20" t="str">
        <f>'Plan Comptable'!C20</f>
        <v>Résultat: Perte</v>
      </c>
      <c r="D20" s="78">
        <f>SUMIF(Journal!$G:$G,B20,Journal!$J:$J)</f>
        <v>0</v>
      </c>
      <c r="E20" s="78">
        <f>SUMIF(Journal!$G:$G,B20,Journal!$K:$K)</f>
        <v>0</v>
      </c>
      <c r="F20" s="78">
        <f>'Balance N-1'!F20-'Balance N-1'!G20</f>
        <v>0</v>
      </c>
      <c r="G20" s="78">
        <f t="shared" si="0"/>
        <v>0</v>
      </c>
      <c r="H20" s="78">
        <f t="shared" si="1"/>
        <v>0</v>
      </c>
      <c r="I20" s="78">
        <f t="shared" si="2"/>
        <v>0</v>
      </c>
    </row>
    <row r="21" spans="2:9" x14ac:dyDescent="0.35">
      <c r="B21">
        <f>'Plan Comptable'!B21</f>
        <v>1301</v>
      </c>
      <c r="C21" t="str">
        <f>'Plan Comptable'!C21</f>
        <v>Subventions d'équipement</v>
      </c>
      <c r="D21" s="78">
        <f>SUMIF(Journal!$G:$G,B21,Journal!$J:$J)</f>
        <v>0</v>
      </c>
      <c r="E21" s="78">
        <f>SUMIF(Journal!$G:$G,B21,Journal!$K:$K)</f>
        <v>0</v>
      </c>
      <c r="F21" s="78">
        <f>'Balance N-1'!F21-'Balance N-1'!G21</f>
        <v>0</v>
      </c>
      <c r="G21" s="78">
        <f t="shared" si="0"/>
        <v>0</v>
      </c>
      <c r="H21" s="78">
        <f t="shared" si="1"/>
        <v>0</v>
      </c>
      <c r="I21" s="78">
        <f t="shared" si="2"/>
        <v>0</v>
      </c>
    </row>
    <row r="22" spans="2:9" x14ac:dyDescent="0.35">
      <c r="B22">
        <f>'Plan Comptable'!B22</f>
        <v>1381</v>
      </c>
      <c r="C22" t="str">
        <f>'Plan Comptable'!C22</f>
        <v>Autres subventions d'investissement</v>
      </c>
      <c r="D22" s="78">
        <f>SUMIF(Journal!$G:$G,B22,Journal!$J:$J)</f>
        <v>0</v>
      </c>
      <c r="E22" s="78">
        <f>SUMIF(Journal!$G:$G,B22,Journal!$K:$K)</f>
        <v>0</v>
      </c>
      <c r="F22" s="78">
        <f>'Balance N-1'!F22-'Balance N-1'!G22</f>
        <v>0</v>
      </c>
      <c r="G22" s="78">
        <f t="shared" si="0"/>
        <v>0</v>
      </c>
      <c r="H22" s="78">
        <f t="shared" si="1"/>
        <v>0</v>
      </c>
      <c r="I22" s="78">
        <f t="shared" si="2"/>
        <v>0</v>
      </c>
    </row>
    <row r="23" spans="2:9" x14ac:dyDescent="0.35">
      <c r="B23">
        <f>'Plan Comptable'!B23</f>
        <v>1391</v>
      </c>
      <c r="C23" t="str">
        <f>'Plan Comptable'!C23</f>
        <v>Subventions inscrites au CR</v>
      </c>
      <c r="D23" s="78">
        <f>SUMIF(Journal!$G:$G,B23,Journal!$J:$J)</f>
        <v>0</v>
      </c>
      <c r="E23" s="78">
        <f>SUMIF(Journal!$G:$G,B23,Journal!$K:$K)</f>
        <v>0</v>
      </c>
      <c r="F23" s="78">
        <f>'Balance N-1'!F23-'Balance N-1'!G23</f>
        <v>0</v>
      </c>
      <c r="G23" s="78">
        <f t="shared" si="0"/>
        <v>0</v>
      </c>
      <c r="H23" s="78">
        <f t="shared" si="1"/>
        <v>0</v>
      </c>
      <c r="I23" s="78">
        <f t="shared" si="2"/>
        <v>0</v>
      </c>
    </row>
    <row r="24" spans="2:9" x14ac:dyDescent="0.35">
      <c r="B24">
        <f>'Plan Comptable'!B24</f>
        <v>1410</v>
      </c>
      <c r="C24" t="str">
        <f>'Plan Comptable'!C24</f>
        <v>Emprunts obligataires</v>
      </c>
      <c r="D24" s="78">
        <f>SUMIF(Journal!$G:$G,B24,Journal!$J:$J)</f>
        <v>0</v>
      </c>
      <c r="E24" s="78">
        <f>SUMIF(Journal!$G:$G,B24,Journal!$K:$K)</f>
        <v>0</v>
      </c>
      <c r="F24" s="78">
        <f>'Balance N-1'!F24-'Balance N-1'!G24</f>
        <v>0</v>
      </c>
      <c r="G24" s="78">
        <f t="shared" si="0"/>
        <v>0</v>
      </c>
      <c r="H24" s="78">
        <f t="shared" si="1"/>
        <v>0</v>
      </c>
      <c r="I24" s="78">
        <f t="shared" si="2"/>
        <v>0</v>
      </c>
    </row>
    <row r="25" spans="2:9" x14ac:dyDescent="0.35">
      <c r="B25">
        <f>'Plan Comptable'!B25</f>
        <v>1420</v>
      </c>
      <c r="C25" t="str">
        <f>'Plan Comptable'!C25</f>
        <v>Emprunts bancaires</v>
      </c>
      <c r="D25" s="78">
        <f>SUMIF(Journal!$G:$G,B25,Journal!$J:$J)</f>
        <v>0</v>
      </c>
      <c r="E25" s="78">
        <f>SUMIF(Journal!$G:$G,B25,Journal!$K:$K)</f>
        <v>0</v>
      </c>
      <c r="F25" s="78">
        <f>'Balance N-1'!F25-'Balance N-1'!G25</f>
        <v>0</v>
      </c>
      <c r="G25" s="78">
        <f t="shared" si="0"/>
        <v>0</v>
      </c>
      <c r="H25" s="78">
        <f t="shared" si="1"/>
        <v>0</v>
      </c>
      <c r="I25" s="78">
        <f t="shared" si="2"/>
        <v>0</v>
      </c>
    </row>
    <row r="26" spans="2:9" x14ac:dyDescent="0.35">
      <c r="B26">
        <f>'Plan Comptable'!B26</f>
        <v>1430</v>
      </c>
      <c r="C26" t="str">
        <f>'Plan Comptable'!C26</f>
        <v>Dépôts et cautionnements reçus</v>
      </c>
      <c r="D26" s="78">
        <f>SUMIF(Journal!$G:$G,B26,Journal!$J:$J)</f>
        <v>0</v>
      </c>
      <c r="E26" s="78">
        <f>SUMIF(Journal!$G:$G,B26,Journal!$K:$K)</f>
        <v>0</v>
      </c>
      <c r="F26" s="78">
        <f>'Balance N-1'!F26-'Balance N-1'!G26</f>
        <v>0</v>
      </c>
      <c r="G26" s="78">
        <f t="shared" si="0"/>
        <v>0</v>
      </c>
      <c r="H26" s="78">
        <f t="shared" si="1"/>
        <v>0</v>
      </c>
      <c r="I26" s="78">
        <f t="shared" si="2"/>
        <v>0</v>
      </c>
    </row>
    <row r="27" spans="2:9" x14ac:dyDescent="0.35">
      <c r="B27">
        <f>'Plan Comptable'!B27</f>
        <v>1461</v>
      </c>
      <c r="C27" t="str">
        <f>'Plan Comptable'!C27</f>
        <v>Associés comptes courants bloqués</v>
      </c>
      <c r="D27" s="78">
        <f>SUMIF(Journal!$G:$G,B27,Journal!$J:$J)</f>
        <v>0</v>
      </c>
      <c r="E27" s="78">
        <f>SUMIF(Journal!$G:$G,B27,Journal!$K:$K)</f>
        <v>0</v>
      </c>
      <c r="F27" s="78">
        <f>'Balance N-1'!F27-'Balance N-1'!G27</f>
        <v>0</v>
      </c>
      <c r="G27" s="78">
        <f t="shared" si="0"/>
        <v>0</v>
      </c>
      <c r="H27" s="78">
        <f t="shared" si="1"/>
        <v>0</v>
      </c>
      <c r="I27" s="78">
        <f t="shared" si="2"/>
        <v>0</v>
      </c>
    </row>
    <row r="28" spans="2:9" x14ac:dyDescent="0.35">
      <c r="B28">
        <f>'Plan Comptable'!B28</f>
        <v>1481</v>
      </c>
      <c r="C28" t="str">
        <f>'Plan Comptable'!C28</f>
        <v>Dettes liées à participations</v>
      </c>
      <c r="D28" s="78">
        <f>SUMIF(Journal!$G:$G,B28,Journal!$J:$J)</f>
        <v>0</v>
      </c>
      <c r="E28" s="78">
        <f>SUMIF(Journal!$G:$G,B28,Journal!$K:$K)</f>
        <v>0</v>
      </c>
      <c r="F28" s="78">
        <f>'Balance N-1'!F28-'Balance N-1'!G28</f>
        <v>0</v>
      </c>
      <c r="G28" s="78">
        <f t="shared" si="0"/>
        <v>0</v>
      </c>
      <c r="H28" s="78">
        <f t="shared" si="1"/>
        <v>0</v>
      </c>
      <c r="I28" s="78">
        <f t="shared" si="2"/>
        <v>0</v>
      </c>
    </row>
    <row r="29" spans="2:9" x14ac:dyDescent="0.35">
      <c r="B29">
        <f>'Plan Comptable'!B29</f>
        <v>1485</v>
      </c>
      <c r="C29" t="str">
        <f>'Plan Comptable'!C29</f>
        <v>Dettes diverses</v>
      </c>
      <c r="D29" s="78">
        <f>SUMIF(Journal!$G:$G,B29,Journal!$J:$J)</f>
        <v>0</v>
      </c>
      <c r="E29" s="78">
        <f>SUMIF(Journal!$G:$G,B29,Journal!$K:$K)</f>
        <v>0</v>
      </c>
      <c r="F29" s="78">
        <f>'Balance N-1'!F29-'Balance N-1'!G29</f>
        <v>0</v>
      </c>
      <c r="G29" s="78">
        <f t="shared" si="0"/>
        <v>0</v>
      </c>
      <c r="H29" s="78">
        <f t="shared" si="1"/>
        <v>0</v>
      </c>
      <c r="I29" s="78">
        <f t="shared" si="2"/>
        <v>0</v>
      </c>
    </row>
    <row r="30" spans="2:9" x14ac:dyDescent="0.35">
      <c r="B30">
        <f>'Plan Comptable'!B30</f>
        <v>1511</v>
      </c>
      <c r="C30" t="str">
        <f>'Plan Comptable'!C30</f>
        <v>Provisions pour litiges</v>
      </c>
      <c r="D30" s="78">
        <f>SUMIF(Journal!$G:$G,B30,Journal!$J:$J)</f>
        <v>0</v>
      </c>
      <c r="E30" s="78">
        <f>SUMIF(Journal!$G:$G,B30,Journal!$K:$K)</f>
        <v>0</v>
      </c>
      <c r="F30" s="78">
        <f>'Balance N-1'!F30-'Balance N-1'!G30</f>
        <v>0</v>
      </c>
      <c r="G30" s="78">
        <f t="shared" si="0"/>
        <v>0</v>
      </c>
      <c r="H30" s="78">
        <f t="shared" si="1"/>
        <v>0</v>
      </c>
      <c r="I30" s="78">
        <f t="shared" si="2"/>
        <v>0</v>
      </c>
    </row>
    <row r="31" spans="2:9" x14ac:dyDescent="0.35">
      <c r="B31">
        <f>'Plan Comptable'!B31</f>
        <v>1512</v>
      </c>
      <c r="C31" t="str">
        <f>'Plan Comptable'!C31</f>
        <v>Provisions garanties clients</v>
      </c>
      <c r="D31" s="78">
        <f>SUMIF(Journal!$G:$G,B31,Journal!$J:$J)</f>
        <v>0</v>
      </c>
      <c r="E31" s="78">
        <f>SUMIF(Journal!$G:$G,B31,Journal!$K:$K)</f>
        <v>0</v>
      </c>
      <c r="F31" s="78">
        <f>'Balance N-1'!F31-'Balance N-1'!G31</f>
        <v>0</v>
      </c>
      <c r="G31" s="78">
        <f t="shared" si="0"/>
        <v>0</v>
      </c>
      <c r="H31" s="78">
        <f t="shared" si="1"/>
        <v>0</v>
      </c>
      <c r="I31" s="78">
        <f t="shared" si="2"/>
        <v>0</v>
      </c>
    </row>
    <row r="32" spans="2:9" x14ac:dyDescent="0.35">
      <c r="B32">
        <f>'Plan Comptable'!B32</f>
        <v>1514</v>
      </c>
      <c r="C32" t="str">
        <f>'Plan Comptable'!C32</f>
        <v>Provisions amendes pénalités</v>
      </c>
      <c r="D32" s="78">
        <f>SUMIF(Journal!$G:$G,B32,Journal!$J:$J)</f>
        <v>0</v>
      </c>
      <c r="E32" s="78">
        <f>SUMIF(Journal!$G:$G,B32,Journal!$K:$K)</f>
        <v>0</v>
      </c>
      <c r="F32" s="78">
        <f>'Balance N-1'!F32-'Balance N-1'!G32</f>
        <v>0</v>
      </c>
      <c r="G32" s="78">
        <f t="shared" si="0"/>
        <v>0</v>
      </c>
      <c r="H32" s="78">
        <f t="shared" si="1"/>
        <v>0</v>
      </c>
      <c r="I32" s="78">
        <f t="shared" si="2"/>
        <v>0</v>
      </c>
    </row>
    <row r="33" spans="2:9" x14ac:dyDescent="0.35">
      <c r="B33">
        <f>'Plan Comptable'!B33</f>
        <v>1515</v>
      </c>
      <c r="C33" t="str">
        <f>'Plan Comptable'!C33</f>
        <v>Provisions pertes de change</v>
      </c>
      <c r="D33" s="78">
        <f>SUMIF(Journal!$G:$G,B33,Journal!$J:$J)</f>
        <v>0</v>
      </c>
      <c r="E33" s="78">
        <f>SUMIF(Journal!$G:$G,B33,Journal!$K:$K)</f>
        <v>0</v>
      </c>
      <c r="F33" s="78">
        <f>'Balance N-1'!F33-'Balance N-1'!G33</f>
        <v>0</v>
      </c>
      <c r="G33" s="78">
        <f t="shared" si="0"/>
        <v>0</v>
      </c>
      <c r="H33" s="78">
        <f t="shared" si="1"/>
        <v>0</v>
      </c>
      <c r="I33" s="78">
        <f t="shared" si="2"/>
        <v>0</v>
      </c>
    </row>
    <row r="34" spans="2:9" x14ac:dyDescent="0.35">
      <c r="B34">
        <f>'Plan Comptable'!B34</f>
        <v>1516</v>
      </c>
      <c r="C34" t="str">
        <f>'Plan Comptable'!C34</f>
        <v>Provisions pensions</v>
      </c>
      <c r="D34" s="78">
        <f>SUMIF(Journal!$G:$G,B34,Journal!$J:$J)</f>
        <v>0</v>
      </c>
      <c r="E34" s="78">
        <f>SUMIF(Journal!$G:$G,B34,Journal!$K:$K)</f>
        <v>0</v>
      </c>
      <c r="F34" s="78">
        <f>'Balance N-1'!F34-'Balance N-1'!G34</f>
        <v>0</v>
      </c>
      <c r="G34" s="78">
        <f t="shared" si="0"/>
        <v>0</v>
      </c>
      <c r="H34" s="78">
        <f t="shared" si="1"/>
        <v>0</v>
      </c>
      <c r="I34" s="78">
        <f t="shared" si="2"/>
        <v>0</v>
      </c>
    </row>
    <row r="35" spans="2:9" x14ac:dyDescent="0.35">
      <c r="B35">
        <f>'Plan Comptable'!B35</f>
        <v>1518</v>
      </c>
      <c r="C35" t="str">
        <f>'Plan Comptable'!C35</f>
        <v>Autres provisions risques</v>
      </c>
      <c r="D35" s="78">
        <f>SUMIF(Journal!$G:$G,B35,Journal!$J:$J)</f>
        <v>0</v>
      </c>
      <c r="E35" s="78">
        <f>SUMIF(Journal!$G:$G,B35,Journal!$K:$K)</f>
        <v>0</v>
      </c>
      <c r="F35" s="78">
        <f>'Balance N-1'!F35-'Balance N-1'!G35</f>
        <v>0</v>
      </c>
      <c r="G35" s="78">
        <f t="shared" si="0"/>
        <v>0</v>
      </c>
      <c r="H35" s="78">
        <f t="shared" si="1"/>
        <v>0</v>
      </c>
      <c r="I35" s="78">
        <f t="shared" si="2"/>
        <v>0</v>
      </c>
    </row>
    <row r="36" spans="2:9" x14ac:dyDescent="0.35">
      <c r="B36">
        <f>'Plan Comptable'!B36</f>
        <v>1561</v>
      </c>
      <c r="C36" t="str">
        <f>'Plan Comptable'!C36</f>
        <v>Provisions renouvellement immo</v>
      </c>
      <c r="D36" s="78">
        <f>SUMIF(Journal!$G:$G,B36,Journal!$J:$J)</f>
        <v>0</v>
      </c>
      <c r="E36" s="78">
        <f>SUMIF(Journal!$G:$G,B36,Journal!$K:$K)</f>
        <v>0</v>
      </c>
      <c r="F36" s="78">
        <f>'Balance N-1'!F36-'Balance N-1'!G36</f>
        <v>0</v>
      </c>
      <c r="G36" s="78">
        <f t="shared" si="0"/>
        <v>0</v>
      </c>
      <c r="H36" s="78">
        <f t="shared" si="1"/>
        <v>0</v>
      </c>
      <c r="I36" s="78">
        <f t="shared" si="2"/>
        <v>0</v>
      </c>
    </row>
    <row r="37" spans="2:9" x14ac:dyDescent="0.35">
      <c r="B37">
        <f>'Plan Comptable'!B37</f>
        <v>1571</v>
      </c>
      <c r="C37" t="str">
        <f>'Plan Comptable'!C37</f>
        <v>Provisions charges à répartir</v>
      </c>
      <c r="D37" s="78">
        <f>SUMIF(Journal!$G:$G,B37,Journal!$J:$J)</f>
        <v>0</v>
      </c>
      <c r="E37" s="78">
        <f>SUMIF(Journal!$G:$G,B37,Journal!$K:$K)</f>
        <v>0</v>
      </c>
      <c r="F37" s="78">
        <f>'Balance N-1'!F37-'Balance N-1'!G37</f>
        <v>0</v>
      </c>
      <c r="G37" s="78">
        <f t="shared" si="0"/>
        <v>0</v>
      </c>
      <c r="H37" s="78">
        <f t="shared" si="1"/>
        <v>0</v>
      </c>
      <c r="I37" s="78">
        <f t="shared" si="2"/>
        <v>0</v>
      </c>
    </row>
    <row r="38" spans="2:9" x14ac:dyDescent="0.35">
      <c r="B38">
        <f>'Plan Comptable'!B38</f>
        <v>1581</v>
      </c>
      <c r="C38" t="str">
        <f>'Plan Comptable'!C38</f>
        <v>Autres provisions charges</v>
      </c>
      <c r="D38" s="78">
        <f>SUMIF(Journal!$G:$G,B38,Journal!$J:$J)</f>
        <v>0</v>
      </c>
      <c r="E38" s="78">
        <f>SUMIF(Journal!$G:$G,B38,Journal!$K:$K)</f>
        <v>0</v>
      </c>
      <c r="F38" s="78">
        <f>'Balance N-1'!F38-'Balance N-1'!G38</f>
        <v>0</v>
      </c>
      <c r="G38" s="78">
        <f t="shared" si="0"/>
        <v>0</v>
      </c>
      <c r="H38" s="78">
        <f t="shared" si="1"/>
        <v>0</v>
      </c>
      <c r="I38" s="78">
        <f t="shared" si="2"/>
        <v>0</v>
      </c>
    </row>
    <row r="39" spans="2:9" x14ac:dyDescent="0.35">
      <c r="B39">
        <f>'Plan Comptable'!B39</f>
        <v>1661</v>
      </c>
      <c r="C39" t="str">
        <f>'Plan Comptable'!C39</f>
        <v>Intérêts courus emprunts</v>
      </c>
      <c r="D39" s="78">
        <f>SUMIF(Journal!$G:$G,B39,Journal!$J:$J)</f>
        <v>0</v>
      </c>
      <c r="E39" s="78">
        <f>SUMIF(Journal!$G:$G,B39,Journal!$K:$K)</f>
        <v>0</v>
      </c>
      <c r="F39" s="78">
        <f>'Balance N-1'!F39-'Balance N-1'!G39</f>
        <v>0</v>
      </c>
      <c r="G39" s="78">
        <f t="shared" si="0"/>
        <v>0</v>
      </c>
      <c r="H39" s="78">
        <f t="shared" si="1"/>
        <v>0</v>
      </c>
      <c r="I39" s="78">
        <f t="shared" si="2"/>
        <v>0</v>
      </c>
    </row>
    <row r="40" spans="2:9" x14ac:dyDescent="0.35">
      <c r="B40">
        <f>'Plan Comptable'!B40</f>
        <v>2011</v>
      </c>
      <c r="C40" t="str">
        <f>'Plan Comptable'!C40</f>
        <v>Frais de constitution</v>
      </c>
      <c r="D40" s="78">
        <f>SUMIF(Journal!$G:$G,B40,Journal!$J:$J)</f>
        <v>0</v>
      </c>
      <c r="E40" s="78">
        <f>SUMIF(Journal!$G:$G,B40,Journal!$K:$K)</f>
        <v>0</v>
      </c>
      <c r="F40" s="78">
        <f>'Balance N-1'!F40-'Balance N-1'!G40</f>
        <v>0</v>
      </c>
      <c r="G40" s="78">
        <f t="shared" si="0"/>
        <v>0</v>
      </c>
      <c r="H40" s="78">
        <f t="shared" si="1"/>
        <v>0</v>
      </c>
      <c r="I40" s="78">
        <f t="shared" si="2"/>
        <v>0</v>
      </c>
    </row>
    <row r="41" spans="2:9" x14ac:dyDescent="0.35">
      <c r="B41">
        <f>'Plan Comptable'!B41</f>
        <v>2012</v>
      </c>
      <c r="C41" t="str">
        <f>'Plan Comptable'!C41</f>
        <v>Frais de prospection</v>
      </c>
      <c r="D41" s="78">
        <f>SUMIF(Journal!$G:$G,B41,Journal!$J:$J)</f>
        <v>0</v>
      </c>
      <c r="E41" s="78">
        <f>SUMIF(Journal!$G:$G,B41,Journal!$K:$K)</f>
        <v>0</v>
      </c>
      <c r="F41" s="78">
        <f>'Balance N-1'!F41-'Balance N-1'!G41</f>
        <v>0</v>
      </c>
      <c r="G41" s="78">
        <f t="shared" si="0"/>
        <v>0</v>
      </c>
      <c r="H41" s="78">
        <f t="shared" si="1"/>
        <v>0</v>
      </c>
      <c r="I41" s="78">
        <f t="shared" si="2"/>
        <v>0</v>
      </c>
    </row>
    <row r="42" spans="2:9" x14ac:dyDescent="0.35">
      <c r="B42">
        <f>'Plan Comptable'!B42</f>
        <v>2013</v>
      </c>
      <c r="C42" t="str">
        <f>'Plan Comptable'!C42</f>
        <v>Frais publicité lancement</v>
      </c>
      <c r="D42" s="78">
        <f>SUMIF(Journal!$G:$G,B42,Journal!$J:$J)</f>
        <v>0</v>
      </c>
      <c r="E42" s="78">
        <f>SUMIF(Journal!$G:$G,B42,Journal!$K:$K)</f>
        <v>0</v>
      </c>
      <c r="F42" s="78">
        <f>'Balance N-1'!F42-'Balance N-1'!G42</f>
        <v>0</v>
      </c>
      <c r="G42" s="78">
        <f t="shared" si="0"/>
        <v>0</v>
      </c>
      <c r="H42" s="78">
        <f t="shared" si="1"/>
        <v>0</v>
      </c>
      <c r="I42" s="78">
        <f t="shared" si="2"/>
        <v>0</v>
      </c>
    </row>
    <row r="43" spans="2:9" x14ac:dyDescent="0.35">
      <c r="B43">
        <f>'Plan Comptable'!B43</f>
        <v>2015</v>
      </c>
      <c r="C43" t="str">
        <f>'Plan Comptable'!C43</f>
        <v>Frais modification capital</v>
      </c>
      <c r="D43" s="78">
        <f>SUMIF(Journal!$G:$G,B43,Journal!$J:$J)</f>
        <v>0</v>
      </c>
      <c r="E43" s="78">
        <f>SUMIF(Journal!$G:$G,B43,Journal!$K:$K)</f>
        <v>0</v>
      </c>
      <c r="F43" s="78">
        <f>'Balance N-1'!F43-'Balance N-1'!G43</f>
        <v>0</v>
      </c>
      <c r="G43" s="78">
        <f t="shared" si="0"/>
        <v>0</v>
      </c>
      <c r="H43" s="78">
        <f t="shared" si="1"/>
        <v>0</v>
      </c>
      <c r="I43" s="78">
        <f t="shared" si="2"/>
        <v>0</v>
      </c>
    </row>
    <row r="44" spans="2:9" x14ac:dyDescent="0.35">
      <c r="B44">
        <f>'Plan Comptable'!B44</f>
        <v>2017</v>
      </c>
      <c r="C44" t="str">
        <f>'Plan Comptable'!C44</f>
        <v>Frais de restructuration</v>
      </c>
      <c r="D44" s="78">
        <f>SUMIF(Journal!$G:$G,B44,Journal!$J:$J)</f>
        <v>0</v>
      </c>
      <c r="E44" s="78">
        <f>SUMIF(Journal!$G:$G,B44,Journal!$K:$K)</f>
        <v>0</v>
      </c>
      <c r="F44" s="78">
        <f>'Balance N-1'!F44-'Balance N-1'!G44</f>
        <v>0</v>
      </c>
      <c r="G44" s="78">
        <f t="shared" si="0"/>
        <v>0</v>
      </c>
      <c r="H44" s="78">
        <f t="shared" si="1"/>
        <v>0</v>
      </c>
      <c r="I44" s="78">
        <f t="shared" si="2"/>
        <v>0</v>
      </c>
    </row>
    <row r="45" spans="2:9" x14ac:dyDescent="0.35">
      <c r="B45">
        <f>'Plan Comptable'!B45</f>
        <v>2018</v>
      </c>
      <c r="C45" t="str">
        <f>'Plan Comptable'!C45</f>
        <v>Autres charges à répartir</v>
      </c>
      <c r="D45" s="78">
        <f>SUMIF(Journal!$G:$G,B45,Journal!$J:$J)</f>
        <v>0</v>
      </c>
      <c r="E45" s="78">
        <f>SUMIF(Journal!$G:$G,B45,Journal!$K:$K)</f>
        <v>0</v>
      </c>
      <c r="F45" s="78">
        <f>'Balance N-1'!F45-'Balance N-1'!G45</f>
        <v>0</v>
      </c>
      <c r="G45" s="78">
        <f t="shared" si="0"/>
        <v>0</v>
      </c>
      <c r="H45" s="78">
        <f t="shared" si="1"/>
        <v>0</v>
      </c>
      <c r="I45" s="78">
        <f t="shared" si="2"/>
        <v>0</v>
      </c>
    </row>
    <row r="46" spans="2:9" x14ac:dyDescent="0.35">
      <c r="B46">
        <f>'Plan Comptable'!B46</f>
        <v>2021</v>
      </c>
      <c r="C46" t="str">
        <f>'Plan Comptable'!C46</f>
        <v>Frais R&amp;D</v>
      </c>
      <c r="D46" s="78">
        <f>SUMIF(Journal!$G:$G,B46,Journal!$J:$J)</f>
        <v>0</v>
      </c>
      <c r="E46" s="78">
        <f>SUMIF(Journal!$G:$G,B46,Journal!$K:$K)</f>
        <v>0</v>
      </c>
      <c r="F46" s="78">
        <f>'Balance N-1'!F46-'Balance N-1'!G46</f>
        <v>0</v>
      </c>
      <c r="G46" s="78">
        <f t="shared" si="0"/>
        <v>0</v>
      </c>
      <c r="H46" s="78">
        <f t="shared" si="1"/>
        <v>0</v>
      </c>
      <c r="I46" s="78">
        <f t="shared" si="2"/>
        <v>0</v>
      </c>
    </row>
    <row r="47" spans="2:9" x14ac:dyDescent="0.35">
      <c r="B47">
        <f>'Plan Comptable'!B47</f>
        <v>2111</v>
      </c>
      <c r="C47" t="str">
        <f>'Plan Comptable'!C47</f>
        <v>Brevets</v>
      </c>
      <c r="D47" s="78">
        <f>SUMIF(Journal!$G:$G,B47,Journal!$J:$J)</f>
        <v>0</v>
      </c>
      <c r="E47" s="78">
        <f>SUMIF(Journal!$G:$G,B47,Journal!$K:$K)</f>
        <v>0</v>
      </c>
      <c r="F47" s="78">
        <f>'Balance N-1'!F47-'Balance N-1'!G47</f>
        <v>0</v>
      </c>
      <c r="G47" s="78">
        <f t="shared" si="0"/>
        <v>0</v>
      </c>
      <c r="H47" s="78">
        <f t="shared" si="1"/>
        <v>0</v>
      </c>
      <c r="I47" s="78">
        <f t="shared" si="2"/>
        <v>0</v>
      </c>
    </row>
    <row r="48" spans="2:9" x14ac:dyDescent="0.35">
      <c r="B48">
        <f>'Plan Comptable'!B48</f>
        <v>2112</v>
      </c>
      <c r="C48" t="str">
        <f>'Plan Comptable'!C48</f>
        <v>Licences</v>
      </c>
      <c r="D48" s="78">
        <f>SUMIF(Journal!$G:$G,B48,Journal!$J:$J)</f>
        <v>0</v>
      </c>
      <c r="E48" s="78">
        <f>SUMIF(Journal!$G:$G,B48,Journal!$K:$K)</f>
        <v>0</v>
      </c>
      <c r="F48" s="78">
        <f>'Balance N-1'!F48-'Balance N-1'!G48</f>
        <v>0</v>
      </c>
      <c r="G48" s="78">
        <f t="shared" si="0"/>
        <v>0</v>
      </c>
      <c r="H48" s="78">
        <f t="shared" si="1"/>
        <v>0</v>
      </c>
      <c r="I48" s="78">
        <f t="shared" si="2"/>
        <v>0</v>
      </c>
    </row>
    <row r="49" spans="2:9" x14ac:dyDescent="0.35">
      <c r="B49">
        <f>'Plan Comptable'!B49</f>
        <v>2113</v>
      </c>
      <c r="C49" t="str">
        <f>'Plan Comptable'!C49</f>
        <v>Concessions</v>
      </c>
      <c r="D49" s="78">
        <f>SUMIF(Journal!$G:$G,B49,Journal!$J:$J)</f>
        <v>0</v>
      </c>
      <c r="E49" s="78">
        <f>SUMIF(Journal!$G:$G,B49,Journal!$K:$K)</f>
        <v>0</v>
      </c>
      <c r="F49" s="78">
        <f>'Balance N-1'!F49-'Balance N-1'!G49</f>
        <v>0</v>
      </c>
      <c r="G49" s="78">
        <f t="shared" si="0"/>
        <v>0</v>
      </c>
      <c r="H49" s="78">
        <f t="shared" si="1"/>
        <v>0</v>
      </c>
      <c r="I49" s="78">
        <f t="shared" si="2"/>
        <v>0</v>
      </c>
    </row>
    <row r="50" spans="2:9" x14ac:dyDescent="0.35">
      <c r="B50">
        <f>'Plan Comptable'!B50</f>
        <v>2121</v>
      </c>
      <c r="C50" t="str">
        <f>'Plan Comptable'!C50</f>
        <v>Logiciels</v>
      </c>
      <c r="D50" s="78">
        <f>SUMIF(Journal!$G:$G,B50,Journal!$J:$J)</f>
        <v>0</v>
      </c>
      <c r="E50" s="78">
        <f>SUMIF(Journal!$G:$G,B50,Journal!$K:$K)</f>
        <v>0</v>
      </c>
      <c r="F50" s="78">
        <f>'Balance N-1'!F50-'Balance N-1'!G50</f>
        <v>0</v>
      </c>
      <c r="G50" s="78">
        <f t="shared" si="0"/>
        <v>0</v>
      </c>
      <c r="H50" s="78">
        <f t="shared" si="1"/>
        <v>0</v>
      </c>
      <c r="I50" s="78">
        <f t="shared" si="2"/>
        <v>0</v>
      </c>
    </row>
    <row r="51" spans="2:9" x14ac:dyDescent="0.35">
      <c r="B51">
        <f>'Plan Comptable'!B51</f>
        <v>2122</v>
      </c>
      <c r="C51" t="str">
        <f>'Plan Comptable'!C51</f>
        <v>Sites internet</v>
      </c>
      <c r="D51" s="78">
        <f>SUMIF(Journal!$G:$G,B51,Journal!$J:$J)</f>
        <v>0</v>
      </c>
      <c r="E51" s="78">
        <f>SUMIF(Journal!$G:$G,B51,Journal!$K:$K)</f>
        <v>0</v>
      </c>
      <c r="F51" s="78">
        <f>'Balance N-1'!F51-'Balance N-1'!G51</f>
        <v>0</v>
      </c>
      <c r="G51" s="78">
        <f t="shared" si="0"/>
        <v>0</v>
      </c>
      <c r="H51" s="78">
        <f t="shared" si="1"/>
        <v>0</v>
      </c>
      <c r="I51" s="78">
        <f t="shared" si="2"/>
        <v>0</v>
      </c>
    </row>
    <row r="52" spans="2:9" x14ac:dyDescent="0.35">
      <c r="B52">
        <f>'Plan Comptable'!B52</f>
        <v>2131</v>
      </c>
      <c r="C52" t="str">
        <f>'Plan Comptable'!C52</f>
        <v>Fonds commercial</v>
      </c>
      <c r="D52" s="78">
        <f>SUMIF(Journal!$G:$G,B52,Journal!$J:$J)</f>
        <v>0</v>
      </c>
      <c r="E52" s="78">
        <f>SUMIF(Journal!$G:$G,B52,Journal!$K:$K)</f>
        <v>0</v>
      </c>
      <c r="F52" s="78">
        <f>'Balance N-1'!F52-'Balance N-1'!G52</f>
        <v>0</v>
      </c>
      <c r="G52" s="78">
        <f t="shared" si="0"/>
        <v>0</v>
      </c>
      <c r="H52" s="78">
        <f t="shared" si="1"/>
        <v>0</v>
      </c>
      <c r="I52" s="78">
        <f t="shared" si="2"/>
        <v>0</v>
      </c>
    </row>
    <row r="53" spans="2:9" x14ac:dyDescent="0.35">
      <c r="B53">
        <f>'Plan Comptable'!B53</f>
        <v>2132</v>
      </c>
      <c r="C53" t="str">
        <f>'Plan Comptable'!C53</f>
        <v>Droit au bail</v>
      </c>
      <c r="D53" s="78">
        <f>SUMIF(Journal!$G:$G,B53,Journal!$J:$J)</f>
        <v>0</v>
      </c>
      <c r="E53" s="78">
        <f>SUMIF(Journal!$G:$G,B53,Journal!$K:$K)</f>
        <v>0</v>
      </c>
      <c r="F53" s="78">
        <f>'Balance N-1'!F53-'Balance N-1'!G53</f>
        <v>0</v>
      </c>
      <c r="G53" s="78">
        <f t="shared" si="0"/>
        <v>0</v>
      </c>
      <c r="H53" s="78">
        <f t="shared" si="1"/>
        <v>0</v>
      </c>
      <c r="I53" s="78">
        <f t="shared" si="2"/>
        <v>0</v>
      </c>
    </row>
    <row r="54" spans="2:9" x14ac:dyDescent="0.35">
      <c r="B54">
        <f>'Plan Comptable'!B54</f>
        <v>2140</v>
      </c>
      <c r="C54" t="str">
        <f>'Plan Comptable'!C54</f>
        <v>Marques</v>
      </c>
      <c r="D54" s="78">
        <f>SUMIF(Journal!$G:$G,B54,Journal!$J:$J)</f>
        <v>0</v>
      </c>
      <c r="E54" s="78">
        <f>SUMIF(Journal!$G:$G,B54,Journal!$K:$K)</f>
        <v>0</v>
      </c>
      <c r="F54" s="78">
        <f>'Balance N-1'!F54-'Balance N-1'!G54</f>
        <v>0</v>
      </c>
      <c r="G54" s="78">
        <f t="shared" si="0"/>
        <v>0</v>
      </c>
      <c r="H54" s="78">
        <f t="shared" si="1"/>
        <v>0</v>
      </c>
      <c r="I54" s="78">
        <f t="shared" si="2"/>
        <v>0</v>
      </c>
    </row>
    <row r="55" spans="2:9" x14ac:dyDescent="0.35">
      <c r="B55">
        <f>'Plan Comptable'!B55</f>
        <v>2180</v>
      </c>
      <c r="C55" t="str">
        <f>'Plan Comptable'!C55</f>
        <v>Autres droits incorporels</v>
      </c>
      <c r="D55" s="78">
        <f>SUMIF(Journal!$G:$G,B55,Journal!$J:$J)</f>
        <v>0</v>
      </c>
      <c r="E55" s="78">
        <f>SUMIF(Journal!$G:$G,B55,Journal!$K:$K)</f>
        <v>0</v>
      </c>
      <c r="F55" s="78">
        <f>'Balance N-1'!F55-'Balance N-1'!G55</f>
        <v>0</v>
      </c>
      <c r="G55" s="78">
        <f t="shared" si="0"/>
        <v>0</v>
      </c>
      <c r="H55" s="78">
        <f t="shared" si="1"/>
        <v>0</v>
      </c>
      <c r="I55" s="78">
        <f t="shared" si="2"/>
        <v>0</v>
      </c>
    </row>
    <row r="56" spans="2:9" x14ac:dyDescent="0.35">
      <c r="B56">
        <f>'Plan Comptable'!B56</f>
        <v>2191</v>
      </c>
      <c r="C56" t="str">
        <f>'Plan Comptable'!C56</f>
        <v>Immo incorporelles en cours</v>
      </c>
      <c r="D56" s="78">
        <f>SUMIF(Journal!$G:$G,B56,Journal!$J:$J)</f>
        <v>0</v>
      </c>
      <c r="E56" s="78">
        <f>SUMIF(Journal!$G:$G,B56,Journal!$K:$K)</f>
        <v>0</v>
      </c>
      <c r="F56" s="78">
        <f>'Balance N-1'!F56-'Balance N-1'!G56</f>
        <v>0</v>
      </c>
      <c r="G56" s="78">
        <f t="shared" si="0"/>
        <v>0</v>
      </c>
      <c r="H56" s="78">
        <f t="shared" si="1"/>
        <v>0</v>
      </c>
      <c r="I56" s="78">
        <f t="shared" si="2"/>
        <v>0</v>
      </c>
    </row>
    <row r="57" spans="2:9" x14ac:dyDescent="0.35">
      <c r="B57">
        <f>'Plan Comptable'!B57</f>
        <v>2193</v>
      </c>
      <c r="C57" t="str">
        <f>'Plan Comptable'!C57</f>
        <v>Avances immo incorporelles</v>
      </c>
      <c r="D57" s="78">
        <f>SUMIF(Journal!$G:$G,B57,Journal!$J:$J)</f>
        <v>0</v>
      </c>
      <c r="E57" s="78">
        <f>SUMIF(Journal!$G:$G,B57,Journal!$K:$K)</f>
        <v>0</v>
      </c>
      <c r="F57" s="78">
        <f>'Balance N-1'!F57-'Balance N-1'!G57</f>
        <v>0</v>
      </c>
      <c r="G57" s="78">
        <f t="shared" si="0"/>
        <v>0</v>
      </c>
      <c r="H57" s="78">
        <f t="shared" si="1"/>
        <v>0</v>
      </c>
      <c r="I57" s="78">
        <f t="shared" si="2"/>
        <v>0</v>
      </c>
    </row>
    <row r="58" spans="2:9" x14ac:dyDescent="0.35">
      <c r="B58">
        <f>'Plan Comptable'!B58</f>
        <v>2211</v>
      </c>
      <c r="C58" t="str">
        <f>'Plan Comptable'!C58</f>
        <v>Terrains agricoles</v>
      </c>
      <c r="D58" s="78">
        <f>SUMIF(Journal!$G:$G,B58,Journal!$J:$J)</f>
        <v>0</v>
      </c>
      <c r="E58" s="78">
        <f>SUMIF(Journal!$G:$G,B58,Journal!$K:$K)</f>
        <v>0</v>
      </c>
      <c r="F58" s="78">
        <f>'Balance N-1'!F58-'Balance N-1'!G58</f>
        <v>0</v>
      </c>
      <c r="G58" s="78">
        <f t="shared" si="0"/>
        <v>0</v>
      </c>
      <c r="H58" s="78">
        <f t="shared" si="1"/>
        <v>0</v>
      </c>
      <c r="I58" s="78">
        <f t="shared" si="2"/>
        <v>0</v>
      </c>
    </row>
    <row r="59" spans="2:9" x14ac:dyDescent="0.35">
      <c r="B59">
        <f>'Plan Comptable'!B59</f>
        <v>2212</v>
      </c>
      <c r="C59" t="str">
        <f>'Plan Comptable'!C59</f>
        <v>Terrains nus</v>
      </c>
      <c r="D59" s="78">
        <f>SUMIF(Journal!$G:$G,B59,Journal!$J:$J)</f>
        <v>0</v>
      </c>
      <c r="E59" s="78">
        <f>SUMIF(Journal!$G:$G,B59,Journal!$K:$K)</f>
        <v>0</v>
      </c>
      <c r="F59" s="78">
        <f>'Balance N-1'!F59-'Balance N-1'!G59</f>
        <v>0</v>
      </c>
      <c r="G59" s="78">
        <f t="shared" si="0"/>
        <v>0</v>
      </c>
      <c r="H59" s="78">
        <f t="shared" si="1"/>
        <v>0</v>
      </c>
      <c r="I59" s="78">
        <f t="shared" si="2"/>
        <v>0</v>
      </c>
    </row>
    <row r="60" spans="2:9" x14ac:dyDescent="0.35">
      <c r="B60">
        <f>'Plan Comptable'!B60</f>
        <v>2213</v>
      </c>
      <c r="C60" t="str">
        <f>'Plan Comptable'!C60</f>
        <v>Terrains bâtis</v>
      </c>
      <c r="D60" s="78">
        <f>SUMIF(Journal!$G:$G,B60,Journal!$J:$J)</f>
        <v>0</v>
      </c>
      <c r="E60" s="78">
        <f>SUMIF(Journal!$G:$G,B60,Journal!$K:$K)</f>
        <v>0</v>
      </c>
      <c r="F60" s="78">
        <f>'Balance N-1'!F60-'Balance N-1'!G60</f>
        <v>0</v>
      </c>
      <c r="G60" s="78">
        <f t="shared" si="0"/>
        <v>0</v>
      </c>
      <c r="H60" s="78">
        <f t="shared" si="1"/>
        <v>0</v>
      </c>
      <c r="I60" s="78">
        <f t="shared" si="2"/>
        <v>0</v>
      </c>
    </row>
    <row r="61" spans="2:9" x14ac:dyDescent="0.35">
      <c r="B61">
        <f>'Plan Comptable'!B61</f>
        <v>2214</v>
      </c>
      <c r="C61" t="str">
        <f>'Plan Comptable'!C61</f>
        <v>Terrains de gisement</v>
      </c>
      <c r="D61" s="78">
        <f>SUMIF(Journal!$G:$G,B61,Journal!$J:$J)</f>
        <v>0</v>
      </c>
      <c r="E61" s="78">
        <f>SUMIF(Journal!$G:$G,B61,Journal!$K:$K)</f>
        <v>0</v>
      </c>
      <c r="F61" s="78">
        <f>'Balance N-1'!F61-'Balance N-1'!G61</f>
        <v>0</v>
      </c>
      <c r="G61" s="78">
        <f t="shared" si="0"/>
        <v>0</v>
      </c>
      <c r="H61" s="78">
        <f t="shared" si="1"/>
        <v>0</v>
      </c>
      <c r="I61" s="78">
        <f t="shared" si="2"/>
        <v>0</v>
      </c>
    </row>
    <row r="62" spans="2:9" x14ac:dyDescent="0.35">
      <c r="B62">
        <f>'Plan Comptable'!B62</f>
        <v>2218</v>
      </c>
      <c r="C62" t="str">
        <f>'Plan Comptable'!C62</f>
        <v>Autres terrains</v>
      </c>
      <c r="D62" s="78">
        <f>SUMIF(Journal!$G:$G,B62,Journal!$J:$J)</f>
        <v>0</v>
      </c>
      <c r="E62" s="78">
        <f>SUMIF(Journal!$G:$G,B62,Journal!$K:$K)</f>
        <v>0</v>
      </c>
      <c r="F62" s="78">
        <f>'Balance N-1'!F62-'Balance N-1'!G62</f>
        <v>0</v>
      </c>
      <c r="G62" s="78">
        <f t="shared" si="0"/>
        <v>0</v>
      </c>
      <c r="H62" s="78">
        <f t="shared" si="1"/>
        <v>0</v>
      </c>
      <c r="I62" s="78">
        <f t="shared" si="2"/>
        <v>0</v>
      </c>
    </row>
    <row r="63" spans="2:9" x14ac:dyDescent="0.35">
      <c r="B63">
        <f>'Plan Comptable'!B63</f>
        <v>2220</v>
      </c>
      <c r="C63" t="str">
        <f>'Plan Comptable'!C63</f>
        <v>Agencements terrains</v>
      </c>
      <c r="D63" s="78">
        <f>SUMIF(Journal!$G:$G,B63,Journal!$J:$J)</f>
        <v>0</v>
      </c>
      <c r="E63" s="78">
        <f>SUMIF(Journal!$G:$G,B63,Journal!$K:$K)</f>
        <v>0</v>
      </c>
      <c r="F63" s="78">
        <f>'Balance N-1'!F63-'Balance N-1'!G63</f>
        <v>0</v>
      </c>
      <c r="G63" s="78">
        <f t="shared" si="0"/>
        <v>0</v>
      </c>
      <c r="H63" s="78">
        <f t="shared" si="1"/>
        <v>0</v>
      </c>
      <c r="I63" s="78">
        <f t="shared" si="2"/>
        <v>0</v>
      </c>
    </row>
    <row r="64" spans="2:9" x14ac:dyDescent="0.35">
      <c r="B64">
        <f>'Plan Comptable'!B64</f>
        <v>2311</v>
      </c>
      <c r="C64" t="str">
        <f>'Plan Comptable'!C64</f>
        <v>Bâtiments industriels</v>
      </c>
      <c r="D64" s="78">
        <f>SUMIF(Journal!$G:$G,B64,Journal!$J:$J)</f>
        <v>0</v>
      </c>
      <c r="E64" s="78">
        <f>SUMIF(Journal!$G:$G,B64,Journal!$K:$K)</f>
        <v>0</v>
      </c>
      <c r="F64" s="78">
        <f>'Balance N-1'!F64-'Balance N-1'!G64</f>
        <v>0</v>
      </c>
      <c r="G64" s="78">
        <f t="shared" si="0"/>
        <v>0</v>
      </c>
      <c r="H64" s="78">
        <f t="shared" si="1"/>
        <v>0</v>
      </c>
      <c r="I64" s="78">
        <f t="shared" si="2"/>
        <v>0</v>
      </c>
    </row>
    <row r="65" spans="2:9" x14ac:dyDescent="0.35">
      <c r="B65">
        <f>'Plan Comptable'!B65</f>
        <v>2312</v>
      </c>
      <c r="C65" t="str">
        <f>'Plan Comptable'!C65</f>
        <v>Bâtiments agricoles</v>
      </c>
      <c r="D65" s="78">
        <f>SUMIF(Journal!$G:$G,B65,Journal!$J:$J)</f>
        <v>0</v>
      </c>
      <c r="E65" s="78">
        <f>SUMIF(Journal!$G:$G,B65,Journal!$K:$K)</f>
        <v>0</v>
      </c>
      <c r="F65" s="78">
        <f>'Balance N-1'!F65-'Balance N-1'!G65</f>
        <v>0</v>
      </c>
      <c r="G65" s="78">
        <f t="shared" si="0"/>
        <v>0</v>
      </c>
      <c r="H65" s="78">
        <f t="shared" si="1"/>
        <v>0</v>
      </c>
      <c r="I65" s="78">
        <f t="shared" si="2"/>
        <v>0</v>
      </c>
    </row>
    <row r="66" spans="2:9" x14ac:dyDescent="0.35">
      <c r="B66">
        <f>'Plan Comptable'!B66</f>
        <v>2313</v>
      </c>
      <c r="C66" t="str">
        <f>'Plan Comptable'!C66</f>
        <v>Bâtiments administratifs</v>
      </c>
      <c r="D66" s="78">
        <f>SUMIF(Journal!$G:$G,B66,Journal!$J:$J)</f>
        <v>0</v>
      </c>
      <c r="E66" s="78">
        <f>SUMIF(Journal!$G:$G,B66,Journal!$K:$K)</f>
        <v>0</v>
      </c>
      <c r="F66" s="78">
        <f>'Balance N-1'!F66-'Balance N-1'!G66</f>
        <v>0</v>
      </c>
      <c r="G66" s="78">
        <f t="shared" si="0"/>
        <v>0</v>
      </c>
      <c r="H66" s="78">
        <f t="shared" si="1"/>
        <v>0</v>
      </c>
      <c r="I66" s="78">
        <f t="shared" si="2"/>
        <v>0</v>
      </c>
    </row>
    <row r="67" spans="2:9" x14ac:dyDescent="0.35">
      <c r="B67">
        <f>'Plan Comptable'!B67</f>
        <v>2315</v>
      </c>
      <c r="C67" t="str">
        <f>'Plan Comptable'!C67</f>
        <v>Bâtiments sociaux</v>
      </c>
      <c r="D67" s="78">
        <f>SUMIF(Journal!$G:$G,B67,Journal!$J:$J)</f>
        <v>0</v>
      </c>
      <c r="E67" s="78">
        <f>SUMIF(Journal!$G:$G,B67,Journal!$K:$K)</f>
        <v>0</v>
      </c>
      <c r="F67" s="78">
        <f>'Balance N-1'!F67-'Balance N-1'!G67</f>
        <v>0</v>
      </c>
      <c r="G67" s="78">
        <f t="shared" si="0"/>
        <v>0</v>
      </c>
      <c r="H67" s="78">
        <f t="shared" si="1"/>
        <v>0</v>
      </c>
      <c r="I67" s="78">
        <f t="shared" si="2"/>
        <v>0</v>
      </c>
    </row>
    <row r="68" spans="2:9" x14ac:dyDescent="0.35">
      <c r="B68">
        <f>'Plan Comptable'!B68</f>
        <v>2318</v>
      </c>
      <c r="C68" t="str">
        <f>'Plan Comptable'!C68</f>
        <v>Autres bâtiments</v>
      </c>
      <c r="D68" s="78">
        <f>SUMIF(Journal!$G:$G,B68,Journal!$J:$J)</f>
        <v>0</v>
      </c>
      <c r="E68" s="78">
        <f>SUMIF(Journal!$G:$G,B68,Journal!$K:$K)</f>
        <v>0</v>
      </c>
      <c r="F68" s="78">
        <f>'Balance N-1'!F68-'Balance N-1'!G68</f>
        <v>0</v>
      </c>
      <c r="G68" s="78">
        <f t="shared" si="0"/>
        <v>0</v>
      </c>
      <c r="H68" s="78">
        <f t="shared" si="1"/>
        <v>0</v>
      </c>
      <c r="I68" s="78">
        <f t="shared" si="2"/>
        <v>0</v>
      </c>
    </row>
    <row r="69" spans="2:9" x14ac:dyDescent="0.35">
      <c r="B69">
        <f>'Plan Comptable'!B69</f>
        <v>2321</v>
      </c>
      <c r="C69" t="str">
        <f>'Plan Comptable'!C69</f>
        <v>Constructions légères</v>
      </c>
      <c r="D69" s="78">
        <f>SUMIF(Journal!$G:$G,B69,Journal!$J:$J)</f>
        <v>0</v>
      </c>
      <c r="E69" s="78">
        <f>SUMIF(Journal!$G:$G,B69,Journal!$K:$K)</f>
        <v>0</v>
      </c>
      <c r="F69" s="78">
        <f>'Balance N-1'!F69-'Balance N-1'!G69</f>
        <v>0</v>
      </c>
      <c r="G69" s="78">
        <f t="shared" si="0"/>
        <v>0</v>
      </c>
      <c r="H69" s="78">
        <f t="shared" si="1"/>
        <v>0</v>
      </c>
      <c r="I69" s="78">
        <f t="shared" si="2"/>
        <v>0</v>
      </c>
    </row>
    <row r="70" spans="2:9" x14ac:dyDescent="0.35">
      <c r="B70">
        <f>'Plan Comptable'!B70</f>
        <v>2322</v>
      </c>
      <c r="C70" t="str">
        <f>'Plan Comptable'!C70</f>
        <v>Installations</v>
      </c>
      <c r="D70" s="78">
        <f>SUMIF(Journal!$G:$G,B70,Journal!$J:$J)</f>
        <v>0</v>
      </c>
      <c r="E70" s="78">
        <f>SUMIF(Journal!$G:$G,B70,Journal!$K:$K)</f>
        <v>0</v>
      </c>
      <c r="F70" s="78">
        <f>'Balance N-1'!F70-'Balance N-1'!G70</f>
        <v>0</v>
      </c>
      <c r="G70" s="78">
        <f t="shared" ref="G70:G133" si="3">MAX(F70+D70-E70,0)</f>
        <v>0</v>
      </c>
      <c r="H70" s="78">
        <f t="shared" ref="H70:H133" si="4">MAX(E70-D70-F70,0)</f>
        <v>0</v>
      </c>
      <c r="I70" s="78">
        <f t="shared" ref="I70:I133" si="5">G70-H70</f>
        <v>0</v>
      </c>
    </row>
    <row r="71" spans="2:9" x14ac:dyDescent="0.35">
      <c r="B71">
        <f>'Plan Comptable'!B71</f>
        <v>2323</v>
      </c>
      <c r="C71" t="str">
        <f>'Plan Comptable'!C71</f>
        <v>Agencements bâtiments</v>
      </c>
      <c r="D71" s="78">
        <f>SUMIF(Journal!$G:$G,B71,Journal!$J:$J)</f>
        <v>0</v>
      </c>
      <c r="E71" s="78">
        <f>SUMIF(Journal!$G:$G,B71,Journal!$K:$K)</f>
        <v>0</v>
      </c>
      <c r="F71" s="78">
        <f>'Balance N-1'!F71-'Balance N-1'!G71</f>
        <v>0</v>
      </c>
      <c r="G71" s="78">
        <f t="shared" si="3"/>
        <v>0</v>
      </c>
      <c r="H71" s="78">
        <f t="shared" si="4"/>
        <v>0</v>
      </c>
      <c r="I71" s="78">
        <f t="shared" si="5"/>
        <v>0</v>
      </c>
    </row>
    <row r="72" spans="2:9" x14ac:dyDescent="0.35">
      <c r="B72">
        <f>'Plan Comptable'!B72</f>
        <v>2330</v>
      </c>
      <c r="C72" t="str">
        <f>'Plan Comptable'!C72</f>
        <v>Ouvrages infrastructure</v>
      </c>
      <c r="D72" s="78">
        <f>SUMIF(Journal!$G:$G,B72,Journal!$J:$J)</f>
        <v>0</v>
      </c>
      <c r="E72" s="78">
        <f>SUMIF(Journal!$G:$G,B72,Journal!$K:$K)</f>
        <v>0</v>
      </c>
      <c r="F72" s="78">
        <f>'Balance N-1'!F72-'Balance N-1'!G72</f>
        <v>0</v>
      </c>
      <c r="G72" s="78">
        <f t="shared" si="3"/>
        <v>0</v>
      </c>
      <c r="H72" s="78">
        <f t="shared" si="4"/>
        <v>0</v>
      </c>
      <c r="I72" s="78">
        <f t="shared" si="5"/>
        <v>0</v>
      </c>
    </row>
    <row r="73" spans="2:9" x14ac:dyDescent="0.35">
      <c r="B73">
        <f>'Plan Comptable'!B73</f>
        <v>2391</v>
      </c>
      <c r="C73" t="str">
        <f>'Plan Comptable'!C73</f>
        <v>Bâtiments en cours</v>
      </c>
      <c r="D73" s="78">
        <f>SUMIF(Journal!$G:$G,B73,Journal!$J:$J)</f>
        <v>0</v>
      </c>
      <c r="E73" s="78">
        <f>SUMIF(Journal!$G:$G,B73,Journal!$K:$K)</f>
        <v>0</v>
      </c>
      <c r="F73" s="78">
        <f>'Balance N-1'!F73-'Balance N-1'!G73</f>
        <v>0</v>
      </c>
      <c r="G73" s="78">
        <f t="shared" si="3"/>
        <v>0</v>
      </c>
      <c r="H73" s="78">
        <f t="shared" si="4"/>
        <v>0</v>
      </c>
      <c r="I73" s="78">
        <f t="shared" si="5"/>
        <v>0</v>
      </c>
    </row>
    <row r="74" spans="2:9" x14ac:dyDescent="0.35">
      <c r="B74">
        <f>'Plan Comptable'!B74</f>
        <v>2393</v>
      </c>
      <c r="C74" t="str">
        <f>'Plan Comptable'!C74</f>
        <v>Avances constructions</v>
      </c>
      <c r="D74" s="78">
        <f>SUMIF(Journal!$G:$G,B74,Journal!$J:$J)</f>
        <v>0</v>
      </c>
      <c r="E74" s="78">
        <f>SUMIF(Journal!$G:$G,B74,Journal!$K:$K)</f>
        <v>0</v>
      </c>
      <c r="F74" s="78">
        <f>'Balance N-1'!F74-'Balance N-1'!G74</f>
        <v>0</v>
      </c>
      <c r="G74" s="78">
        <f t="shared" si="3"/>
        <v>0</v>
      </c>
      <c r="H74" s="78">
        <f t="shared" si="4"/>
        <v>0</v>
      </c>
      <c r="I74" s="78">
        <f t="shared" si="5"/>
        <v>0</v>
      </c>
    </row>
    <row r="75" spans="2:9" x14ac:dyDescent="0.35">
      <c r="B75">
        <f>'Plan Comptable'!B75</f>
        <v>2411</v>
      </c>
      <c r="C75" t="str">
        <f>'Plan Comptable'!C75</f>
        <v>Matériel industriel</v>
      </c>
      <c r="D75" s="78">
        <f>SUMIF(Journal!$G:$G,B75,Journal!$J:$J)</f>
        <v>0</v>
      </c>
      <c r="E75" s="78">
        <f>SUMIF(Journal!$G:$G,B75,Journal!$K:$K)</f>
        <v>0</v>
      </c>
      <c r="F75" s="78">
        <f>'Balance N-1'!F75-'Balance N-1'!G75</f>
        <v>0</v>
      </c>
      <c r="G75" s="78">
        <f t="shared" si="3"/>
        <v>0</v>
      </c>
      <c r="H75" s="78">
        <f t="shared" si="4"/>
        <v>0</v>
      </c>
      <c r="I75" s="78">
        <f t="shared" si="5"/>
        <v>0</v>
      </c>
    </row>
    <row r="76" spans="2:9" x14ac:dyDescent="0.35">
      <c r="B76">
        <f>'Plan Comptable'!B76</f>
        <v>2412</v>
      </c>
      <c r="C76" t="str">
        <f>'Plan Comptable'!C76</f>
        <v>Outillage industriel</v>
      </c>
      <c r="D76" s="78">
        <f>SUMIF(Journal!$G:$G,B76,Journal!$J:$J)</f>
        <v>0</v>
      </c>
      <c r="E76" s="78">
        <f>SUMIF(Journal!$G:$G,B76,Journal!$K:$K)</f>
        <v>0</v>
      </c>
      <c r="F76" s="78">
        <f>'Balance N-1'!F76-'Balance N-1'!G76</f>
        <v>0</v>
      </c>
      <c r="G76" s="78">
        <f t="shared" si="3"/>
        <v>0</v>
      </c>
      <c r="H76" s="78">
        <f t="shared" si="4"/>
        <v>0</v>
      </c>
      <c r="I76" s="78">
        <f t="shared" si="5"/>
        <v>0</v>
      </c>
    </row>
    <row r="77" spans="2:9" x14ac:dyDescent="0.35">
      <c r="B77">
        <f>'Plan Comptable'!B77</f>
        <v>2441</v>
      </c>
      <c r="C77" t="str">
        <f>'Plan Comptable'!C77</f>
        <v>Matériel de bureau</v>
      </c>
      <c r="D77" s="78">
        <f>SUMIF(Journal!$G:$G,B77,Journal!$J:$J)</f>
        <v>0</v>
      </c>
      <c r="E77" s="78">
        <f>SUMIF(Journal!$G:$G,B77,Journal!$K:$K)</f>
        <v>0</v>
      </c>
      <c r="F77" s="78">
        <f>'Balance N-1'!F77-'Balance N-1'!G77</f>
        <v>0</v>
      </c>
      <c r="G77" s="78">
        <f t="shared" si="3"/>
        <v>0</v>
      </c>
      <c r="H77" s="78">
        <f t="shared" si="4"/>
        <v>0</v>
      </c>
      <c r="I77" s="78">
        <f t="shared" si="5"/>
        <v>0</v>
      </c>
    </row>
    <row r="78" spans="2:9" x14ac:dyDescent="0.35">
      <c r="B78">
        <f>'Plan Comptable'!B78</f>
        <v>2442</v>
      </c>
      <c r="C78" t="str">
        <f>'Plan Comptable'!C78</f>
        <v>Matériel informatique</v>
      </c>
      <c r="D78" s="78">
        <f>SUMIF(Journal!$G:$G,B78,Journal!$J:$J)</f>
        <v>0</v>
      </c>
      <c r="E78" s="78">
        <f>SUMIF(Journal!$G:$G,B78,Journal!$K:$K)</f>
        <v>0</v>
      </c>
      <c r="F78" s="78">
        <f>'Balance N-1'!F78-'Balance N-1'!G78</f>
        <v>0</v>
      </c>
      <c r="G78" s="78">
        <f t="shared" si="3"/>
        <v>0</v>
      </c>
      <c r="H78" s="78">
        <f t="shared" si="4"/>
        <v>0</v>
      </c>
      <c r="I78" s="78">
        <f t="shared" si="5"/>
        <v>0</v>
      </c>
    </row>
    <row r="79" spans="2:9" x14ac:dyDescent="0.35">
      <c r="B79">
        <f>'Plan Comptable'!B79</f>
        <v>2444</v>
      </c>
      <c r="C79" t="str">
        <f>'Plan Comptable'!C79</f>
        <v>Mobilier de bureau</v>
      </c>
      <c r="D79" s="78">
        <f>SUMIF(Journal!$G:$G,B79,Journal!$J:$J)</f>
        <v>0</v>
      </c>
      <c r="E79" s="78">
        <f>SUMIF(Journal!$G:$G,B79,Journal!$K:$K)</f>
        <v>0</v>
      </c>
      <c r="F79" s="78">
        <f>'Balance N-1'!F79-'Balance N-1'!G79</f>
        <v>0</v>
      </c>
      <c r="G79" s="78">
        <f t="shared" si="3"/>
        <v>0</v>
      </c>
      <c r="H79" s="78">
        <f t="shared" si="4"/>
        <v>0</v>
      </c>
      <c r="I79" s="78">
        <f t="shared" si="5"/>
        <v>0</v>
      </c>
    </row>
    <row r="80" spans="2:9" x14ac:dyDescent="0.35">
      <c r="B80">
        <f>'Plan Comptable'!B80</f>
        <v>2451</v>
      </c>
      <c r="C80" t="str">
        <f>'Plan Comptable'!C80</f>
        <v>Matériel automobile</v>
      </c>
      <c r="D80" s="78">
        <f>SUMIF(Journal!$G:$G,B80,Journal!$J:$J)</f>
        <v>0</v>
      </c>
      <c r="E80" s="78">
        <f>SUMIF(Journal!$G:$G,B80,Journal!$K:$K)</f>
        <v>0</v>
      </c>
      <c r="F80" s="78">
        <f>'Balance N-1'!F80-'Balance N-1'!G80</f>
        <v>0</v>
      </c>
      <c r="G80" s="78">
        <f t="shared" si="3"/>
        <v>0</v>
      </c>
      <c r="H80" s="78">
        <f t="shared" si="4"/>
        <v>0</v>
      </c>
      <c r="I80" s="78">
        <f t="shared" si="5"/>
        <v>0</v>
      </c>
    </row>
    <row r="81" spans="2:9" x14ac:dyDescent="0.35">
      <c r="B81">
        <f>'Plan Comptable'!B81</f>
        <v>2452</v>
      </c>
      <c r="C81" t="str">
        <f>'Plan Comptable'!C81</f>
        <v>Matériel ferroviaire</v>
      </c>
      <c r="D81" s="78">
        <f>SUMIF(Journal!$G:$G,B81,Journal!$J:$J)</f>
        <v>0</v>
      </c>
      <c r="E81" s="78">
        <f>SUMIF(Journal!$G:$G,B81,Journal!$K:$K)</f>
        <v>0</v>
      </c>
      <c r="F81" s="78">
        <f>'Balance N-1'!F81-'Balance N-1'!G81</f>
        <v>0</v>
      </c>
      <c r="G81" s="78">
        <f t="shared" si="3"/>
        <v>0</v>
      </c>
      <c r="H81" s="78">
        <f t="shared" si="4"/>
        <v>0</v>
      </c>
      <c r="I81" s="78">
        <f t="shared" si="5"/>
        <v>0</v>
      </c>
    </row>
    <row r="82" spans="2:9" x14ac:dyDescent="0.35">
      <c r="B82">
        <f>'Plan Comptable'!B82</f>
        <v>2453</v>
      </c>
      <c r="C82" t="str">
        <f>'Plan Comptable'!C82</f>
        <v>Matériel fluvial maritime</v>
      </c>
      <c r="D82" s="78">
        <f>SUMIF(Journal!$G:$G,B82,Journal!$J:$J)</f>
        <v>0</v>
      </c>
      <c r="E82" s="78">
        <f>SUMIF(Journal!$G:$G,B82,Journal!$K:$K)</f>
        <v>0</v>
      </c>
      <c r="F82" s="78">
        <f>'Balance N-1'!F82-'Balance N-1'!G82</f>
        <v>0</v>
      </c>
      <c r="G82" s="78">
        <f t="shared" si="3"/>
        <v>0</v>
      </c>
      <c r="H82" s="78">
        <f t="shared" si="4"/>
        <v>0</v>
      </c>
      <c r="I82" s="78">
        <f t="shared" si="5"/>
        <v>0</v>
      </c>
    </row>
    <row r="83" spans="2:9" x14ac:dyDescent="0.35">
      <c r="B83">
        <f>'Plan Comptable'!B83</f>
        <v>2454</v>
      </c>
      <c r="C83" t="str">
        <f>'Plan Comptable'!C83</f>
        <v>Matériel aérien</v>
      </c>
      <c r="D83" s="78">
        <f>SUMIF(Journal!$G:$G,B83,Journal!$J:$J)</f>
        <v>0</v>
      </c>
      <c r="E83" s="78">
        <f>SUMIF(Journal!$G:$G,B83,Journal!$K:$K)</f>
        <v>0</v>
      </c>
      <c r="F83" s="78">
        <f>'Balance N-1'!F83-'Balance N-1'!G83</f>
        <v>0</v>
      </c>
      <c r="G83" s="78">
        <f t="shared" si="3"/>
        <v>0</v>
      </c>
      <c r="H83" s="78">
        <f t="shared" si="4"/>
        <v>0</v>
      </c>
      <c r="I83" s="78">
        <f t="shared" si="5"/>
        <v>0</v>
      </c>
    </row>
    <row r="84" spans="2:9" x14ac:dyDescent="0.35">
      <c r="B84">
        <f>'Plan Comptable'!B84</f>
        <v>2460</v>
      </c>
      <c r="C84" t="str">
        <f>'Plan Comptable'!C84</f>
        <v>Emballages récupérables</v>
      </c>
      <c r="D84" s="78">
        <f>SUMIF(Journal!$G:$G,B84,Journal!$J:$J)</f>
        <v>0</v>
      </c>
      <c r="E84" s="78">
        <f>SUMIF(Journal!$G:$G,B84,Journal!$K:$K)</f>
        <v>0</v>
      </c>
      <c r="F84" s="78">
        <f>'Balance N-1'!F84-'Balance N-1'!G84</f>
        <v>0</v>
      </c>
      <c r="G84" s="78">
        <f t="shared" si="3"/>
        <v>0</v>
      </c>
      <c r="H84" s="78">
        <f t="shared" si="4"/>
        <v>0</v>
      </c>
      <c r="I84" s="78">
        <f t="shared" si="5"/>
        <v>0</v>
      </c>
    </row>
    <row r="85" spans="2:9" x14ac:dyDescent="0.35">
      <c r="B85">
        <f>'Plan Comptable'!B85</f>
        <v>2480</v>
      </c>
      <c r="C85" t="str">
        <f>'Plan Comptable'!C85</f>
        <v>Autres immo corporelles</v>
      </c>
      <c r="D85" s="78">
        <f>SUMIF(Journal!$G:$G,B85,Journal!$J:$J)</f>
        <v>0</v>
      </c>
      <c r="E85" s="78">
        <f>SUMIF(Journal!$G:$G,B85,Journal!$K:$K)</f>
        <v>0</v>
      </c>
      <c r="F85" s="78">
        <f>'Balance N-1'!F85-'Balance N-1'!G85</f>
        <v>0</v>
      </c>
      <c r="G85" s="78">
        <f t="shared" si="3"/>
        <v>0</v>
      </c>
      <c r="H85" s="78">
        <f t="shared" si="4"/>
        <v>0</v>
      </c>
      <c r="I85" s="78">
        <f t="shared" si="5"/>
        <v>0</v>
      </c>
    </row>
    <row r="86" spans="2:9" x14ac:dyDescent="0.35">
      <c r="B86">
        <f>'Plan Comptable'!B86</f>
        <v>2491</v>
      </c>
      <c r="C86" t="str">
        <f>'Plan Comptable'!C86</f>
        <v>Matériel en cours</v>
      </c>
      <c r="D86" s="78">
        <f>SUMIF(Journal!$G:$G,B86,Journal!$J:$J)</f>
        <v>0</v>
      </c>
      <c r="E86" s="78">
        <f>SUMIF(Journal!$G:$G,B86,Journal!$K:$K)</f>
        <v>0</v>
      </c>
      <c r="F86" s="78">
        <f>'Balance N-1'!F86-'Balance N-1'!G86</f>
        <v>0</v>
      </c>
      <c r="G86" s="78">
        <f t="shared" si="3"/>
        <v>0</v>
      </c>
      <c r="H86" s="78">
        <f t="shared" si="4"/>
        <v>0</v>
      </c>
      <c r="I86" s="78">
        <f t="shared" si="5"/>
        <v>0</v>
      </c>
    </row>
    <row r="87" spans="2:9" x14ac:dyDescent="0.35">
      <c r="B87">
        <f>'Plan Comptable'!B87</f>
        <v>2493</v>
      </c>
      <c r="C87" t="str">
        <f>'Plan Comptable'!C87</f>
        <v>Avances immo corporelles</v>
      </c>
      <c r="D87" s="78">
        <f>SUMIF(Journal!$G:$G,B87,Journal!$J:$J)</f>
        <v>0</v>
      </c>
      <c r="E87" s="78">
        <f>SUMIF(Journal!$G:$G,B87,Journal!$K:$K)</f>
        <v>0</v>
      </c>
      <c r="F87" s="78">
        <f>'Balance N-1'!F87-'Balance N-1'!G87</f>
        <v>0</v>
      </c>
      <c r="G87" s="78">
        <f t="shared" si="3"/>
        <v>0</v>
      </c>
      <c r="H87" s="78">
        <f t="shared" si="4"/>
        <v>0</v>
      </c>
      <c r="I87" s="78">
        <f t="shared" si="5"/>
        <v>0</v>
      </c>
    </row>
    <row r="88" spans="2:9" x14ac:dyDescent="0.35">
      <c r="B88">
        <f>'Plan Comptable'!B88</f>
        <v>2610</v>
      </c>
      <c r="C88" t="str">
        <f>'Plan Comptable'!C88</f>
        <v>Titres participation groupe</v>
      </c>
      <c r="D88" s="78">
        <f>SUMIF(Journal!$G:$G,B88,Journal!$J:$J)</f>
        <v>0</v>
      </c>
      <c r="E88" s="78">
        <f>SUMIF(Journal!$G:$G,B88,Journal!$K:$K)</f>
        <v>0</v>
      </c>
      <c r="F88" s="78">
        <f>'Balance N-1'!F88-'Balance N-1'!G88</f>
        <v>0</v>
      </c>
      <c r="G88" s="78">
        <f t="shared" si="3"/>
        <v>0</v>
      </c>
      <c r="H88" s="78">
        <f t="shared" si="4"/>
        <v>0</v>
      </c>
      <c r="I88" s="78">
        <f t="shared" si="5"/>
        <v>0</v>
      </c>
    </row>
    <row r="89" spans="2:9" x14ac:dyDescent="0.35">
      <c r="B89">
        <f>'Plan Comptable'!B89</f>
        <v>2620</v>
      </c>
      <c r="C89" t="str">
        <f>'Plan Comptable'!C89</f>
        <v>Autres participations</v>
      </c>
      <c r="D89" s="78">
        <f>SUMIF(Journal!$G:$G,B89,Journal!$J:$J)</f>
        <v>0</v>
      </c>
      <c r="E89" s="78">
        <f>SUMIF(Journal!$G:$G,B89,Journal!$K:$K)</f>
        <v>0</v>
      </c>
      <c r="F89" s="78">
        <f>'Balance N-1'!F89-'Balance N-1'!G89</f>
        <v>0</v>
      </c>
      <c r="G89" s="78">
        <f t="shared" si="3"/>
        <v>0</v>
      </c>
      <c r="H89" s="78">
        <f t="shared" si="4"/>
        <v>0</v>
      </c>
      <c r="I89" s="78">
        <f t="shared" si="5"/>
        <v>0</v>
      </c>
    </row>
    <row r="90" spans="2:9" x14ac:dyDescent="0.35">
      <c r="B90">
        <f>'Plan Comptable'!B90</f>
        <v>2710</v>
      </c>
      <c r="C90" t="str">
        <f>'Plan Comptable'!C90</f>
        <v>Prêts au personnel</v>
      </c>
      <c r="D90" s="78">
        <f>SUMIF(Journal!$G:$G,B90,Journal!$J:$J)</f>
        <v>0</v>
      </c>
      <c r="E90" s="78">
        <f>SUMIF(Journal!$G:$G,B90,Journal!$K:$K)</f>
        <v>0</v>
      </c>
      <c r="F90" s="78">
        <f>'Balance N-1'!F90-'Balance N-1'!G90</f>
        <v>0</v>
      </c>
      <c r="G90" s="78">
        <f t="shared" si="3"/>
        <v>0</v>
      </c>
      <c r="H90" s="78">
        <f t="shared" si="4"/>
        <v>0</v>
      </c>
      <c r="I90" s="78">
        <f t="shared" si="5"/>
        <v>0</v>
      </c>
    </row>
    <row r="91" spans="2:9" x14ac:dyDescent="0.35">
      <c r="B91">
        <f>'Plan Comptable'!B91</f>
        <v>2720</v>
      </c>
      <c r="C91" t="str">
        <f>'Plan Comptable'!C91</f>
        <v>Prêts aux associés</v>
      </c>
      <c r="D91" s="78">
        <f>SUMIF(Journal!$G:$G,B91,Journal!$J:$J)</f>
        <v>0</v>
      </c>
      <c r="E91" s="78">
        <f>SUMIF(Journal!$G:$G,B91,Journal!$K:$K)</f>
        <v>0</v>
      </c>
      <c r="F91" s="78">
        <f>'Balance N-1'!F91-'Balance N-1'!G91</f>
        <v>0</v>
      </c>
      <c r="G91" s="78">
        <f t="shared" si="3"/>
        <v>0</v>
      </c>
      <c r="H91" s="78">
        <f t="shared" si="4"/>
        <v>0</v>
      </c>
      <c r="I91" s="78">
        <f t="shared" si="5"/>
        <v>0</v>
      </c>
    </row>
    <row r="92" spans="2:9" x14ac:dyDescent="0.35">
      <c r="B92">
        <f>'Plan Comptable'!B92</f>
        <v>2730</v>
      </c>
      <c r="C92" t="str">
        <f>'Plan Comptable'!C92</f>
        <v>Prêts sociétés groupe</v>
      </c>
      <c r="D92" s="78">
        <f>SUMIF(Journal!$G:$G,B92,Journal!$J:$J)</f>
        <v>0</v>
      </c>
      <c r="E92" s="78">
        <f>SUMIF(Journal!$G:$G,B92,Journal!$K:$K)</f>
        <v>0</v>
      </c>
      <c r="F92" s="78">
        <f>'Balance N-1'!F92-'Balance N-1'!G92</f>
        <v>0</v>
      </c>
      <c r="G92" s="78">
        <f t="shared" si="3"/>
        <v>0</v>
      </c>
      <c r="H92" s="78">
        <f t="shared" si="4"/>
        <v>0</v>
      </c>
      <c r="I92" s="78">
        <f t="shared" si="5"/>
        <v>0</v>
      </c>
    </row>
    <row r="93" spans="2:9" x14ac:dyDescent="0.35">
      <c r="B93">
        <f>'Plan Comptable'!B93</f>
        <v>2750</v>
      </c>
      <c r="C93" t="str">
        <f>'Plan Comptable'!C93</f>
        <v>Dépôts cautionnements versés</v>
      </c>
      <c r="D93" s="78">
        <f>SUMIF(Journal!$G:$G,B93,Journal!$J:$J)</f>
        <v>0</v>
      </c>
      <c r="E93" s="78">
        <f>SUMIF(Journal!$G:$G,B93,Journal!$K:$K)</f>
        <v>0</v>
      </c>
      <c r="F93" s="78">
        <f>'Balance N-1'!F93-'Balance N-1'!G93</f>
        <v>0</v>
      </c>
      <c r="G93" s="78">
        <f t="shared" si="3"/>
        <v>0</v>
      </c>
      <c r="H93" s="78">
        <f t="shared" si="4"/>
        <v>0</v>
      </c>
      <c r="I93" s="78">
        <f t="shared" si="5"/>
        <v>0</v>
      </c>
    </row>
    <row r="94" spans="2:9" x14ac:dyDescent="0.35">
      <c r="B94">
        <f>'Plan Comptable'!B94</f>
        <v>2780</v>
      </c>
      <c r="C94" t="str">
        <f>'Plan Comptable'!C94</f>
        <v>Créances financières diverses</v>
      </c>
      <c r="D94" s="78">
        <f>SUMIF(Journal!$G:$G,B94,Journal!$J:$J)</f>
        <v>0</v>
      </c>
      <c r="E94" s="78">
        <f>SUMIF(Journal!$G:$G,B94,Journal!$K:$K)</f>
        <v>0</v>
      </c>
      <c r="F94" s="78">
        <f>'Balance N-1'!F94-'Balance N-1'!G94</f>
        <v>0</v>
      </c>
      <c r="G94" s="78">
        <f t="shared" si="3"/>
        <v>0</v>
      </c>
      <c r="H94" s="78">
        <f t="shared" si="4"/>
        <v>0</v>
      </c>
      <c r="I94" s="78">
        <f t="shared" si="5"/>
        <v>0</v>
      </c>
    </row>
    <row r="95" spans="2:9" x14ac:dyDescent="0.35">
      <c r="B95">
        <f>'Plan Comptable'!B95</f>
        <v>2811</v>
      </c>
      <c r="C95" t="str">
        <f>'Plan Comptable'!C95</f>
        <v>Amort frais constitution</v>
      </c>
      <c r="D95" s="78">
        <f>SUMIF(Journal!$G:$G,B95,Journal!$J:$J)</f>
        <v>0</v>
      </c>
      <c r="E95" s="78">
        <f>SUMIF(Journal!$G:$G,B95,Journal!$K:$K)</f>
        <v>0</v>
      </c>
      <c r="F95" s="78">
        <f>'Balance N-1'!F95-'Balance N-1'!G95</f>
        <v>0</v>
      </c>
      <c r="G95" s="78">
        <f t="shared" si="3"/>
        <v>0</v>
      </c>
      <c r="H95" s="78">
        <f t="shared" si="4"/>
        <v>0</v>
      </c>
      <c r="I95" s="78">
        <f t="shared" si="5"/>
        <v>0</v>
      </c>
    </row>
    <row r="96" spans="2:9" x14ac:dyDescent="0.35">
      <c r="B96">
        <f>'Plan Comptable'!B96</f>
        <v>2812</v>
      </c>
      <c r="C96" t="str">
        <f>'Plan Comptable'!C96</f>
        <v>Amort frais prospection</v>
      </c>
      <c r="D96" s="78">
        <f>SUMIF(Journal!$G:$G,B96,Journal!$J:$J)</f>
        <v>0</v>
      </c>
      <c r="E96" s="78">
        <f>SUMIF(Journal!$G:$G,B96,Journal!$K:$K)</f>
        <v>0</v>
      </c>
      <c r="F96" s="78">
        <f>'Balance N-1'!F96-'Balance N-1'!G96</f>
        <v>0</v>
      </c>
      <c r="G96" s="78">
        <f t="shared" si="3"/>
        <v>0</v>
      </c>
      <c r="H96" s="78">
        <f t="shared" si="4"/>
        <v>0</v>
      </c>
      <c r="I96" s="78">
        <f t="shared" si="5"/>
        <v>0</v>
      </c>
    </row>
    <row r="97" spans="2:9" x14ac:dyDescent="0.35">
      <c r="B97">
        <f>'Plan Comptable'!B97</f>
        <v>2817</v>
      </c>
      <c r="C97" t="str">
        <f>'Plan Comptable'!C97</f>
        <v>Amort frais restructuration</v>
      </c>
      <c r="D97" s="78">
        <f>SUMIF(Journal!$G:$G,B97,Journal!$J:$J)</f>
        <v>0</v>
      </c>
      <c r="E97" s="78">
        <f>SUMIF(Journal!$G:$G,B97,Journal!$K:$K)</f>
        <v>0</v>
      </c>
      <c r="F97" s="78">
        <f>'Balance N-1'!F97-'Balance N-1'!G97</f>
        <v>0</v>
      </c>
      <c r="G97" s="78">
        <f t="shared" si="3"/>
        <v>0</v>
      </c>
      <c r="H97" s="78">
        <f t="shared" si="4"/>
        <v>0</v>
      </c>
      <c r="I97" s="78">
        <f t="shared" si="5"/>
        <v>0</v>
      </c>
    </row>
    <row r="98" spans="2:9" x14ac:dyDescent="0.35">
      <c r="B98">
        <f>'Plan Comptable'!B98</f>
        <v>2821</v>
      </c>
      <c r="C98" t="str">
        <f>'Plan Comptable'!C98</f>
        <v>Amort frais R&amp;D</v>
      </c>
      <c r="D98" s="78">
        <f>SUMIF(Journal!$G:$G,B98,Journal!$J:$J)</f>
        <v>0</v>
      </c>
      <c r="E98" s="78">
        <f>SUMIF(Journal!$G:$G,B98,Journal!$K:$K)</f>
        <v>0</v>
      </c>
      <c r="F98" s="78">
        <f>'Balance N-1'!F98-'Balance N-1'!G98</f>
        <v>0</v>
      </c>
      <c r="G98" s="78">
        <f t="shared" si="3"/>
        <v>0</v>
      </c>
      <c r="H98" s="78">
        <f t="shared" si="4"/>
        <v>0</v>
      </c>
      <c r="I98" s="78">
        <f t="shared" si="5"/>
        <v>0</v>
      </c>
    </row>
    <row r="99" spans="2:9" x14ac:dyDescent="0.35">
      <c r="B99">
        <f>'Plan Comptable'!B99</f>
        <v>2831</v>
      </c>
      <c r="C99" t="str">
        <f>'Plan Comptable'!C99</f>
        <v>Amort brevets</v>
      </c>
      <c r="D99" s="78">
        <f>SUMIF(Journal!$G:$G,B99,Journal!$J:$J)</f>
        <v>0</v>
      </c>
      <c r="E99" s="78">
        <f>SUMIF(Journal!$G:$G,B99,Journal!$K:$K)</f>
        <v>0</v>
      </c>
      <c r="F99" s="78">
        <f>'Balance N-1'!F99-'Balance N-1'!G99</f>
        <v>0</v>
      </c>
      <c r="G99" s="78">
        <f t="shared" si="3"/>
        <v>0</v>
      </c>
      <c r="H99" s="78">
        <f t="shared" si="4"/>
        <v>0</v>
      </c>
      <c r="I99" s="78">
        <f t="shared" si="5"/>
        <v>0</v>
      </c>
    </row>
    <row r="100" spans="2:9" x14ac:dyDescent="0.35">
      <c r="B100">
        <f>'Plan Comptable'!B100</f>
        <v>2833</v>
      </c>
      <c r="C100" t="str">
        <f>'Plan Comptable'!C100</f>
        <v>Amort logiciels</v>
      </c>
      <c r="D100" s="78">
        <f>SUMIF(Journal!$G:$G,B100,Journal!$J:$J)</f>
        <v>0</v>
      </c>
      <c r="E100" s="78">
        <f>SUMIF(Journal!$G:$G,B100,Journal!$K:$K)</f>
        <v>0</v>
      </c>
      <c r="F100" s="78">
        <f>'Balance N-1'!F100-'Balance N-1'!G100</f>
        <v>0</v>
      </c>
      <c r="G100" s="78">
        <f t="shared" si="3"/>
        <v>0</v>
      </c>
      <c r="H100" s="78">
        <f t="shared" si="4"/>
        <v>0</v>
      </c>
      <c r="I100" s="78">
        <f t="shared" si="5"/>
        <v>0</v>
      </c>
    </row>
    <row r="101" spans="2:9" x14ac:dyDescent="0.35">
      <c r="B101">
        <f>'Plan Comptable'!B101</f>
        <v>2835</v>
      </c>
      <c r="C101" t="str">
        <f>'Plan Comptable'!C101</f>
        <v>Amort fonds commercial</v>
      </c>
      <c r="D101" s="78">
        <f>SUMIF(Journal!$G:$G,B101,Journal!$J:$J)</f>
        <v>0</v>
      </c>
      <c r="E101" s="78">
        <f>SUMIF(Journal!$G:$G,B101,Journal!$K:$K)</f>
        <v>0</v>
      </c>
      <c r="F101" s="78">
        <f>'Balance N-1'!F101-'Balance N-1'!G101</f>
        <v>0</v>
      </c>
      <c r="G101" s="78">
        <f t="shared" si="3"/>
        <v>0</v>
      </c>
      <c r="H101" s="78">
        <f t="shared" si="4"/>
        <v>0</v>
      </c>
      <c r="I101" s="78">
        <f t="shared" si="5"/>
        <v>0</v>
      </c>
    </row>
    <row r="102" spans="2:9" x14ac:dyDescent="0.35">
      <c r="B102">
        <f>'Plan Comptable'!B102</f>
        <v>2841</v>
      </c>
      <c r="C102" t="str">
        <f>'Plan Comptable'!C102</f>
        <v>Amort terrains gisement</v>
      </c>
      <c r="D102" s="78">
        <f>SUMIF(Journal!$G:$G,B102,Journal!$J:$J)</f>
        <v>0</v>
      </c>
      <c r="E102" s="78">
        <f>SUMIF(Journal!$G:$G,B102,Journal!$K:$K)</f>
        <v>0</v>
      </c>
      <c r="F102" s="78">
        <f>'Balance N-1'!F102-'Balance N-1'!G102</f>
        <v>0</v>
      </c>
      <c r="G102" s="78">
        <f t="shared" si="3"/>
        <v>0</v>
      </c>
      <c r="H102" s="78">
        <f t="shared" si="4"/>
        <v>0</v>
      </c>
      <c r="I102" s="78">
        <f t="shared" si="5"/>
        <v>0</v>
      </c>
    </row>
    <row r="103" spans="2:9" x14ac:dyDescent="0.35">
      <c r="B103">
        <f>'Plan Comptable'!B103</f>
        <v>2842</v>
      </c>
      <c r="C103" t="str">
        <f>'Plan Comptable'!C103</f>
        <v>Amort agencements terrains</v>
      </c>
      <c r="D103" s="78">
        <f>SUMIF(Journal!$G:$G,B103,Journal!$J:$J)</f>
        <v>0</v>
      </c>
      <c r="E103" s="78">
        <f>SUMIF(Journal!$G:$G,B103,Journal!$K:$K)</f>
        <v>0</v>
      </c>
      <c r="F103" s="78">
        <f>'Balance N-1'!F103-'Balance N-1'!G103</f>
        <v>0</v>
      </c>
      <c r="G103" s="78">
        <f t="shared" si="3"/>
        <v>0</v>
      </c>
      <c r="H103" s="78">
        <f t="shared" si="4"/>
        <v>0</v>
      </c>
      <c r="I103" s="78">
        <f t="shared" si="5"/>
        <v>0</v>
      </c>
    </row>
    <row r="104" spans="2:9" x14ac:dyDescent="0.35">
      <c r="B104">
        <f>'Plan Comptable'!B104</f>
        <v>2851</v>
      </c>
      <c r="C104" t="str">
        <f>'Plan Comptable'!C104</f>
        <v>Amort bâtiments</v>
      </c>
      <c r="D104" s="78">
        <f>SUMIF(Journal!$G:$G,B104,Journal!$J:$J)</f>
        <v>0</v>
      </c>
      <c r="E104" s="78">
        <f>SUMIF(Journal!$G:$G,B104,Journal!$K:$K)</f>
        <v>0</v>
      </c>
      <c r="F104" s="78">
        <f>'Balance N-1'!F104-'Balance N-1'!G104</f>
        <v>0</v>
      </c>
      <c r="G104" s="78">
        <f t="shared" si="3"/>
        <v>0</v>
      </c>
      <c r="H104" s="78">
        <f t="shared" si="4"/>
        <v>0</v>
      </c>
      <c r="I104" s="78">
        <f t="shared" si="5"/>
        <v>0</v>
      </c>
    </row>
    <row r="105" spans="2:9" x14ac:dyDescent="0.35">
      <c r="B105">
        <f>'Plan Comptable'!B105</f>
        <v>2861</v>
      </c>
      <c r="C105" t="str">
        <f>'Plan Comptable'!C105</f>
        <v>Amort matériel outillage</v>
      </c>
      <c r="D105" s="78">
        <f>SUMIF(Journal!$G:$G,B105,Journal!$J:$J)</f>
        <v>0</v>
      </c>
      <c r="E105" s="78">
        <f>SUMIF(Journal!$G:$G,B105,Journal!$K:$K)</f>
        <v>0</v>
      </c>
      <c r="F105" s="78">
        <f>'Balance N-1'!F105-'Balance N-1'!G105</f>
        <v>0</v>
      </c>
      <c r="G105" s="78">
        <f t="shared" si="3"/>
        <v>0</v>
      </c>
      <c r="H105" s="78">
        <f t="shared" si="4"/>
        <v>0</v>
      </c>
      <c r="I105" s="78">
        <f t="shared" si="5"/>
        <v>0</v>
      </c>
    </row>
    <row r="106" spans="2:9" x14ac:dyDescent="0.35">
      <c r="B106">
        <f>'Plan Comptable'!B106</f>
        <v>2865</v>
      </c>
      <c r="C106" t="str">
        <f>'Plan Comptable'!C106</f>
        <v>Amort matériel transport</v>
      </c>
      <c r="D106" s="78">
        <f>SUMIF(Journal!$G:$G,B106,Journal!$J:$J)</f>
        <v>0</v>
      </c>
      <c r="E106" s="78">
        <f>SUMIF(Journal!$G:$G,B106,Journal!$K:$K)</f>
        <v>0</v>
      </c>
      <c r="F106" s="78">
        <f>'Balance N-1'!F106-'Balance N-1'!G106</f>
        <v>0</v>
      </c>
      <c r="G106" s="78">
        <f t="shared" si="3"/>
        <v>0</v>
      </c>
      <c r="H106" s="78">
        <f t="shared" si="4"/>
        <v>0</v>
      </c>
      <c r="I106" s="78">
        <f t="shared" si="5"/>
        <v>0</v>
      </c>
    </row>
    <row r="107" spans="2:9" x14ac:dyDescent="0.35">
      <c r="B107">
        <f>'Plan Comptable'!B107</f>
        <v>2866</v>
      </c>
      <c r="C107" t="str">
        <f>'Plan Comptable'!C107</f>
        <v>Amort mobilier bureau</v>
      </c>
      <c r="D107" s="78">
        <f>SUMIF(Journal!$G:$G,B107,Journal!$J:$J)</f>
        <v>0</v>
      </c>
      <c r="E107" s="78">
        <f>SUMIF(Journal!$G:$G,B107,Journal!$K:$K)</f>
        <v>0</v>
      </c>
      <c r="F107" s="78">
        <f>'Balance N-1'!F107-'Balance N-1'!G107</f>
        <v>0</v>
      </c>
      <c r="G107" s="78">
        <f t="shared" si="3"/>
        <v>0</v>
      </c>
      <c r="H107" s="78">
        <f t="shared" si="4"/>
        <v>0</v>
      </c>
      <c r="I107" s="78">
        <f t="shared" si="5"/>
        <v>0</v>
      </c>
    </row>
    <row r="108" spans="2:9" x14ac:dyDescent="0.35">
      <c r="B108">
        <f>'Plan Comptable'!B108</f>
        <v>2910</v>
      </c>
      <c r="C108" t="str">
        <f>'Plan Comptable'!C108</f>
        <v>Prov dépréciation charges immo</v>
      </c>
      <c r="D108" s="78">
        <f>SUMIF(Journal!$G:$G,B108,Journal!$J:$J)</f>
        <v>0</v>
      </c>
      <c r="E108" s="78">
        <f>SUMIF(Journal!$G:$G,B108,Journal!$K:$K)</f>
        <v>0</v>
      </c>
      <c r="F108" s="78">
        <f>'Balance N-1'!F108-'Balance N-1'!G108</f>
        <v>0</v>
      </c>
      <c r="G108" s="78">
        <f t="shared" si="3"/>
        <v>0</v>
      </c>
      <c r="H108" s="78">
        <f t="shared" si="4"/>
        <v>0</v>
      </c>
      <c r="I108" s="78">
        <f t="shared" si="5"/>
        <v>0</v>
      </c>
    </row>
    <row r="109" spans="2:9" x14ac:dyDescent="0.35">
      <c r="B109">
        <f>'Plan Comptable'!B109</f>
        <v>2931</v>
      </c>
      <c r="C109" t="str">
        <f>'Plan Comptable'!C109</f>
        <v>Prov dépréciation brevets</v>
      </c>
      <c r="D109" s="78">
        <f>SUMIF(Journal!$G:$G,B109,Journal!$J:$J)</f>
        <v>0</v>
      </c>
      <c r="E109" s="78">
        <f>SUMIF(Journal!$G:$G,B109,Journal!$K:$K)</f>
        <v>0</v>
      </c>
      <c r="F109" s="78">
        <f>'Balance N-1'!F109-'Balance N-1'!G109</f>
        <v>0</v>
      </c>
      <c r="G109" s="78">
        <f t="shared" si="3"/>
        <v>0</v>
      </c>
      <c r="H109" s="78">
        <f t="shared" si="4"/>
        <v>0</v>
      </c>
      <c r="I109" s="78">
        <f t="shared" si="5"/>
        <v>0</v>
      </c>
    </row>
    <row r="110" spans="2:9" x14ac:dyDescent="0.35">
      <c r="B110">
        <f>'Plan Comptable'!B110</f>
        <v>2941</v>
      </c>
      <c r="C110" t="str">
        <f>'Plan Comptable'!C110</f>
        <v>Prov dépréciation terrains</v>
      </c>
      <c r="D110" s="78">
        <f>SUMIF(Journal!$G:$G,B110,Journal!$J:$J)</f>
        <v>0</v>
      </c>
      <c r="E110" s="78">
        <f>SUMIF(Journal!$G:$G,B110,Journal!$K:$K)</f>
        <v>0</v>
      </c>
      <c r="F110" s="78">
        <f>'Balance N-1'!F110-'Balance N-1'!G110</f>
        <v>0</v>
      </c>
      <c r="G110" s="78">
        <f t="shared" si="3"/>
        <v>0</v>
      </c>
      <c r="H110" s="78">
        <f t="shared" si="4"/>
        <v>0</v>
      </c>
      <c r="I110" s="78">
        <f t="shared" si="5"/>
        <v>0</v>
      </c>
    </row>
    <row r="111" spans="2:9" x14ac:dyDescent="0.35">
      <c r="B111">
        <f>'Plan Comptable'!B111</f>
        <v>2942</v>
      </c>
      <c r="C111" t="str">
        <f>'Plan Comptable'!C111</f>
        <v>Prov dépréciation constructions</v>
      </c>
      <c r="D111" s="78">
        <f>SUMIF(Journal!$G:$G,B111,Journal!$J:$J)</f>
        <v>0</v>
      </c>
      <c r="E111" s="78">
        <f>SUMIF(Journal!$G:$G,B111,Journal!$K:$K)</f>
        <v>0</v>
      </c>
      <c r="F111" s="78">
        <f>'Balance N-1'!F111-'Balance N-1'!G111</f>
        <v>0</v>
      </c>
      <c r="G111" s="78">
        <f t="shared" si="3"/>
        <v>0</v>
      </c>
      <c r="H111" s="78">
        <f t="shared" si="4"/>
        <v>0</v>
      </c>
      <c r="I111" s="78">
        <f t="shared" si="5"/>
        <v>0</v>
      </c>
    </row>
    <row r="112" spans="2:9" x14ac:dyDescent="0.35">
      <c r="B112">
        <f>'Plan Comptable'!B112</f>
        <v>2943</v>
      </c>
      <c r="C112" t="str">
        <f>'Plan Comptable'!C112</f>
        <v>Prov dépréciation matériel</v>
      </c>
      <c r="D112" s="78">
        <f>SUMIF(Journal!$G:$G,B112,Journal!$J:$J)</f>
        <v>0</v>
      </c>
      <c r="E112" s="78">
        <f>SUMIF(Journal!$G:$G,B112,Journal!$K:$K)</f>
        <v>0</v>
      </c>
      <c r="F112" s="78">
        <f>'Balance N-1'!F112-'Balance N-1'!G112</f>
        <v>0</v>
      </c>
      <c r="G112" s="78">
        <f t="shared" si="3"/>
        <v>0</v>
      </c>
      <c r="H112" s="78">
        <f t="shared" si="4"/>
        <v>0</v>
      </c>
      <c r="I112" s="78">
        <f t="shared" si="5"/>
        <v>0</v>
      </c>
    </row>
    <row r="113" spans="2:9" x14ac:dyDescent="0.35">
      <c r="B113">
        <f>'Plan Comptable'!B113</f>
        <v>2951</v>
      </c>
      <c r="C113" t="str">
        <f>'Plan Comptable'!C113</f>
        <v>Prov dépréciation titres</v>
      </c>
      <c r="D113" s="78">
        <f>SUMIF(Journal!$G:$G,B113,Journal!$J:$J)</f>
        <v>0</v>
      </c>
      <c r="E113" s="78">
        <f>SUMIF(Journal!$G:$G,B113,Journal!$K:$K)</f>
        <v>0</v>
      </c>
      <c r="F113" s="78">
        <f>'Balance N-1'!F113-'Balance N-1'!G113</f>
        <v>0</v>
      </c>
      <c r="G113" s="78">
        <f t="shared" si="3"/>
        <v>0</v>
      </c>
      <c r="H113" s="78">
        <f t="shared" si="4"/>
        <v>0</v>
      </c>
      <c r="I113" s="78">
        <f t="shared" si="5"/>
        <v>0</v>
      </c>
    </row>
    <row r="114" spans="2:9" x14ac:dyDescent="0.35">
      <c r="B114">
        <f>'Plan Comptable'!B114</f>
        <v>2971</v>
      </c>
      <c r="C114" t="str">
        <f>'Plan Comptable'!C114</f>
        <v>Prov dépréciation prêts</v>
      </c>
      <c r="D114" s="78">
        <f>SUMIF(Journal!$G:$G,B114,Journal!$J:$J)</f>
        <v>0</v>
      </c>
      <c r="E114" s="78">
        <f>SUMIF(Journal!$G:$G,B114,Journal!$K:$K)</f>
        <v>0</v>
      </c>
      <c r="F114" s="78">
        <f>'Balance N-1'!F114-'Balance N-1'!G114</f>
        <v>0</v>
      </c>
      <c r="G114" s="78">
        <f t="shared" si="3"/>
        <v>0</v>
      </c>
      <c r="H114" s="78">
        <f t="shared" si="4"/>
        <v>0</v>
      </c>
      <c r="I114" s="78">
        <f t="shared" si="5"/>
        <v>0</v>
      </c>
    </row>
    <row r="115" spans="2:9" x14ac:dyDescent="0.35">
      <c r="B115">
        <f>'Plan Comptable'!B115</f>
        <v>3110</v>
      </c>
      <c r="C115" t="str">
        <f>'Plan Comptable'!C115</f>
        <v>Marchandises A</v>
      </c>
      <c r="D115" s="78">
        <f>SUMIF(Journal!$G:$G,B115,Journal!$J:$J)</f>
        <v>0</v>
      </c>
      <c r="E115" s="78">
        <f>SUMIF(Journal!$G:$G,B115,Journal!$K:$K)</f>
        <v>0</v>
      </c>
      <c r="F115" s="78">
        <f>'Balance N-1'!F115-'Balance N-1'!G115</f>
        <v>0</v>
      </c>
      <c r="G115" s="78">
        <f t="shared" si="3"/>
        <v>0</v>
      </c>
      <c r="H115" s="78">
        <f t="shared" si="4"/>
        <v>0</v>
      </c>
      <c r="I115" s="78">
        <f t="shared" si="5"/>
        <v>0</v>
      </c>
    </row>
    <row r="116" spans="2:9" x14ac:dyDescent="0.35">
      <c r="B116">
        <f>'Plan Comptable'!B116</f>
        <v>3120</v>
      </c>
      <c r="C116" t="str">
        <f>'Plan Comptable'!C116</f>
        <v>Marchandises B</v>
      </c>
      <c r="D116" s="78">
        <f>SUMIF(Journal!$G:$G,B116,Journal!$J:$J)</f>
        <v>0</v>
      </c>
      <c r="E116" s="78">
        <f>SUMIF(Journal!$G:$G,B116,Journal!$K:$K)</f>
        <v>0</v>
      </c>
      <c r="F116" s="78">
        <f>'Balance N-1'!F116-'Balance N-1'!G116</f>
        <v>0</v>
      </c>
      <c r="G116" s="78">
        <f t="shared" si="3"/>
        <v>0</v>
      </c>
      <c r="H116" s="78">
        <f t="shared" si="4"/>
        <v>0</v>
      </c>
      <c r="I116" s="78">
        <f t="shared" si="5"/>
        <v>0</v>
      </c>
    </row>
    <row r="117" spans="2:9" x14ac:dyDescent="0.35">
      <c r="B117">
        <f>'Plan Comptable'!B117</f>
        <v>3180</v>
      </c>
      <c r="C117" t="str">
        <f>'Plan Comptable'!C117</f>
        <v>Autres marchandises</v>
      </c>
      <c r="D117" s="78">
        <f>SUMIF(Journal!$G:$G,B117,Journal!$J:$J)</f>
        <v>0</v>
      </c>
      <c r="E117" s="78">
        <f>SUMIF(Journal!$G:$G,B117,Journal!$K:$K)</f>
        <v>0</v>
      </c>
      <c r="F117" s="78">
        <f>'Balance N-1'!F117-'Balance N-1'!G117</f>
        <v>0</v>
      </c>
      <c r="G117" s="78">
        <f t="shared" si="3"/>
        <v>0</v>
      </c>
      <c r="H117" s="78">
        <f t="shared" si="4"/>
        <v>0</v>
      </c>
      <c r="I117" s="78">
        <f t="shared" si="5"/>
        <v>0</v>
      </c>
    </row>
    <row r="118" spans="2:9" x14ac:dyDescent="0.35">
      <c r="B118">
        <f>'Plan Comptable'!B118</f>
        <v>3210</v>
      </c>
      <c r="C118" t="str">
        <f>'Plan Comptable'!C118</f>
        <v>Matières premières A</v>
      </c>
      <c r="D118" s="78">
        <f>SUMIF(Journal!$G:$G,B118,Journal!$J:$J)</f>
        <v>0</v>
      </c>
      <c r="E118" s="78">
        <f>SUMIF(Journal!$G:$G,B118,Journal!$K:$K)</f>
        <v>0</v>
      </c>
      <c r="F118" s="78">
        <f>'Balance N-1'!F118-'Balance N-1'!G118</f>
        <v>0</v>
      </c>
      <c r="G118" s="78">
        <f t="shared" si="3"/>
        <v>0</v>
      </c>
      <c r="H118" s="78">
        <f t="shared" si="4"/>
        <v>0</v>
      </c>
      <c r="I118" s="78">
        <f t="shared" si="5"/>
        <v>0</v>
      </c>
    </row>
    <row r="119" spans="2:9" x14ac:dyDescent="0.35">
      <c r="B119">
        <f>'Plan Comptable'!B119</f>
        <v>3220</v>
      </c>
      <c r="C119" t="str">
        <f>'Plan Comptable'!C119</f>
        <v>Matières premières B</v>
      </c>
      <c r="D119" s="78">
        <f>SUMIF(Journal!$G:$G,B119,Journal!$J:$J)</f>
        <v>0</v>
      </c>
      <c r="E119" s="78">
        <f>SUMIF(Journal!$G:$G,B119,Journal!$K:$K)</f>
        <v>0</v>
      </c>
      <c r="F119" s="78">
        <f>'Balance N-1'!F119-'Balance N-1'!G119</f>
        <v>0</v>
      </c>
      <c r="G119" s="78">
        <f t="shared" si="3"/>
        <v>0</v>
      </c>
      <c r="H119" s="78">
        <f t="shared" si="4"/>
        <v>0</v>
      </c>
      <c r="I119" s="78">
        <f t="shared" si="5"/>
        <v>0</v>
      </c>
    </row>
    <row r="120" spans="2:9" x14ac:dyDescent="0.35">
      <c r="B120">
        <f>'Plan Comptable'!B120</f>
        <v>3311</v>
      </c>
      <c r="C120" t="str">
        <f>'Plan Comptable'!C120</f>
        <v>Matières consommables</v>
      </c>
      <c r="D120" s="78">
        <f>SUMIF(Journal!$G:$G,B120,Journal!$J:$J)</f>
        <v>0</v>
      </c>
      <c r="E120" s="78">
        <f>SUMIF(Journal!$G:$G,B120,Journal!$K:$K)</f>
        <v>0</v>
      </c>
      <c r="F120" s="78">
        <f>'Balance N-1'!F120-'Balance N-1'!G120</f>
        <v>0</v>
      </c>
      <c r="G120" s="78">
        <f t="shared" si="3"/>
        <v>0</v>
      </c>
      <c r="H120" s="78">
        <f t="shared" si="4"/>
        <v>0</v>
      </c>
      <c r="I120" s="78">
        <f t="shared" si="5"/>
        <v>0</v>
      </c>
    </row>
    <row r="121" spans="2:9" x14ac:dyDescent="0.35">
      <c r="B121">
        <f>'Plan Comptable'!B121</f>
        <v>3312</v>
      </c>
      <c r="C121" t="str">
        <f>'Plan Comptable'!C121</f>
        <v>Combustibles</v>
      </c>
      <c r="D121" s="78">
        <f>SUMIF(Journal!$G:$G,B121,Journal!$J:$J)</f>
        <v>0</v>
      </c>
      <c r="E121" s="78">
        <f>SUMIF(Journal!$G:$G,B121,Journal!$K:$K)</f>
        <v>0</v>
      </c>
      <c r="F121" s="78">
        <f>'Balance N-1'!F121-'Balance N-1'!G121</f>
        <v>0</v>
      </c>
      <c r="G121" s="78">
        <f t="shared" si="3"/>
        <v>0</v>
      </c>
      <c r="H121" s="78">
        <f t="shared" si="4"/>
        <v>0</v>
      </c>
      <c r="I121" s="78">
        <f t="shared" si="5"/>
        <v>0</v>
      </c>
    </row>
    <row r="122" spans="2:9" x14ac:dyDescent="0.35">
      <c r="B122">
        <f>'Plan Comptable'!B122</f>
        <v>3316</v>
      </c>
      <c r="C122" t="str">
        <f>'Plan Comptable'!C122</f>
        <v>Fournitures de bureau</v>
      </c>
      <c r="D122" s="78">
        <f>SUMIF(Journal!$G:$G,B122,Journal!$J:$J)</f>
        <v>0</v>
      </c>
      <c r="E122" s="78">
        <f>SUMIF(Journal!$G:$G,B122,Journal!$K:$K)</f>
        <v>0</v>
      </c>
      <c r="F122" s="78">
        <f>'Balance N-1'!F122-'Balance N-1'!G122</f>
        <v>0</v>
      </c>
      <c r="G122" s="78">
        <f t="shared" si="3"/>
        <v>0</v>
      </c>
      <c r="H122" s="78">
        <f t="shared" si="4"/>
        <v>0</v>
      </c>
      <c r="I122" s="78">
        <f t="shared" si="5"/>
        <v>0</v>
      </c>
    </row>
    <row r="123" spans="2:9" x14ac:dyDescent="0.35">
      <c r="B123">
        <f>'Plan Comptable'!B123</f>
        <v>3341</v>
      </c>
      <c r="C123" t="str">
        <f>'Plan Comptable'!C123</f>
        <v>Emballages perdus</v>
      </c>
      <c r="D123" s="78">
        <f>SUMIF(Journal!$G:$G,B123,Journal!$J:$J)</f>
        <v>0</v>
      </c>
      <c r="E123" s="78">
        <f>SUMIF(Journal!$G:$G,B123,Journal!$K:$K)</f>
        <v>0</v>
      </c>
      <c r="F123" s="78">
        <f>'Balance N-1'!F123-'Balance N-1'!G123</f>
        <v>0</v>
      </c>
      <c r="G123" s="78">
        <f t="shared" si="3"/>
        <v>0</v>
      </c>
      <c r="H123" s="78">
        <f t="shared" si="4"/>
        <v>0</v>
      </c>
      <c r="I123" s="78">
        <f t="shared" si="5"/>
        <v>0</v>
      </c>
    </row>
    <row r="124" spans="2:9" x14ac:dyDescent="0.35">
      <c r="B124">
        <f>'Plan Comptable'!B124</f>
        <v>3342</v>
      </c>
      <c r="C124" t="str">
        <f>'Plan Comptable'!C124</f>
        <v>Emballages récupérables</v>
      </c>
      <c r="D124" s="78">
        <f>SUMIF(Journal!$G:$G,B124,Journal!$J:$J)</f>
        <v>0</v>
      </c>
      <c r="E124" s="78">
        <f>SUMIF(Journal!$G:$G,B124,Journal!$K:$K)</f>
        <v>0</v>
      </c>
      <c r="F124" s="78">
        <f>'Balance N-1'!F124-'Balance N-1'!G124</f>
        <v>0</v>
      </c>
      <c r="G124" s="78">
        <f t="shared" si="3"/>
        <v>0</v>
      </c>
      <c r="H124" s="78">
        <f t="shared" si="4"/>
        <v>0</v>
      </c>
      <c r="I124" s="78">
        <f t="shared" si="5"/>
        <v>0</v>
      </c>
    </row>
    <row r="125" spans="2:9" x14ac:dyDescent="0.35">
      <c r="B125">
        <f>'Plan Comptable'!B125</f>
        <v>3510</v>
      </c>
      <c r="C125" t="str">
        <f>'Plan Comptable'!C125</f>
        <v>En-cours produits</v>
      </c>
      <c r="D125" s="78">
        <f>SUMIF(Journal!$G:$G,B125,Journal!$J:$J)</f>
        <v>0</v>
      </c>
      <c r="E125" s="78">
        <f>SUMIF(Journal!$G:$G,B125,Journal!$K:$K)</f>
        <v>0</v>
      </c>
      <c r="F125" s="78">
        <f>'Balance N-1'!F125-'Balance N-1'!G125</f>
        <v>0</v>
      </c>
      <c r="G125" s="78">
        <f t="shared" si="3"/>
        <v>0</v>
      </c>
      <c r="H125" s="78">
        <f t="shared" si="4"/>
        <v>0</v>
      </c>
      <c r="I125" s="78">
        <f t="shared" si="5"/>
        <v>0</v>
      </c>
    </row>
    <row r="126" spans="2:9" x14ac:dyDescent="0.35">
      <c r="B126">
        <f>'Plan Comptable'!B126</f>
        <v>3520</v>
      </c>
      <c r="C126" t="str">
        <f>'Plan Comptable'!C126</f>
        <v>Travaux en cours</v>
      </c>
      <c r="D126" s="78">
        <f>SUMIF(Journal!$G:$G,B126,Journal!$J:$J)</f>
        <v>0</v>
      </c>
      <c r="E126" s="78">
        <f>SUMIF(Journal!$G:$G,B126,Journal!$K:$K)</f>
        <v>0</v>
      </c>
      <c r="F126" s="78">
        <f>'Balance N-1'!F126-'Balance N-1'!G126</f>
        <v>0</v>
      </c>
      <c r="G126" s="78">
        <f t="shared" si="3"/>
        <v>0</v>
      </c>
      <c r="H126" s="78">
        <f t="shared" si="4"/>
        <v>0</v>
      </c>
      <c r="I126" s="78">
        <f t="shared" si="5"/>
        <v>0</v>
      </c>
    </row>
    <row r="127" spans="2:9" x14ac:dyDescent="0.35">
      <c r="B127">
        <f>'Plan Comptable'!B127</f>
        <v>3610</v>
      </c>
      <c r="C127" t="str">
        <f>'Plan Comptable'!C127</f>
        <v>Produits intermédiaires</v>
      </c>
      <c r="D127" s="78">
        <f>SUMIF(Journal!$G:$G,B127,Journal!$J:$J)</f>
        <v>0</v>
      </c>
      <c r="E127" s="78">
        <f>SUMIF(Journal!$G:$G,B127,Journal!$K:$K)</f>
        <v>0</v>
      </c>
      <c r="F127" s="78">
        <f>'Balance N-1'!F127-'Balance N-1'!G127</f>
        <v>0</v>
      </c>
      <c r="G127" s="78">
        <f t="shared" si="3"/>
        <v>0</v>
      </c>
      <c r="H127" s="78">
        <f t="shared" si="4"/>
        <v>0</v>
      </c>
      <c r="I127" s="78">
        <f t="shared" si="5"/>
        <v>0</v>
      </c>
    </row>
    <row r="128" spans="2:9" x14ac:dyDescent="0.35">
      <c r="B128">
        <f>'Plan Comptable'!B128</f>
        <v>3620</v>
      </c>
      <c r="C128" t="str">
        <f>'Plan Comptable'!C128</f>
        <v>Produits finis</v>
      </c>
      <c r="D128" s="78">
        <f>SUMIF(Journal!$G:$G,B128,Journal!$J:$J)</f>
        <v>0</v>
      </c>
      <c r="E128" s="78">
        <f>SUMIF(Journal!$G:$G,B128,Journal!$K:$K)</f>
        <v>0</v>
      </c>
      <c r="F128" s="78">
        <f>'Balance N-1'!F128-'Balance N-1'!G128</f>
        <v>0</v>
      </c>
      <c r="G128" s="78">
        <f t="shared" si="3"/>
        <v>0</v>
      </c>
      <c r="H128" s="78">
        <f t="shared" si="4"/>
        <v>0</v>
      </c>
      <c r="I128" s="78">
        <f t="shared" si="5"/>
        <v>0</v>
      </c>
    </row>
    <row r="129" spans="2:9" x14ac:dyDescent="0.35">
      <c r="B129">
        <f>'Plan Comptable'!B129</f>
        <v>3630</v>
      </c>
      <c r="C129" t="str">
        <f>'Plan Comptable'!C129</f>
        <v>Produits résiduels</v>
      </c>
      <c r="D129" s="78">
        <f>SUMIF(Journal!$G:$G,B129,Journal!$J:$J)</f>
        <v>0</v>
      </c>
      <c r="E129" s="78">
        <f>SUMIF(Journal!$G:$G,B129,Journal!$K:$K)</f>
        <v>0</v>
      </c>
      <c r="F129" s="78">
        <f>'Balance N-1'!F129-'Balance N-1'!G129</f>
        <v>0</v>
      </c>
      <c r="G129" s="78">
        <f t="shared" si="3"/>
        <v>0</v>
      </c>
      <c r="H129" s="78">
        <f t="shared" si="4"/>
        <v>0</v>
      </c>
      <c r="I129" s="78">
        <f t="shared" si="5"/>
        <v>0</v>
      </c>
    </row>
    <row r="130" spans="2:9" x14ac:dyDescent="0.35">
      <c r="B130">
        <f>'Plan Comptable'!B130</f>
        <v>3910</v>
      </c>
      <c r="C130" t="str">
        <f>'Plan Comptable'!C130</f>
        <v>Prov dépréciation marchandises</v>
      </c>
      <c r="D130" s="78">
        <f>SUMIF(Journal!$G:$G,B130,Journal!$J:$J)</f>
        <v>0</v>
      </c>
      <c r="E130" s="78">
        <f>SUMIF(Journal!$G:$G,B130,Journal!$K:$K)</f>
        <v>0</v>
      </c>
      <c r="F130" s="78">
        <f>'Balance N-1'!F130-'Balance N-1'!G130</f>
        <v>0</v>
      </c>
      <c r="G130" s="78">
        <f t="shared" si="3"/>
        <v>0</v>
      </c>
      <c r="H130" s="78">
        <f t="shared" si="4"/>
        <v>0</v>
      </c>
      <c r="I130" s="78">
        <f t="shared" si="5"/>
        <v>0</v>
      </c>
    </row>
    <row r="131" spans="2:9" x14ac:dyDescent="0.35">
      <c r="B131">
        <f>'Plan Comptable'!B131</f>
        <v>3920</v>
      </c>
      <c r="C131" t="str">
        <f>'Plan Comptable'!C131</f>
        <v>Prov dépréciation matières</v>
      </c>
      <c r="D131" s="78">
        <f>SUMIF(Journal!$G:$G,B131,Journal!$J:$J)</f>
        <v>0</v>
      </c>
      <c r="E131" s="78">
        <f>SUMIF(Journal!$G:$G,B131,Journal!$K:$K)</f>
        <v>0</v>
      </c>
      <c r="F131" s="78">
        <f>'Balance N-1'!F131-'Balance N-1'!G131</f>
        <v>0</v>
      </c>
      <c r="G131" s="78">
        <f t="shared" si="3"/>
        <v>0</v>
      </c>
      <c r="H131" s="78">
        <f t="shared" si="4"/>
        <v>0</v>
      </c>
      <c r="I131" s="78">
        <f t="shared" si="5"/>
        <v>0</v>
      </c>
    </row>
    <row r="132" spans="2:9" x14ac:dyDescent="0.35">
      <c r="B132">
        <f>'Plan Comptable'!B132</f>
        <v>3950</v>
      </c>
      <c r="C132" t="str">
        <f>'Plan Comptable'!C132</f>
        <v>Prov dépréciation en-cours</v>
      </c>
      <c r="D132" s="78">
        <f>SUMIF(Journal!$G:$G,B132,Journal!$J:$J)</f>
        <v>0</v>
      </c>
      <c r="E132" s="78">
        <f>SUMIF(Journal!$G:$G,B132,Journal!$K:$K)</f>
        <v>0</v>
      </c>
      <c r="F132" s="78">
        <f>'Balance N-1'!F132-'Balance N-1'!G132</f>
        <v>0</v>
      </c>
      <c r="G132" s="78">
        <f t="shared" si="3"/>
        <v>0</v>
      </c>
      <c r="H132" s="78">
        <f t="shared" si="4"/>
        <v>0</v>
      </c>
      <c r="I132" s="78">
        <f t="shared" si="5"/>
        <v>0</v>
      </c>
    </row>
    <row r="133" spans="2:9" x14ac:dyDescent="0.35">
      <c r="B133">
        <f>'Plan Comptable'!B133</f>
        <v>3960</v>
      </c>
      <c r="C133" t="str">
        <f>'Plan Comptable'!C133</f>
        <v>Prov dépréciation produits</v>
      </c>
      <c r="D133" s="78">
        <f>SUMIF(Journal!$G:$G,B133,Journal!$J:$J)</f>
        <v>0</v>
      </c>
      <c r="E133" s="78">
        <f>SUMIF(Journal!$G:$G,B133,Journal!$K:$K)</f>
        <v>0</v>
      </c>
      <c r="F133" s="78">
        <f>'Balance N-1'!F133-'Balance N-1'!G133</f>
        <v>0</v>
      </c>
      <c r="G133" s="78">
        <f t="shared" si="3"/>
        <v>0</v>
      </c>
      <c r="H133" s="78">
        <f t="shared" si="4"/>
        <v>0</v>
      </c>
      <c r="I133" s="78">
        <f t="shared" si="5"/>
        <v>0</v>
      </c>
    </row>
    <row r="134" spans="2:9" x14ac:dyDescent="0.35">
      <c r="B134">
        <f>'Plan Comptable'!B134</f>
        <v>4011</v>
      </c>
      <c r="C134" t="str">
        <f>'Plan Comptable'!C134</f>
        <v>Fournisseurs biens</v>
      </c>
      <c r="D134" s="78">
        <f>SUMIF(Journal!$G:$G,B134,Journal!$J:$J)</f>
        <v>0</v>
      </c>
      <c r="E134" s="78">
        <f>SUMIF(Journal!$G:$G,B134,Journal!$K:$K)</f>
        <v>0</v>
      </c>
      <c r="F134" s="78">
        <f>'Balance N-1'!F134-'Balance N-1'!G134</f>
        <v>0</v>
      </c>
      <c r="G134" s="78">
        <f t="shared" ref="G134:G197" si="6">MAX(F134+D134-E134,0)</f>
        <v>0</v>
      </c>
      <c r="H134" s="78">
        <f t="shared" ref="H134:H197" si="7">MAX(E134-D134-F134,0)</f>
        <v>0</v>
      </c>
      <c r="I134" s="78">
        <f t="shared" ref="I134:I197" si="8">G134-H134</f>
        <v>0</v>
      </c>
    </row>
    <row r="135" spans="2:9" x14ac:dyDescent="0.35">
      <c r="B135">
        <f>'Plan Comptable'!B135</f>
        <v>4012</v>
      </c>
      <c r="C135" t="str">
        <f>'Plan Comptable'!C135</f>
        <v>Fournisseurs services</v>
      </c>
      <c r="D135" s="78">
        <f>SUMIF(Journal!$G:$G,B135,Journal!$J:$J)</f>
        <v>0</v>
      </c>
      <c r="E135" s="78">
        <f>SUMIF(Journal!$G:$G,B135,Journal!$K:$K)</f>
        <v>0</v>
      </c>
      <c r="F135" s="78">
        <f>'Balance N-1'!F135-'Balance N-1'!G135</f>
        <v>0</v>
      </c>
      <c r="G135" s="78">
        <f t="shared" si="6"/>
        <v>0</v>
      </c>
      <c r="H135" s="78">
        <f t="shared" si="7"/>
        <v>0</v>
      </c>
      <c r="I135" s="78">
        <f t="shared" si="8"/>
        <v>0</v>
      </c>
    </row>
    <row r="136" spans="2:9" x14ac:dyDescent="0.35">
      <c r="B136">
        <f>'Plan Comptable'!B136</f>
        <v>4020</v>
      </c>
      <c r="C136" t="str">
        <f>'Plan Comptable'!C136</f>
        <v>Fournisseurs effets à payer</v>
      </c>
      <c r="D136" s="78">
        <f>SUMIF(Journal!$G:$G,B136,Journal!$J:$J)</f>
        <v>0</v>
      </c>
      <c r="E136" s="78">
        <f>SUMIF(Journal!$G:$G,B136,Journal!$K:$K)</f>
        <v>0</v>
      </c>
      <c r="F136" s="78">
        <f>'Balance N-1'!F136-'Balance N-1'!G136</f>
        <v>0</v>
      </c>
      <c r="G136" s="78">
        <f t="shared" si="6"/>
        <v>0</v>
      </c>
      <c r="H136" s="78">
        <f t="shared" si="7"/>
        <v>0</v>
      </c>
      <c r="I136" s="78">
        <f t="shared" si="8"/>
        <v>0</v>
      </c>
    </row>
    <row r="137" spans="2:9" x14ac:dyDescent="0.35">
      <c r="B137">
        <f>'Plan Comptable'!B137</f>
        <v>4030</v>
      </c>
      <c r="C137" t="str">
        <f>'Plan Comptable'!C137</f>
        <v>Fournisseurs avances reçues</v>
      </c>
      <c r="D137" s="78">
        <f>SUMIF(Journal!$G:$G,B137,Journal!$J:$J)</f>
        <v>0</v>
      </c>
      <c r="E137" s="78">
        <f>SUMIF(Journal!$G:$G,B137,Journal!$K:$K)</f>
        <v>0</v>
      </c>
      <c r="F137" s="78">
        <f>'Balance N-1'!F137-'Balance N-1'!G137</f>
        <v>0</v>
      </c>
      <c r="G137" s="78">
        <f t="shared" si="6"/>
        <v>0</v>
      </c>
      <c r="H137" s="78">
        <f t="shared" si="7"/>
        <v>0</v>
      </c>
      <c r="I137" s="78">
        <f t="shared" si="8"/>
        <v>0</v>
      </c>
    </row>
    <row r="138" spans="2:9" x14ac:dyDescent="0.35">
      <c r="B138">
        <f>'Plan Comptable'!B138</f>
        <v>4040</v>
      </c>
      <c r="C138" t="str">
        <f>'Plan Comptable'!C138</f>
        <v>Fournisseurs immobilisations</v>
      </c>
      <c r="D138" s="78">
        <f>SUMIF(Journal!$G:$G,B138,Journal!$J:$J)</f>
        <v>0</v>
      </c>
      <c r="E138" s="78">
        <f>SUMIF(Journal!$G:$G,B138,Journal!$K:$K)</f>
        <v>0</v>
      </c>
      <c r="F138" s="78">
        <f>'Balance N-1'!F138-'Balance N-1'!G138</f>
        <v>0</v>
      </c>
      <c r="G138" s="78">
        <f t="shared" si="6"/>
        <v>0</v>
      </c>
      <c r="H138" s="78">
        <f t="shared" si="7"/>
        <v>0</v>
      </c>
      <c r="I138" s="78">
        <f t="shared" si="8"/>
        <v>0</v>
      </c>
    </row>
    <row r="139" spans="2:9" x14ac:dyDescent="0.35">
      <c r="B139">
        <f>'Plan Comptable'!B139</f>
        <v>4080</v>
      </c>
      <c r="C139" t="str">
        <f>'Plan Comptable'!C139</f>
        <v>Fournisseurs factures non parvenues</v>
      </c>
      <c r="D139" s="78">
        <f>SUMIF(Journal!$G:$G,B139,Journal!$J:$J)</f>
        <v>0</v>
      </c>
      <c r="E139" s="78">
        <f>SUMIF(Journal!$G:$G,B139,Journal!$K:$K)</f>
        <v>0</v>
      </c>
      <c r="F139" s="78">
        <f>'Balance N-1'!F139-'Balance N-1'!G139</f>
        <v>0</v>
      </c>
      <c r="G139" s="78">
        <f t="shared" si="6"/>
        <v>0</v>
      </c>
      <c r="H139" s="78">
        <f t="shared" si="7"/>
        <v>0</v>
      </c>
      <c r="I139" s="78">
        <f t="shared" si="8"/>
        <v>0</v>
      </c>
    </row>
    <row r="140" spans="2:9" x14ac:dyDescent="0.35">
      <c r="B140">
        <f>'Plan Comptable'!B140</f>
        <v>4090</v>
      </c>
      <c r="C140" t="str">
        <f>'Plan Comptable'!C140</f>
        <v>Fournisseurs débiteurs</v>
      </c>
      <c r="D140" s="78">
        <f>SUMIF(Journal!$G:$G,B140,Journal!$J:$J)</f>
        <v>0</v>
      </c>
      <c r="E140" s="78">
        <f>SUMIF(Journal!$G:$G,B140,Journal!$K:$K)</f>
        <v>0</v>
      </c>
      <c r="F140" s="78">
        <f>'Balance N-1'!F140-'Balance N-1'!G140</f>
        <v>0</v>
      </c>
      <c r="G140" s="78">
        <f t="shared" si="6"/>
        <v>0</v>
      </c>
      <c r="H140" s="78">
        <f t="shared" si="7"/>
        <v>0</v>
      </c>
      <c r="I140" s="78">
        <f t="shared" si="8"/>
        <v>0</v>
      </c>
    </row>
    <row r="141" spans="2:9" x14ac:dyDescent="0.35">
      <c r="B141">
        <f>'Plan Comptable'!B141</f>
        <v>4111</v>
      </c>
      <c r="C141" t="str">
        <f>'Plan Comptable'!C141</f>
        <v>Clients ordinaires</v>
      </c>
      <c r="D141" s="78">
        <f>SUMIF(Journal!$G:$G,B141,Journal!$J:$J)</f>
        <v>0</v>
      </c>
      <c r="E141" s="78">
        <f>SUMIF(Journal!$G:$G,B141,Journal!$K:$K)</f>
        <v>0</v>
      </c>
      <c r="F141" s="78">
        <f>'Balance N-1'!F141-'Balance N-1'!G141</f>
        <v>0</v>
      </c>
      <c r="G141" s="78">
        <f t="shared" si="6"/>
        <v>0</v>
      </c>
      <c r="H141" s="78">
        <f t="shared" si="7"/>
        <v>0</v>
      </c>
      <c r="I141" s="78">
        <f t="shared" si="8"/>
        <v>0</v>
      </c>
    </row>
    <row r="142" spans="2:9" x14ac:dyDescent="0.35">
      <c r="B142">
        <f>'Plan Comptable'!B142</f>
        <v>4112</v>
      </c>
      <c r="C142" t="str">
        <f>'Plan Comptable'!C142</f>
        <v>Clients groupe</v>
      </c>
      <c r="D142" s="78">
        <f>SUMIF(Journal!$G:$G,B142,Journal!$J:$J)</f>
        <v>0</v>
      </c>
      <c r="E142" s="78">
        <f>SUMIF(Journal!$G:$G,B142,Journal!$K:$K)</f>
        <v>0</v>
      </c>
      <c r="F142" s="78">
        <f>'Balance N-1'!F142-'Balance N-1'!G142</f>
        <v>0</v>
      </c>
      <c r="G142" s="78">
        <f t="shared" si="6"/>
        <v>0</v>
      </c>
      <c r="H142" s="78">
        <f t="shared" si="7"/>
        <v>0</v>
      </c>
      <c r="I142" s="78">
        <f t="shared" si="8"/>
        <v>0</v>
      </c>
    </row>
    <row r="143" spans="2:9" x14ac:dyDescent="0.35">
      <c r="B143">
        <f>'Plan Comptable'!B143</f>
        <v>4120</v>
      </c>
      <c r="C143" t="str">
        <f>'Plan Comptable'!C143</f>
        <v>Clients effets à recevoir</v>
      </c>
      <c r="D143" s="78">
        <f>SUMIF(Journal!$G:$G,B143,Journal!$J:$J)</f>
        <v>0</v>
      </c>
      <c r="E143" s="78">
        <f>SUMIF(Journal!$G:$G,B143,Journal!$K:$K)</f>
        <v>0</v>
      </c>
      <c r="F143" s="78">
        <f>'Balance N-1'!F143-'Balance N-1'!G143</f>
        <v>0</v>
      </c>
      <c r="G143" s="78">
        <f t="shared" si="6"/>
        <v>0</v>
      </c>
      <c r="H143" s="78">
        <f t="shared" si="7"/>
        <v>0</v>
      </c>
      <c r="I143" s="78">
        <f t="shared" si="8"/>
        <v>0</v>
      </c>
    </row>
    <row r="144" spans="2:9" x14ac:dyDescent="0.35">
      <c r="B144">
        <f>'Plan Comptable'!B144</f>
        <v>4130</v>
      </c>
      <c r="C144" t="str">
        <f>'Plan Comptable'!C144</f>
        <v>Clients avances versées</v>
      </c>
      <c r="D144" s="78">
        <f>SUMIF(Journal!$G:$G,B144,Journal!$J:$J)</f>
        <v>0</v>
      </c>
      <c r="E144" s="78">
        <f>SUMIF(Journal!$G:$G,B144,Journal!$K:$K)</f>
        <v>0</v>
      </c>
      <c r="F144" s="78">
        <f>'Balance N-1'!F144-'Balance N-1'!G144</f>
        <v>0</v>
      </c>
      <c r="G144" s="78">
        <f t="shared" si="6"/>
        <v>0</v>
      </c>
      <c r="H144" s="78">
        <f t="shared" si="7"/>
        <v>0</v>
      </c>
      <c r="I144" s="78">
        <f t="shared" si="8"/>
        <v>0</v>
      </c>
    </row>
    <row r="145" spans="2:9" x14ac:dyDescent="0.35">
      <c r="B145">
        <f>'Plan Comptable'!B145</f>
        <v>4160</v>
      </c>
      <c r="C145" t="str">
        <f>'Plan Comptable'!C145</f>
        <v>Clients douteux</v>
      </c>
      <c r="D145" s="78">
        <f>SUMIF(Journal!$G:$G,B145,Journal!$J:$J)</f>
        <v>0</v>
      </c>
      <c r="E145" s="78">
        <f>SUMIF(Journal!$G:$G,B145,Journal!$K:$K)</f>
        <v>0</v>
      </c>
      <c r="F145" s="78">
        <f>'Balance N-1'!F145-'Balance N-1'!G145</f>
        <v>0</v>
      </c>
      <c r="G145" s="78">
        <f t="shared" si="6"/>
        <v>0</v>
      </c>
      <c r="H145" s="78">
        <f t="shared" si="7"/>
        <v>0</v>
      </c>
      <c r="I145" s="78">
        <f t="shared" si="8"/>
        <v>0</v>
      </c>
    </row>
    <row r="146" spans="2:9" x14ac:dyDescent="0.35">
      <c r="B146">
        <f>'Plan Comptable'!B146</f>
        <v>4180</v>
      </c>
      <c r="C146" t="str">
        <f>'Plan Comptable'!C146</f>
        <v>Clients produits à recevoir</v>
      </c>
      <c r="D146" s="78">
        <f>SUMIF(Journal!$G:$G,B146,Journal!$J:$J)</f>
        <v>0</v>
      </c>
      <c r="E146" s="78">
        <f>SUMIF(Journal!$G:$G,B146,Journal!$K:$K)</f>
        <v>0</v>
      </c>
      <c r="F146" s="78">
        <f>'Balance N-1'!F146-'Balance N-1'!G146</f>
        <v>0</v>
      </c>
      <c r="G146" s="78">
        <f t="shared" si="6"/>
        <v>0</v>
      </c>
      <c r="H146" s="78">
        <f t="shared" si="7"/>
        <v>0</v>
      </c>
      <c r="I146" s="78">
        <f t="shared" si="8"/>
        <v>0</v>
      </c>
    </row>
    <row r="147" spans="2:9" x14ac:dyDescent="0.35">
      <c r="B147">
        <f>'Plan Comptable'!B147</f>
        <v>4190</v>
      </c>
      <c r="C147" t="str">
        <f>'Plan Comptable'!C147</f>
        <v>Clients créditeurs</v>
      </c>
      <c r="D147" s="78">
        <f>SUMIF(Journal!$G:$G,B147,Journal!$J:$J)</f>
        <v>0</v>
      </c>
      <c r="E147" s="78">
        <f>SUMIF(Journal!$G:$G,B147,Journal!$K:$K)</f>
        <v>0</v>
      </c>
      <c r="F147" s="78">
        <f>'Balance N-1'!F147-'Balance N-1'!G147</f>
        <v>0</v>
      </c>
      <c r="G147" s="78">
        <f t="shared" si="6"/>
        <v>0</v>
      </c>
      <c r="H147" s="78">
        <f t="shared" si="7"/>
        <v>0</v>
      </c>
      <c r="I147" s="78">
        <f t="shared" si="8"/>
        <v>0</v>
      </c>
    </row>
    <row r="148" spans="2:9" x14ac:dyDescent="0.35">
      <c r="B148">
        <f>'Plan Comptable'!B148</f>
        <v>4210</v>
      </c>
      <c r="C148" t="str">
        <f>'Plan Comptable'!C148</f>
        <v>Personnel avances</v>
      </c>
      <c r="D148" s="78">
        <f>SUMIF(Journal!$G:$G,B148,Journal!$J:$J)</f>
        <v>0</v>
      </c>
      <c r="E148" s="78">
        <f>SUMIF(Journal!$G:$G,B148,Journal!$K:$K)</f>
        <v>0</v>
      </c>
      <c r="F148" s="78">
        <f>'Balance N-1'!F148-'Balance N-1'!G148</f>
        <v>0</v>
      </c>
      <c r="G148" s="78">
        <f t="shared" si="6"/>
        <v>0</v>
      </c>
      <c r="H148" s="78">
        <f t="shared" si="7"/>
        <v>0</v>
      </c>
      <c r="I148" s="78">
        <f t="shared" si="8"/>
        <v>0</v>
      </c>
    </row>
    <row r="149" spans="2:9" x14ac:dyDescent="0.35">
      <c r="B149">
        <f>'Plan Comptable'!B149</f>
        <v>4220</v>
      </c>
      <c r="C149" t="str">
        <f>'Plan Comptable'!C149</f>
        <v>Personnel rémunérations dues</v>
      </c>
      <c r="D149" s="78">
        <f>SUMIF(Journal!$G:$G,B149,Journal!$J:$J)</f>
        <v>0</v>
      </c>
      <c r="E149" s="78">
        <f>SUMIF(Journal!$G:$G,B149,Journal!$K:$K)</f>
        <v>0</v>
      </c>
      <c r="F149" s="78">
        <f>'Balance N-1'!F149-'Balance N-1'!G149</f>
        <v>0</v>
      </c>
      <c r="G149" s="78">
        <f t="shared" si="6"/>
        <v>0</v>
      </c>
      <c r="H149" s="78">
        <f t="shared" si="7"/>
        <v>0</v>
      </c>
      <c r="I149" s="78">
        <f t="shared" si="8"/>
        <v>0</v>
      </c>
    </row>
    <row r="150" spans="2:9" x14ac:dyDescent="0.35">
      <c r="B150">
        <f>'Plan Comptable'!B150</f>
        <v>4230</v>
      </c>
      <c r="C150" t="str">
        <f>'Plan Comptable'!C150</f>
        <v>Personnel oppositions salaires</v>
      </c>
      <c r="D150" s="78">
        <f>SUMIF(Journal!$G:$G,B150,Journal!$J:$J)</f>
        <v>0</v>
      </c>
      <c r="E150" s="78">
        <f>SUMIF(Journal!$G:$G,B150,Journal!$K:$K)</f>
        <v>0</v>
      </c>
      <c r="F150" s="78">
        <f>'Balance N-1'!F150-'Balance N-1'!G150</f>
        <v>0</v>
      </c>
      <c r="G150" s="78">
        <f t="shared" si="6"/>
        <v>0</v>
      </c>
      <c r="H150" s="78">
        <f t="shared" si="7"/>
        <v>0</v>
      </c>
      <c r="I150" s="78">
        <f t="shared" si="8"/>
        <v>0</v>
      </c>
    </row>
    <row r="151" spans="2:9" x14ac:dyDescent="0.35">
      <c r="B151">
        <f>'Plan Comptable'!B151</f>
        <v>4280</v>
      </c>
      <c r="C151" t="str">
        <f>'Plan Comptable'!C151</f>
        <v>Personnel autres créances</v>
      </c>
      <c r="D151" s="78">
        <f>SUMIF(Journal!$G:$G,B151,Journal!$J:$J)</f>
        <v>0</v>
      </c>
      <c r="E151" s="78">
        <f>SUMIF(Journal!$G:$G,B151,Journal!$K:$K)</f>
        <v>0</v>
      </c>
      <c r="F151" s="78">
        <f>'Balance N-1'!F151-'Balance N-1'!G151</f>
        <v>0</v>
      </c>
      <c r="G151" s="78">
        <f t="shared" si="6"/>
        <v>0</v>
      </c>
      <c r="H151" s="78">
        <f t="shared" si="7"/>
        <v>0</v>
      </c>
      <c r="I151" s="78">
        <f t="shared" si="8"/>
        <v>0</v>
      </c>
    </row>
    <row r="152" spans="2:9" x14ac:dyDescent="0.35">
      <c r="B152">
        <f>'Plan Comptable'!B152</f>
        <v>4310</v>
      </c>
      <c r="C152" t="str">
        <f>'Plan Comptable'!C152</f>
        <v>Sécurité sociale</v>
      </c>
      <c r="D152" s="78">
        <f>SUMIF(Journal!$G:$G,B152,Journal!$J:$J)</f>
        <v>0</v>
      </c>
      <c r="E152" s="78">
        <f>SUMIF(Journal!$G:$G,B152,Journal!$K:$K)</f>
        <v>0</v>
      </c>
      <c r="F152" s="78">
        <f>'Balance N-1'!F152-'Balance N-1'!G152</f>
        <v>0</v>
      </c>
      <c r="G152" s="78">
        <f t="shared" si="6"/>
        <v>0</v>
      </c>
      <c r="H152" s="78">
        <f t="shared" si="7"/>
        <v>0</v>
      </c>
      <c r="I152" s="78">
        <f t="shared" si="8"/>
        <v>0</v>
      </c>
    </row>
    <row r="153" spans="2:9" x14ac:dyDescent="0.35">
      <c r="B153">
        <f>'Plan Comptable'!B153</f>
        <v>4320</v>
      </c>
      <c r="C153" t="str">
        <f>'Plan Comptable'!C153</f>
        <v>Caisses de retraite</v>
      </c>
      <c r="D153" s="78">
        <f>SUMIF(Journal!$G:$G,B153,Journal!$J:$J)</f>
        <v>0</v>
      </c>
      <c r="E153" s="78">
        <f>SUMIF(Journal!$G:$G,B153,Journal!$K:$K)</f>
        <v>0</v>
      </c>
      <c r="F153" s="78">
        <f>'Balance N-1'!F153-'Balance N-1'!G153</f>
        <v>0</v>
      </c>
      <c r="G153" s="78">
        <f t="shared" si="6"/>
        <v>0</v>
      </c>
      <c r="H153" s="78">
        <f t="shared" si="7"/>
        <v>0</v>
      </c>
      <c r="I153" s="78">
        <f t="shared" si="8"/>
        <v>0</v>
      </c>
    </row>
    <row r="154" spans="2:9" x14ac:dyDescent="0.35">
      <c r="B154">
        <f>'Plan Comptable'!B154</f>
        <v>4330</v>
      </c>
      <c r="C154" t="str">
        <f>'Plan Comptable'!C154</f>
        <v>Autres organismes sociaux</v>
      </c>
      <c r="D154" s="78">
        <f>SUMIF(Journal!$G:$G,B154,Journal!$J:$J)</f>
        <v>0</v>
      </c>
      <c r="E154" s="78">
        <f>SUMIF(Journal!$G:$G,B154,Journal!$K:$K)</f>
        <v>0</v>
      </c>
      <c r="F154" s="78">
        <f>'Balance N-1'!F154-'Balance N-1'!G154</f>
        <v>0</v>
      </c>
      <c r="G154" s="78">
        <f t="shared" si="6"/>
        <v>0</v>
      </c>
      <c r="H154" s="78">
        <f t="shared" si="7"/>
        <v>0</v>
      </c>
      <c r="I154" s="78">
        <f t="shared" si="8"/>
        <v>0</v>
      </c>
    </row>
    <row r="155" spans="2:9" x14ac:dyDescent="0.35">
      <c r="B155">
        <f>'Plan Comptable'!B155</f>
        <v>4380</v>
      </c>
      <c r="C155" t="str">
        <f>'Plan Comptable'!C155</f>
        <v>Organismes sociaux charges à payer</v>
      </c>
      <c r="D155" s="78">
        <f>SUMIF(Journal!$G:$G,B155,Journal!$J:$J)</f>
        <v>0</v>
      </c>
      <c r="E155" s="78">
        <f>SUMIF(Journal!$G:$G,B155,Journal!$K:$K)</f>
        <v>0</v>
      </c>
      <c r="F155" s="78">
        <f>'Balance N-1'!F155-'Balance N-1'!G155</f>
        <v>0</v>
      </c>
      <c r="G155" s="78">
        <f t="shared" si="6"/>
        <v>0</v>
      </c>
      <c r="H155" s="78">
        <f t="shared" si="7"/>
        <v>0</v>
      </c>
      <c r="I155" s="78">
        <f t="shared" si="8"/>
        <v>0</v>
      </c>
    </row>
    <row r="156" spans="2:9" x14ac:dyDescent="0.35">
      <c r="B156">
        <f>'Plan Comptable'!B156</f>
        <v>4410</v>
      </c>
      <c r="C156" t="str">
        <f>'Plan Comptable'!C156</f>
        <v>État impôt bénéfices</v>
      </c>
      <c r="D156" s="78">
        <f>SUMIF(Journal!$G:$G,B156,Journal!$J:$J)</f>
        <v>0</v>
      </c>
      <c r="E156" s="78">
        <f>SUMIF(Journal!$G:$G,B156,Journal!$K:$K)</f>
        <v>0</v>
      </c>
      <c r="F156" s="78">
        <f>'Balance N-1'!F156-'Balance N-1'!G156</f>
        <v>0</v>
      </c>
      <c r="G156" s="78">
        <f t="shared" si="6"/>
        <v>0</v>
      </c>
      <c r="H156" s="78">
        <f t="shared" si="7"/>
        <v>0</v>
      </c>
      <c r="I156" s="78">
        <f t="shared" si="8"/>
        <v>0</v>
      </c>
    </row>
    <row r="157" spans="2:9" x14ac:dyDescent="0.35">
      <c r="B157">
        <f>'Plan Comptable'!B157</f>
        <v>4420</v>
      </c>
      <c r="C157" t="str">
        <f>'Plan Comptable'!C157</f>
        <v>État autres impôts taxes</v>
      </c>
      <c r="D157" s="78">
        <f>SUMIF(Journal!$G:$G,B157,Journal!$J:$J)</f>
        <v>0</v>
      </c>
      <c r="E157" s="78">
        <f>SUMIF(Journal!$G:$G,B157,Journal!$K:$K)</f>
        <v>0</v>
      </c>
      <c r="F157" s="78">
        <f>'Balance N-1'!F157-'Balance N-1'!G157</f>
        <v>0</v>
      </c>
      <c r="G157" s="78">
        <f t="shared" si="6"/>
        <v>0</v>
      </c>
      <c r="H157" s="78">
        <f t="shared" si="7"/>
        <v>0</v>
      </c>
      <c r="I157" s="78">
        <f t="shared" si="8"/>
        <v>0</v>
      </c>
    </row>
    <row r="158" spans="2:9" x14ac:dyDescent="0.35">
      <c r="B158">
        <f>'Plan Comptable'!B158</f>
        <v>4431</v>
      </c>
      <c r="C158" t="str">
        <f>'Plan Comptable'!C158</f>
        <v>État TVA facturée</v>
      </c>
      <c r="D158" s="78">
        <f>SUMIF(Journal!$G:$G,B158,Journal!$J:$J)</f>
        <v>0</v>
      </c>
      <c r="E158" s="78">
        <f>SUMIF(Journal!$G:$G,B158,Journal!$K:$K)</f>
        <v>0</v>
      </c>
      <c r="F158" s="78">
        <f>'Balance N-1'!F158-'Balance N-1'!G158</f>
        <v>0</v>
      </c>
      <c r="G158" s="78">
        <f t="shared" si="6"/>
        <v>0</v>
      </c>
      <c r="H158" s="78">
        <f t="shared" si="7"/>
        <v>0</v>
      </c>
      <c r="I158" s="78">
        <f t="shared" si="8"/>
        <v>0</v>
      </c>
    </row>
    <row r="159" spans="2:9" x14ac:dyDescent="0.35">
      <c r="B159">
        <f>'Plan Comptable'!B159</f>
        <v>4432</v>
      </c>
      <c r="C159" t="str">
        <f>'Plan Comptable'!C159</f>
        <v>État TVA récup immobilisations</v>
      </c>
      <c r="D159" s="78">
        <f>SUMIF(Journal!$G:$G,B159,Journal!$J:$J)</f>
        <v>0</v>
      </c>
      <c r="E159" s="78">
        <f>SUMIF(Journal!$G:$G,B159,Journal!$K:$K)</f>
        <v>0</v>
      </c>
      <c r="F159" s="78">
        <f>'Balance N-1'!F159-'Balance N-1'!G159</f>
        <v>0</v>
      </c>
      <c r="G159" s="78">
        <f t="shared" si="6"/>
        <v>0</v>
      </c>
      <c r="H159" s="78">
        <f t="shared" si="7"/>
        <v>0</v>
      </c>
      <c r="I159" s="78">
        <f t="shared" si="8"/>
        <v>0</v>
      </c>
    </row>
    <row r="160" spans="2:9" x14ac:dyDescent="0.35">
      <c r="B160">
        <f>'Plan Comptable'!B160</f>
        <v>4433</v>
      </c>
      <c r="C160" t="str">
        <f>'Plan Comptable'!C160</f>
        <v>État TVA récup achats</v>
      </c>
      <c r="D160" s="78">
        <f>SUMIF(Journal!$G:$G,B160,Journal!$J:$J)</f>
        <v>0</v>
      </c>
      <c r="E160" s="78">
        <f>SUMIF(Journal!$G:$G,B160,Journal!$K:$K)</f>
        <v>0</v>
      </c>
      <c r="F160" s="78">
        <f>'Balance N-1'!F160-'Balance N-1'!G160</f>
        <v>0</v>
      </c>
      <c r="G160" s="78">
        <f t="shared" si="6"/>
        <v>0</v>
      </c>
      <c r="H160" s="78">
        <f t="shared" si="7"/>
        <v>0</v>
      </c>
      <c r="I160" s="78">
        <f t="shared" si="8"/>
        <v>0</v>
      </c>
    </row>
    <row r="161" spans="2:9" x14ac:dyDescent="0.35">
      <c r="B161">
        <f>'Plan Comptable'!B161</f>
        <v>4436</v>
      </c>
      <c r="C161" t="str">
        <f>'Plan Comptable'!C161</f>
        <v>État crédit TVA</v>
      </c>
      <c r="D161" s="78">
        <f>SUMIF(Journal!$G:$G,B161,Journal!$J:$J)</f>
        <v>0</v>
      </c>
      <c r="E161" s="78">
        <f>SUMIF(Journal!$G:$G,B161,Journal!$K:$K)</f>
        <v>0</v>
      </c>
      <c r="F161" s="78">
        <f>'Balance N-1'!F161-'Balance N-1'!G161</f>
        <v>0</v>
      </c>
      <c r="G161" s="78">
        <f t="shared" si="6"/>
        <v>0</v>
      </c>
      <c r="H161" s="78">
        <f t="shared" si="7"/>
        <v>0</v>
      </c>
      <c r="I161" s="78">
        <f t="shared" si="8"/>
        <v>0</v>
      </c>
    </row>
    <row r="162" spans="2:9" x14ac:dyDescent="0.35">
      <c r="B162">
        <f>'Plan Comptable'!B162</f>
        <v>4441</v>
      </c>
      <c r="C162" t="str">
        <f>'Plan Comptable'!C162</f>
        <v>État impôt sociétés</v>
      </c>
      <c r="D162" s="78">
        <f>SUMIF(Journal!$G:$G,B162,Journal!$J:$J)</f>
        <v>0</v>
      </c>
      <c r="E162" s="78">
        <f>SUMIF(Journal!$G:$G,B162,Journal!$K:$K)</f>
        <v>0</v>
      </c>
      <c r="F162" s="78">
        <f>'Balance N-1'!F162-'Balance N-1'!G162</f>
        <v>0</v>
      </c>
      <c r="G162" s="78">
        <f t="shared" si="6"/>
        <v>0</v>
      </c>
      <c r="H162" s="78">
        <f t="shared" si="7"/>
        <v>0</v>
      </c>
      <c r="I162" s="78">
        <f t="shared" si="8"/>
        <v>0</v>
      </c>
    </row>
    <row r="163" spans="2:9" x14ac:dyDescent="0.35">
      <c r="B163">
        <f>'Plan Comptable'!B163</f>
        <v>4451</v>
      </c>
      <c r="C163" t="str">
        <f>'Plan Comptable'!C163</f>
        <v>État subventions à recevoir</v>
      </c>
      <c r="D163" s="78">
        <f>SUMIF(Journal!$G:$G,B163,Journal!$J:$J)</f>
        <v>0</v>
      </c>
      <c r="E163" s="78">
        <f>SUMIF(Journal!$G:$G,B163,Journal!$K:$K)</f>
        <v>0</v>
      </c>
      <c r="F163" s="78">
        <f>'Balance N-1'!F163-'Balance N-1'!G163</f>
        <v>0</v>
      </c>
      <c r="G163" s="78">
        <f t="shared" si="6"/>
        <v>0</v>
      </c>
      <c r="H163" s="78">
        <f t="shared" si="7"/>
        <v>0</v>
      </c>
      <c r="I163" s="78">
        <f t="shared" si="8"/>
        <v>0</v>
      </c>
    </row>
    <row r="164" spans="2:9" x14ac:dyDescent="0.35">
      <c r="B164">
        <f>'Plan Comptable'!B164</f>
        <v>4460</v>
      </c>
      <c r="C164" t="str">
        <f>'Plan Comptable'!C164</f>
        <v>État charges à payer</v>
      </c>
      <c r="D164" s="78">
        <f>SUMIF(Journal!$G:$G,B164,Journal!$J:$J)</f>
        <v>0</v>
      </c>
      <c r="E164" s="78">
        <f>SUMIF(Journal!$G:$G,B164,Journal!$K:$K)</f>
        <v>0</v>
      </c>
      <c r="F164" s="78">
        <f>'Balance N-1'!F164-'Balance N-1'!G164</f>
        <v>0</v>
      </c>
      <c r="G164" s="78">
        <f t="shared" si="6"/>
        <v>0</v>
      </c>
      <c r="H164" s="78">
        <f t="shared" si="7"/>
        <v>0</v>
      </c>
      <c r="I164" s="78">
        <f t="shared" si="8"/>
        <v>0</v>
      </c>
    </row>
    <row r="165" spans="2:9" x14ac:dyDescent="0.35">
      <c r="B165">
        <f>'Plan Comptable'!B165</f>
        <v>4520</v>
      </c>
      <c r="C165" t="str">
        <f>'Plan Comptable'!C165</f>
        <v>Associés comptes courants</v>
      </c>
      <c r="D165" s="78">
        <f>SUMIF(Journal!$G:$G,B165,Journal!$J:$J)</f>
        <v>0</v>
      </c>
      <c r="E165" s="78">
        <f>SUMIF(Journal!$G:$G,B165,Journal!$K:$K)</f>
        <v>0</v>
      </c>
      <c r="F165" s="78">
        <f>'Balance N-1'!F165-'Balance N-1'!G165</f>
        <v>0</v>
      </c>
      <c r="G165" s="78">
        <f t="shared" si="6"/>
        <v>0</v>
      </c>
      <c r="H165" s="78">
        <f t="shared" si="7"/>
        <v>0</v>
      </c>
      <c r="I165" s="78">
        <f t="shared" si="8"/>
        <v>0</v>
      </c>
    </row>
    <row r="166" spans="2:9" x14ac:dyDescent="0.35">
      <c r="B166">
        <f>'Plan Comptable'!B166</f>
        <v>4530</v>
      </c>
      <c r="C166" t="str">
        <f>'Plan Comptable'!C166</f>
        <v>Associés dividendes à payer</v>
      </c>
      <c r="D166" s="78">
        <f>SUMIF(Journal!$G:$G,B166,Journal!$J:$J)</f>
        <v>0</v>
      </c>
      <c r="E166" s="78">
        <f>SUMIF(Journal!$G:$G,B166,Journal!$K:$K)</f>
        <v>0</v>
      </c>
      <c r="F166" s="78">
        <f>'Balance N-1'!F166-'Balance N-1'!G166</f>
        <v>0</v>
      </c>
      <c r="G166" s="78">
        <f t="shared" si="6"/>
        <v>0</v>
      </c>
      <c r="H166" s="78">
        <f t="shared" si="7"/>
        <v>0</v>
      </c>
      <c r="I166" s="78">
        <f t="shared" si="8"/>
        <v>0</v>
      </c>
    </row>
    <row r="167" spans="2:9" x14ac:dyDescent="0.35">
      <c r="B167">
        <f>'Plan Comptable'!B167</f>
        <v>4710</v>
      </c>
      <c r="C167" t="str">
        <f>'Plan Comptable'!C167</f>
        <v>Débiteurs divers</v>
      </c>
      <c r="D167" s="78">
        <f>SUMIF(Journal!$G:$G,B167,Journal!$J:$J)</f>
        <v>0</v>
      </c>
      <c r="E167" s="78">
        <f>SUMIF(Journal!$G:$G,B167,Journal!$K:$K)</f>
        <v>0</v>
      </c>
      <c r="F167" s="78">
        <f>'Balance N-1'!F167-'Balance N-1'!G167</f>
        <v>0</v>
      </c>
      <c r="G167" s="78">
        <f t="shared" si="6"/>
        <v>0</v>
      </c>
      <c r="H167" s="78">
        <f t="shared" si="7"/>
        <v>0</v>
      </c>
      <c r="I167" s="78">
        <f t="shared" si="8"/>
        <v>0</v>
      </c>
    </row>
    <row r="168" spans="2:9" x14ac:dyDescent="0.35">
      <c r="B168">
        <f>'Plan Comptable'!B168</f>
        <v>4720</v>
      </c>
      <c r="C168" t="str">
        <f>'Plan Comptable'!C168</f>
        <v>Créditeurs divers</v>
      </c>
      <c r="D168" s="78">
        <f>SUMIF(Journal!$G:$G,B168,Journal!$J:$J)</f>
        <v>0</v>
      </c>
      <c r="E168" s="78">
        <f>SUMIF(Journal!$G:$G,B168,Journal!$K:$K)</f>
        <v>0</v>
      </c>
      <c r="F168" s="78">
        <f>'Balance N-1'!F168-'Balance N-1'!G168</f>
        <v>0</v>
      </c>
      <c r="G168" s="78">
        <f t="shared" si="6"/>
        <v>0</v>
      </c>
      <c r="H168" s="78">
        <f t="shared" si="7"/>
        <v>0</v>
      </c>
      <c r="I168" s="78">
        <f t="shared" si="8"/>
        <v>0</v>
      </c>
    </row>
    <row r="169" spans="2:9" x14ac:dyDescent="0.35">
      <c r="B169">
        <f>'Plan Comptable'!B169</f>
        <v>4781</v>
      </c>
      <c r="C169" t="str">
        <f>'Plan Comptable'!C169</f>
        <v>Écarts conversion Actif</v>
      </c>
      <c r="D169" s="78">
        <f>SUMIF(Journal!$G:$G,B169,Journal!$J:$J)</f>
        <v>0</v>
      </c>
      <c r="E169" s="78">
        <f>SUMIF(Journal!$G:$G,B169,Journal!$K:$K)</f>
        <v>0</v>
      </c>
      <c r="F169" s="78">
        <f>'Balance N-1'!F169-'Balance N-1'!G169</f>
        <v>0</v>
      </c>
      <c r="G169" s="78">
        <f t="shared" si="6"/>
        <v>0</v>
      </c>
      <c r="H169" s="78">
        <f t="shared" si="7"/>
        <v>0</v>
      </c>
      <c r="I169" s="78">
        <f t="shared" si="8"/>
        <v>0</v>
      </c>
    </row>
    <row r="170" spans="2:9" x14ac:dyDescent="0.35">
      <c r="B170">
        <f>'Plan Comptable'!B170</f>
        <v>4782</v>
      </c>
      <c r="C170" t="str">
        <f>'Plan Comptable'!C170</f>
        <v>Écarts conversion Passif</v>
      </c>
      <c r="D170" s="78">
        <f>SUMIF(Journal!$G:$G,B170,Journal!$J:$J)</f>
        <v>0</v>
      </c>
      <c r="E170" s="78">
        <f>SUMIF(Journal!$G:$G,B170,Journal!$K:$K)</f>
        <v>0</v>
      </c>
      <c r="F170" s="78">
        <f>'Balance N-1'!F170-'Balance N-1'!G170</f>
        <v>0</v>
      </c>
      <c r="G170" s="78">
        <f t="shared" si="6"/>
        <v>0</v>
      </c>
      <c r="H170" s="78">
        <f t="shared" si="7"/>
        <v>0</v>
      </c>
      <c r="I170" s="78">
        <f t="shared" si="8"/>
        <v>0</v>
      </c>
    </row>
    <row r="171" spans="2:9" x14ac:dyDescent="0.35">
      <c r="B171">
        <f>'Plan Comptable'!B171</f>
        <v>4820</v>
      </c>
      <c r="C171" t="str">
        <f>'Plan Comptable'!C171</f>
        <v>Charges constatées d'avance</v>
      </c>
      <c r="D171" s="78">
        <f>SUMIF(Journal!$G:$G,B171,Journal!$J:$J)</f>
        <v>0</v>
      </c>
      <c r="E171" s="78">
        <f>SUMIF(Journal!$G:$G,B171,Journal!$K:$K)</f>
        <v>0</v>
      </c>
      <c r="F171" s="78">
        <f>'Balance N-1'!F171-'Balance N-1'!G171</f>
        <v>0</v>
      </c>
      <c r="G171" s="78">
        <f t="shared" si="6"/>
        <v>0</v>
      </c>
      <c r="H171" s="78">
        <f t="shared" si="7"/>
        <v>0</v>
      </c>
      <c r="I171" s="78">
        <f t="shared" si="8"/>
        <v>0</v>
      </c>
    </row>
    <row r="172" spans="2:9" x14ac:dyDescent="0.35">
      <c r="B172">
        <f>'Plan Comptable'!B172</f>
        <v>4830</v>
      </c>
      <c r="C172" t="str">
        <f>'Plan Comptable'!C172</f>
        <v>Produits constatés d'avance</v>
      </c>
      <c r="D172" s="78">
        <f>SUMIF(Journal!$G:$G,B172,Journal!$J:$J)</f>
        <v>0</v>
      </c>
      <c r="E172" s="78">
        <f>SUMIF(Journal!$G:$G,B172,Journal!$K:$K)</f>
        <v>0</v>
      </c>
      <c r="F172" s="78">
        <f>'Balance N-1'!F172-'Balance N-1'!G172</f>
        <v>0</v>
      </c>
      <c r="G172" s="78">
        <f t="shared" si="6"/>
        <v>0</v>
      </c>
      <c r="H172" s="78">
        <f t="shared" si="7"/>
        <v>0</v>
      </c>
      <c r="I172" s="78">
        <f t="shared" si="8"/>
        <v>0</v>
      </c>
    </row>
    <row r="173" spans="2:9" x14ac:dyDescent="0.35">
      <c r="B173">
        <f>'Plan Comptable'!B173</f>
        <v>4910</v>
      </c>
      <c r="C173" t="str">
        <f>'Plan Comptable'!C173</f>
        <v>Prov dépréciation clients</v>
      </c>
      <c r="D173" s="78">
        <f>SUMIF(Journal!$G:$G,B173,Journal!$J:$J)</f>
        <v>0</v>
      </c>
      <c r="E173" s="78">
        <f>SUMIF(Journal!$G:$G,B173,Journal!$K:$K)</f>
        <v>0</v>
      </c>
      <c r="F173" s="78">
        <f>'Balance N-1'!F173-'Balance N-1'!G173</f>
        <v>0</v>
      </c>
      <c r="G173" s="78">
        <f t="shared" si="6"/>
        <v>0</v>
      </c>
      <c r="H173" s="78">
        <f t="shared" si="7"/>
        <v>0</v>
      </c>
      <c r="I173" s="78">
        <f t="shared" si="8"/>
        <v>0</v>
      </c>
    </row>
    <row r="174" spans="2:9" x14ac:dyDescent="0.35">
      <c r="B174">
        <f>'Plan Comptable'!B174</f>
        <v>4920</v>
      </c>
      <c r="C174" t="str">
        <f>'Plan Comptable'!C174</f>
        <v>Prov dépréciation autres créances</v>
      </c>
      <c r="D174" s="78">
        <f>SUMIF(Journal!$G:$G,B174,Journal!$J:$J)</f>
        <v>0</v>
      </c>
      <c r="E174" s="78">
        <f>SUMIF(Journal!$G:$G,B174,Journal!$K:$K)</f>
        <v>0</v>
      </c>
      <c r="F174" s="78">
        <f>'Balance N-1'!F174-'Balance N-1'!G174</f>
        <v>0</v>
      </c>
      <c r="G174" s="78">
        <f t="shared" si="6"/>
        <v>0</v>
      </c>
      <c r="H174" s="78">
        <f t="shared" si="7"/>
        <v>0</v>
      </c>
      <c r="I174" s="78">
        <f t="shared" si="8"/>
        <v>0</v>
      </c>
    </row>
    <row r="175" spans="2:9" x14ac:dyDescent="0.35">
      <c r="B175">
        <f>'Plan Comptable'!B175</f>
        <v>5210</v>
      </c>
      <c r="C175" t="str">
        <f>'Plan Comptable'!C175</f>
        <v>Banques comptes en monnaie locale</v>
      </c>
      <c r="D175" s="78">
        <f>SUMIF(Journal!$G:$G,B175,Journal!$J:$J)</f>
        <v>0</v>
      </c>
      <c r="E175" s="78">
        <f>SUMIF(Journal!$G:$G,B175,Journal!$K:$K)</f>
        <v>0</v>
      </c>
      <c r="F175" s="78">
        <f>'Balance N-1'!F175-'Balance N-1'!G175</f>
        <v>0</v>
      </c>
      <c r="G175" s="78">
        <f t="shared" si="6"/>
        <v>0</v>
      </c>
      <c r="H175" s="78">
        <f t="shared" si="7"/>
        <v>0</v>
      </c>
      <c r="I175" s="78">
        <f t="shared" si="8"/>
        <v>0</v>
      </c>
    </row>
    <row r="176" spans="2:9" x14ac:dyDescent="0.35">
      <c r="B176">
        <f>'Plan Comptable'!B176</f>
        <v>5220</v>
      </c>
      <c r="C176" t="str">
        <f>'Plan Comptable'!C176</f>
        <v>Banques comptes en devises</v>
      </c>
      <c r="D176" s="78">
        <f>SUMIF(Journal!$G:$G,B176,Journal!$J:$J)</f>
        <v>0</v>
      </c>
      <c r="E176" s="78">
        <f>SUMIF(Journal!$G:$G,B176,Journal!$K:$K)</f>
        <v>0</v>
      </c>
      <c r="F176" s="78">
        <f>'Balance N-1'!F176-'Balance N-1'!G176</f>
        <v>0</v>
      </c>
      <c r="G176" s="78">
        <f t="shared" si="6"/>
        <v>0</v>
      </c>
      <c r="H176" s="78">
        <f t="shared" si="7"/>
        <v>0</v>
      </c>
      <c r="I176" s="78">
        <f t="shared" si="8"/>
        <v>0</v>
      </c>
    </row>
    <row r="177" spans="2:9" x14ac:dyDescent="0.35">
      <c r="B177">
        <f>'Plan Comptable'!B177</f>
        <v>5230</v>
      </c>
      <c r="C177" t="str">
        <f>'Plan Comptable'!C177</f>
        <v>Établissements financiers</v>
      </c>
      <c r="D177" s="78">
        <f>SUMIF(Journal!$G:$G,B177,Journal!$J:$J)</f>
        <v>0</v>
      </c>
      <c r="E177" s="78">
        <f>SUMIF(Journal!$G:$G,B177,Journal!$K:$K)</f>
        <v>0</v>
      </c>
      <c r="F177" s="78">
        <f>'Balance N-1'!F177-'Balance N-1'!G177</f>
        <v>0</v>
      </c>
      <c r="G177" s="78">
        <f t="shared" si="6"/>
        <v>0</v>
      </c>
      <c r="H177" s="78">
        <f t="shared" si="7"/>
        <v>0</v>
      </c>
      <c r="I177" s="78">
        <f t="shared" si="8"/>
        <v>0</v>
      </c>
    </row>
    <row r="178" spans="2:9" x14ac:dyDescent="0.35">
      <c r="B178">
        <f>'Plan Comptable'!B178</f>
        <v>5240</v>
      </c>
      <c r="C178" t="str">
        <f>'Plan Comptable'!C178</f>
        <v>Banques comptes bloqués</v>
      </c>
      <c r="D178" s="78">
        <f>SUMIF(Journal!$G:$G,B178,Journal!$J:$J)</f>
        <v>0</v>
      </c>
      <c r="E178" s="78">
        <f>SUMIF(Journal!$G:$G,B178,Journal!$K:$K)</f>
        <v>0</v>
      </c>
      <c r="F178" s="78">
        <f>'Balance N-1'!F178-'Balance N-1'!G178</f>
        <v>0</v>
      </c>
      <c r="G178" s="78">
        <f t="shared" si="6"/>
        <v>0</v>
      </c>
      <c r="H178" s="78">
        <f t="shared" si="7"/>
        <v>0</v>
      </c>
      <c r="I178" s="78">
        <f t="shared" si="8"/>
        <v>0</v>
      </c>
    </row>
    <row r="179" spans="2:9" x14ac:dyDescent="0.35">
      <c r="B179">
        <f>'Plan Comptable'!B179</f>
        <v>5310</v>
      </c>
      <c r="C179" t="str">
        <f>'Plan Comptable'!C179</f>
        <v>Chèques postaux</v>
      </c>
      <c r="D179" s="78">
        <f>SUMIF(Journal!$G:$G,B179,Journal!$J:$J)</f>
        <v>0</v>
      </c>
      <c r="E179" s="78">
        <f>SUMIF(Journal!$G:$G,B179,Journal!$K:$K)</f>
        <v>0</v>
      </c>
      <c r="F179" s="78">
        <f>'Balance N-1'!F179-'Balance N-1'!G179</f>
        <v>0</v>
      </c>
      <c r="G179" s="78">
        <f t="shared" si="6"/>
        <v>0</v>
      </c>
      <c r="H179" s="78">
        <f t="shared" si="7"/>
        <v>0</v>
      </c>
      <c r="I179" s="78">
        <f t="shared" si="8"/>
        <v>0</v>
      </c>
    </row>
    <row r="180" spans="2:9" x14ac:dyDescent="0.35">
      <c r="B180">
        <f>'Plan Comptable'!B180</f>
        <v>5320</v>
      </c>
      <c r="C180" t="str">
        <f>'Plan Comptable'!C180</f>
        <v>Trésor public</v>
      </c>
      <c r="D180" s="78">
        <f>SUMIF(Journal!$G:$G,B180,Journal!$J:$J)</f>
        <v>0</v>
      </c>
      <c r="E180" s="78">
        <f>SUMIF(Journal!$G:$G,B180,Journal!$K:$K)</f>
        <v>0</v>
      </c>
      <c r="F180" s="78">
        <f>'Balance N-1'!F180-'Balance N-1'!G180</f>
        <v>0</v>
      </c>
      <c r="G180" s="78">
        <f t="shared" si="6"/>
        <v>0</v>
      </c>
      <c r="H180" s="78">
        <f t="shared" si="7"/>
        <v>0</v>
      </c>
      <c r="I180" s="78">
        <f t="shared" si="8"/>
        <v>0</v>
      </c>
    </row>
    <row r="181" spans="2:9" x14ac:dyDescent="0.35">
      <c r="B181">
        <f>'Plan Comptable'!B181</f>
        <v>5410</v>
      </c>
      <c r="C181" t="str">
        <f>'Plan Comptable'!C181</f>
        <v>Effets à l'encaissement</v>
      </c>
      <c r="D181" s="78">
        <f>SUMIF(Journal!$G:$G,B181,Journal!$J:$J)</f>
        <v>0</v>
      </c>
      <c r="E181" s="78">
        <f>SUMIF(Journal!$G:$G,B181,Journal!$K:$K)</f>
        <v>0</v>
      </c>
      <c r="F181" s="78">
        <f>'Balance N-1'!F181-'Balance N-1'!G181</f>
        <v>0</v>
      </c>
      <c r="G181" s="78">
        <f t="shared" si="6"/>
        <v>0</v>
      </c>
      <c r="H181" s="78">
        <f t="shared" si="7"/>
        <v>0</v>
      </c>
      <c r="I181" s="78">
        <f t="shared" si="8"/>
        <v>0</v>
      </c>
    </row>
    <row r="182" spans="2:9" x14ac:dyDescent="0.35">
      <c r="B182">
        <f>'Plan Comptable'!B182</f>
        <v>5420</v>
      </c>
      <c r="C182" t="str">
        <f>'Plan Comptable'!C182</f>
        <v>Effets à l'escompte</v>
      </c>
      <c r="D182" s="78">
        <f>SUMIF(Journal!$G:$G,B182,Journal!$J:$J)</f>
        <v>0</v>
      </c>
      <c r="E182" s="78">
        <f>SUMIF(Journal!$G:$G,B182,Journal!$K:$K)</f>
        <v>0</v>
      </c>
      <c r="F182" s="78">
        <f>'Balance N-1'!F182-'Balance N-1'!G182</f>
        <v>0</v>
      </c>
      <c r="G182" s="78">
        <f t="shared" si="6"/>
        <v>0</v>
      </c>
      <c r="H182" s="78">
        <f t="shared" si="7"/>
        <v>0</v>
      </c>
      <c r="I182" s="78">
        <f t="shared" si="8"/>
        <v>0</v>
      </c>
    </row>
    <row r="183" spans="2:9" x14ac:dyDescent="0.35">
      <c r="B183">
        <f>'Plan Comptable'!B183</f>
        <v>5510</v>
      </c>
      <c r="C183" t="str">
        <f>'Plan Comptable'!C183</f>
        <v>Titres à court terme</v>
      </c>
      <c r="D183" s="78">
        <f>SUMIF(Journal!$G:$G,B183,Journal!$J:$J)</f>
        <v>0</v>
      </c>
      <c r="E183" s="78">
        <f>SUMIF(Journal!$G:$G,B183,Journal!$K:$K)</f>
        <v>0</v>
      </c>
      <c r="F183" s="78">
        <f>'Balance N-1'!F183-'Balance N-1'!G183</f>
        <v>0</v>
      </c>
      <c r="G183" s="78">
        <f t="shared" si="6"/>
        <v>0</v>
      </c>
      <c r="H183" s="78">
        <f t="shared" si="7"/>
        <v>0</v>
      </c>
      <c r="I183" s="78">
        <f t="shared" si="8"/>
        <v>0</v>
      </c>
    </row>
    <row r="184" spans="2:9" x14ac:dyDescent="0.35">
      <c r="B184">
        <f>'Plan Comptable'!B184</f>
        <v>5610</v>
      </c>
      <c r="C184" t="str">
        <f>'Plan Comptable'!C184</f>
        <v>Caisse centrale</v>
      </c>
      <c r="D184" s="78">
        <f>SUMIF(Journal!$G:$G,B184,Journal!$J:$J)</f>
        <v>0</v>
      </c>
      <c r="E184" s="78">
        <f>SUMIF(Journal!$G:$G,B184,Journal!$K:$K)</f>
        <v>0</v>
      </c>
      <c r="F184" s="78">
        <f>'Balance N-1'!F184-'Balance N-1'!G184</f>
        <v>0</v>
      </c>
      <c r="G184" s="78">
        <f t="shared" si="6"/>
        <v>0</v>
      </c>
      <c r="H184" s="78">
        <f t="shared" si="7"/>
        <v>0</v>
      </c>
      <c r="I184" s="78">
        <f t="shared" si="8"/>
        <v>0</v>
      </c>
    </row>
    <row r="185" spans="2:9" x14ac:dyDescent="0.35">
      <c r="B185">
        <f>'Plan Comptable'!B185</f>
        <v>5620</v>
      </c>
      <c r="C185" t="str">
        <f>'Plan Comptable'!C185</f>
        <v>Caisse annexe</v>
      </c>
      <c r="D185" s="78">
        <f>SUMIF(Journal!$G:$G,B185,Journal!$J:$J)</f>
        <v>0</v>
      </c>
      <c r="E185" s="78">
        <f>SUMIF(Journal!$G:$G,B185,Journal!$K:$K)</f>
        <v>0</v>
      </c>
      <c r="F185" s="78">
        <f>'Balance N-1'!F185-'Balance N-1'!G185</f>
        <v>0</v>
      </c>
      <c r="G185" s="78">
        <f t="shared" si="6"/>
        <v>0</v>
      </c>
      <c r="H185" s="78">
        <f t="shared" si="7"/>
        <v>0</v>
      </c>
      <c r="I185" s="78">
        <f t="shared" si="8"/>
        <v>0</v>
      </c>
    </row>
    <row r="186" spans="2:9" x14ac:dyDescent="0.35">
      <c r="B186">
        <f>'Plan Comptable'!B186</f>
        <v>5710</v>
      </c>
      <c r="C186" t="str">
        <f>'Plan Comptable'!C186</f>
        <v>Régies d'avances</v>
      </c>
      <c r="D186" s="78">
        <f>SUMIF(Journal!$G:$G,B186,Journal!$J:$J)</f>
        <v>0</v>
      </c>
      <c r="E186" s="78">
        <f>SUMIF(Journal!$G:$G,B186,Journal!$K:$K)</f>
        <v>0</v>
      </c>
      <c r="F186" s="78">
        <f>'Balance N-1'!F186-'Balance N-1'!G186</f>
        <v>0</v>
      </c>
      <c r="G186" s="78">
        <f t="shared" si="6"/>
        <v>0</v>
      </c>
      <c r="H186" s="78">
        <f t="shared" si="7"/>
        <v>0</v>
      </c>
      <c r="I186" s="78">
        <f t="shared" si="8"/>
        <v>0</v>
      </c>
    </row>
    <row r="187" spans="2:9" x14ac:dyDescent="0.35">
      <c r="B187">
        <f>'Plan Comptable'!B187</f>
        <v>5720</v>
      </c>
      <c r="C187" t="str">
        <f>'Plan Comptable'!C187</f>
        <v>Accréditifs</v>
      </c>
      <c r="D187" s="78">
        <f>SUMIF(Journal!$G:$G,B187,Journal!$J:$J)</f>
        <v>0</v>
      </c>
      <c r="E187" s="78">
        <f>SUMIF(Journal!$G:$G,B187,Journal!$K:$K)</f>
        <v>0</v>
      </c>
      <c r="F187" s="78">
        <f>'Balance N-1'!F187-'Balance N-1'!G187</f>
        <v>0</v>
      </c>
      <c r="G187" s="78">
        <f t="shared" si="6"/>
        <v>0</v>
      </c>
      <c r="H187" s="78">
        <f t="shared" si="7"/>
        <v>0</v>
      </c>
      <c r="I187" s="78">
        <f t="shared" si="8"/>
        <v>0</v>
      </c>
    </row>
    <row r="188" spans="2:9" x14ac:dyDescent="0.35">
      <c r="B188">
        <f>'Plan Comptable'!B188</f>
        <v>5810</v>
      </c>
      <c r="C188" t="str">
        <f>'Plan Comptable'!C188</f>
        <v>Virements de fonds</v>
      </c>
      <c r="D188" s="78">
        <f>SUMIF(Journal!$G:$G,B188,Journal!$J:$J)</f>
        <v>0</v>
      </c>
      <c r="E188" s="78">
        <f>SUMIF(Journal!$G:$G,B188,Journal!$K:$K)</f>
        <v>0</v>
      </c>
      <c r="F188" s="78">
        <f>'Balance N-1'!F188-'Balance N-1'!G188</f>
        <v>0</v>
      </c>
      <c r="G188" s="78">
        <f t="shared" si="6"/>
        <v>0</v>
      </c>
      <c r="H188" s="78">
        <f t="shared" si="7"/>
        <v>0</v>
      </c>
      <c r="I188" s="78">
        <f t="shared" si="8"/>
        <v>0</v>
      </c>
    </row>
    <row r="189" spans="2:9" x14ac:dyDescent="0.35">
      <c r="B189">
        <f>'Plan Comptable'!B189</f>
        <v>5910</v>
      </c>
      <c r="C189" t="str">
        <f>'Plan Comptable'!C189</f>
        <v>Concours bancaires courants</v>
      </c>
      <c r="D189" s="78">
        <f>SUMIF(Journal!$G:$G,B189,Journal!$J:$J)</f>
        <v>0</v>
      </c>
      <c r="E189" s="78">
        <f>SUMIF(Journal!$G:$G,B189,Journal!$K:$K)</f>
        <v>0</v>
      </c>
      <c r="F189" s="78">
        <f>'Balance N-1'!F189-'Balance N-1'!G189</f>
        <v>0</v>
      </c>
      <c r="G189" s="78">
        <f t="shared" si="6"/>
        <v>0</v>
      </c>
      <c r="H189" s="78">
        <f t="shared" si="7"/>
        <v>0</v>
      </c>
      <c r="I189" s="78">
        <f t="shared" si="8"/>
        <v>0</v>
      </c>
    </row>
    <row r="190" spans="2:9" x14ac:dyDescent="0.35">
      <c r="B190">
        <f>'Plan Comptable'!B190</f>
        <v>5920</v>
      </c>
      <c r="C190" t="str">
        <f>'Plan Comptable'!C190</f>
        <v>Crédits d'escompte</v>
      </c>
      <c r="D190" s="78">
        <f>SUMIF(Journal!$G:$G,B190,Journal!$J:$J)</f>
        <v>0</v>
      </c>
      <c r="E190" s="78">
        <f>SUMIF(Journal!$G:$G,B190,Journal!$K:$K)</f>
        <v>0</v>
      </c>
      <c r="F190" s="78">
        <f>'Balance N-1'!F190-'Balance N-1'!G190</f>
        <v>0</v>
      </c>
      <c r="G190" s="78">
        <f t="shared" si="6"/>
        <v>0</v>
      </c>
      <c r="H190" s="78">
        <f t="shared" si="7"/>
        <v>0</v>
      </c>
      <c r="I190" s="78">
        <f t="shared" si="8"/>
        <v>0</v>
      </c>
    </row>
    <row r="191" spans="2:9" x14ac:dyDescent="0.35">
      <c r="B191">
        <f>'Plan Comptable'!B191</f>
        <v>5930</v>
      </c>
      <c r="C191" t="str">
        <f>'Plan Comptable'!C191</f>
        <v>Crédits de trésorerie</v>
      </c>
      <c r="D191" s="78">
        <f>SUMIF(Journal!$G:$G,B191,Journal!$J:$J)</f>
        <v>0</v>
      </c>
      <c r="E191" s="78">
        <f>SUMIF(Journal!$G:$G,B191,Journal!$K:$K)</f>
        <v>0</v>
      </c>
      <c r="F191" s="78">
        <f>'Balance N-1'!F191-'Balance N-1'!G191</f>
        <v>0</v>
      </c>
      <c r="G191" s="78">
        <f t="shared" si="6"/>
        <v>0</v>
      </c>
      <c r="H191" s="78">
        <f t="shared" si="7"/>
        <v>0</v>
      </c>
      <c r="I191" s="78">
        <f t="shared" si="8"/>
        <v>0</v>
      </c>
    </row>
    <row r="192" spans="2:9" x14ac:dyDescent="0.35">
      <c r="B192">
        <f>'Plan Comptable'!B192</f>
        <v>5940</v>
      </c>
      <c r="C192" t="str">
        <f>'Plan Comptable'!C192</f>
        <v>Découverts bancaires</v>
      </c>
      <c r="D192" s="78">
        <f>SUMIF(Journal!$G:$G,B192,Journal!$J:$J)</f>
        <v>0</v>
      </c>
      <c r="E192" s="78">
        <f>SUMIF(Journal!$G:$G,B192,Journal!$K:$K)</f>
        <v>0</v>
      </c>
      <c r="F192" s="78">
        <f>'Balance N-1'!F192-'Balance N-1'!G192</f>
        <v>0</v>
      </c>
      <c r="G192" s="78">
        <f t="shared" si="6"/>
        <v>0</v>
      </c>
      <c r="H192" s="78">
        <f t="shared" si="7"/>
        <v>0</v>
      </c>
      <c r="I192" s="78">
        <f t="shared" si="8"/>
        <v>0</v>
      </c>
    </row>
    <row r="193" spans="2:9" x14ac:dyDescent="0.35">
      <c r="B193">
        <f>'Plan Comptable'!B193</f>
        <v>5950</v>
      </c>
      <c r="C193" t="str">
        <f>'Plan Comptable'!C193</f>
        <v>Crédits de campagne</v>
      </c>
      <c r="D193" s="78">
        <f>SUMIF(Journal!$G:$G,B193,Journal!$J:$J)</f>
        <v>0</v>
      </c>
      <c r="E193" s="78">
        <f>SUMIF(Journal!$G:$G,B193,Journal!$K:$K)</f>
        <v>0</v>
      </c>
      <c r="F193" s="78">
        <f>'Balance N-1'!F193-'Balance N-1'!G193</f>
        <v>0</v>
      </c>
      <c r="G193" s="78">
        <f t="shared" si="6"/>
        <v>0</v>
      </c>
      <c r="H193" s="78">
        <f t="shared" si="7"/>
        <v>0</v>
      </c>
      <c r="I193" s="78">
        <f t="shared" si="8"/>
        <v>0</v>
      </c>
    </row>
    <row r="194" spans="2:9" x14ac:dyDescent="0.35">
      <c r="B194">
        <f>'Plan Comptable'!B194</f>
        <v>5990</v>
      </c>
      <c r="C194" t="str">
        <f>'Plan Comptable'!C194</f>
        <v>Prov dépréciation titres CT</v>
      </c>
      <c r="D194" s="78">
        <f>SUMIF(Journal!$G:$G,B194,Journal!$J:$J)</f>
        <v>0</v>
      </c>
      <c r="E194" s="78">
        <f>SUMIF(Journal!$G:$G,B194,Journal!$K:$K)</f>
        <v>0</v>
      </c>
      <c r="F194" s="78">
        <f>'Balance N-1'!F194-'Balance N-1'!G194</f>
        <v>0</v>
      </c>
      <c r="G194" s="78">
        <f t="shared" si="6"/>
        <v>0</v>
      </c>
      <c r="H194" s="78">
        <f t="shared" si="7"/>
        <v>0</v>
      </c>
      <c r="I194" s="78">
        <f t="shared" si="8"/>
        <v>0</v>
      </c>
    </row>
    <row r="195" spans="2:9" x14ac:dyDescent="0.35">
      <c r="B195">
        <f>'Plan Comptable'!B195</f>
        <v>6010</v>
      </c>
      <c r="C195" t="str">
        <f>'Plan Comptable'!C195</f>
        <v>Achats de marchandises</v>
      </c>
      <c r="D195" s="78">
        <f>SUMIF(Journal!$G:$G,B195,Journal!$J:$J)</f>
        <v>0</v>
      </c>
      <c r="E195" s="78">
        <f>SUMIF(Journal!$G:$G,B195,Journal!$K:$K)</f>
        <v>0</v>
      </c>
      <c r="F195" s="78">
        <f>'Balance N-1'!F195-'Balance N-1'!G195</f>
        <v>0</v>
      </c>
      <c r="G195" s="78">
        <f t="shared" si="6"/>
        <v>0</v>
      </c>
      <c r="H195" s="78">
        <f t="shared" si="7"/>
        <v>0</v>
      </c>
      <c r="I195" s="78">
        <f t="shared" si="8"/>
        <v>0</v>
      </c>
    </row>
    <row r="196" spans="2:9" x14ac:dyDescent="0.35">
      <c r="B196">
        <f>'Plan Comptable'!B196</f>
        <v>6020</v>
      </c>
      <c r="C196" t="str">
        <f>'Plan Comptable'!C196</f>
        <v>Variation stocks marchandises</v>
      </c>
      <c r="D196" s="78">
        <f>SUMIF(Journal!$G:$G,B196,Journal!$J:$J)</f>
        <v>0</v>
      </c>
      <c r="E196" s="78">
        <f>SUMIF(Journal!$G:$G,B196,Journal!$K:$K)</f>
        <v>0</v>
      </c>
      <c r="F196" s="78">
        <f>'Balance N-1'!F196-'Balance N-1'!G196</f>
        <v>0</v>
      </c>
      <c r="G196" s="78">
        <f t="shared" si="6"/>
        <v>0</v>
      </c>
      <c r="H196" s="78">
        <f t="shared" si="7"/>
        <v>0</v>
      </c>
      <c r="I196" s="78">
        <f t="shared" si="8"/>
        <v>0</v>
      </c>
    </row>
    <row r="197" spans="2:9" x14ac:dyDescent="0.35">
      <c r="B197">
        <f>'Plan Comptable'!B197</f>
        <v>6030</v>
      </c>
      <c r="C197" t="str">
        <f>'Plan Comptable'!C197</f>
        <v>Variations stocks autres approvisionnements</v>
      </c>
      <c r="D197" s="78">
        <f>SUMIF(Journal!$G:$G,B197,Journal!$J:$J)</f>
        <v>0</v>
      </c>
      <c r="E197" s="78">
        <f>SUMIF(Journal!$G:$G,B197,Journal!$K:$K)</f>
        <v>0</v>
      </c>
      <c r="F197" s="78">
        <f>'Balance N-1'!F197-'Balance N-1'!G197</f>
        <v>0</v>
      </c>
      <c r="G197" s="78">
        <f t="shared" si="6"/>
        <v>0</v>
      </c>
      <c r="H197" s="78">
        <f t="shared" si="7"/>
        <v>0</v>
      </c>
      <c r="I197" s="78">
        <f t="shared" si="8"/>
        <v>0</v>
      </c>
    </row>
    <row r="198" spans="2:9" x14ac:dyDescent="0.35">
      <c r="B198">
        <f>'Plan Comptable'!B198</f>
        <v>6040</v>
      </c>
      <c r="C198" t="str">
        <f>'Plan Comptable'!C198</f>
        <v>Achats stockés matières premières</v>
      </c>
      <c r="D198" s="78">
        <f>SUMIF(Journal!$G:$G,B198,Journal!$J:$J)</f>
        <v>0</v>
      </c>
      <c r="E198" s="78">
        <f>SUMIF(Journal!$G:$G,B198,Journal!$K:$K)</f>
        <v>0</v>
      </c>
      <c r="F198" s="78">
        <f>'Balance N-1'!F198-'Balance N-1'!G198</f>
        <v>0</v>
      </c>
      <c r="G198" s="78">
        <f t="shared" ref="G198:G261" si="9">MAX(F198+D198-E198,0)</f>
        <v>0</v>
      </c>
      <c r="H198" s="78">
        <f t="shared" ref="H198:H261" si="10">MAX(E198-D198-F198,0)</f>
        <v>0</v>
      </c>
      <c r="I198" s="78">
        <f t="shared" ref="I198:I261" si="11">G198-H198</f>
        <v>0</v>
      </c>
    </row>
    <row r="199" spans="2:9" x14ac:dyDescent="0.35">
      <c r="B199">
        <f>'Plan Comptable'!B199</f>
        <v>6050</v>
      </c>
      <c r="C199" t="str">
        <f>'Plan Comptable'!C199</f>
        <v>Autres achats</v>
      </c>
      <c r="D199" s="78">
        <f>SUMIF(Journal!$G:$G,B199,Journal!$J:$J)</f>
        <v>0</v>
      </c>
      <c r="E199" s="78">
        <f>SUMIF(Journal!$G:$G,B199,Journal!$K:$K)</f>
        <v>0</v>
      </c>
      <c r="F199" s="78">
        <f>'Balance N-1'!F199-'Balance N-1'!G199</f>
        <v>0</v>
      </c>
      <c r="G199" s="78">
        <f t="shared" si="9"/>
        <v>0</v>
      </c>
      <c r="H199" s="78">
        <f t="shared" si="10"/>
        <v>0</v>
      </c>
      <c r="I199" s="78">
        <f t="shared" si="11"/>
        <v>0</v>
      </c>
    </row>
    <row r="200" spans="2:9" x14ac:dyDescent="0.35">
      <c r="B200">
        <f>'Plan Comptable'!B200</f>
        <v>6080</v>
      </c>
      <c r="C200" t="str">
        <f>'Plan Comptable'!C200</f>
        <v>Achats d'emballages</v>
      </c>
      <c r="D200" s="78">
        <f>SUMIF(Journal!$G:$G,B200,Journal!$J:$J)</f>
        <v>0</v>
      </c>
      <c r="E200" s="78">
        <f>SUMIF(Journal!$G:$G,B200,Journal!$K:$K)</f>
        <v>0</v>
      </c>
      <c r="F200" s="78">
        <f>'Balance N-1'!F200-'Balance N-1'!G200</f>
        <v>0</v>
      </c>
      <c r="G200" s="78">
        <f t="shared" si="9"/>
        <v>0</v>
      </c>
      <c r="H200" s="78">
        <f t="shared" si="10"/>
        <v>0</v>
      </c>
      <c r="I200" s="78">
        <f t="shared" si="11"/>
        <v>0</v>
      </c>
    </row>
    <row r="201" spans="2:9" x14ac:dyDescent="0.35">
      <c r="B201">
        <f>'Plan Comptable'!B201</f>
        <v>6110</v>
      </c>
      <c r="C201" t="str">
        <f>'Plan Comptable'!C201</f>
        <v>Transports sur achats</v>
      </c>
      <c r="D201" s="78">
        <f>SUMIF(Journal!$G:$G,B201,Journal!$J:$J)</f>
        <v>0</v>
      </c>
      <c r="E201" s="78">
        <f>SUMIF(Journal!$G:$G,B201,Journal!$K:$K)</f>
        <v>0</v>
      </c>
      <c r="F201" s="78">
        <f>'Balance N-1'!F201-'Balance N-1'!G201</f>
        <v>0</v>
      </c>
      <c r="G201" s="78">
        <f t="shared" si="9"/>
        <v>0</v>
      </c>
      <c r="H201" s="78">
        <f t="shared" si="10"/>
        <v>0</v>
      </c>
      <c r="I201" s="78">
        <f t="shared" si="11"/>
        <v>0</v>
      </c>
    </row>
    <row r="202" spans="2:9" x14ac:dyDescent="0.35">
      <c r="B202">
        <f>'Plan Comptable'!B202</f>
        <v>6120</v>
      </c>
      <c r="C202" t="str">
        <f>'Plan Comptable'!C202</f>
        <v>Transports sur ventes</v>
      </c>
      <c r="D202" s="78">
        <f>SUMIF(Journal!$G:$G,B202,Journal!$J:$J)</f>
        <v>0</v>
      </c>
      <c r="E202" s="78">
        <f>SUMIF(Journal!$G:$G,B202,Journal!$K:$K)</f>
        <v>0</v>
      </c>
      <c r="F202" s="78">
        <f>'Balance N-1'!F202-'Balance N-1'!G202</f>
        <v>0</v>
      </c>
      <c r="G202" s="78">
        <f t="shared" si="9"/>
        <v>0</v>
      </c>
      <c r="H202" s="78">
        <f t="shared" si="10"/>
        <v>0</v>
      </c>
      <c r="I202" s="78">
        <f t="shared" si="11"/>
        <v>0</v>
      </c>
    </row>
    <row r="203" spans="2:9" x14ac:dyDescent="0.35">
      <c r="B203">
        <f>'Plan Comptable'!B203</f>
        <v>6130</v>
      </c>
      <c r="C203" t="str">
        <f>'Plan Comptable'!C203</f>
        <v>Transports pour le compte de tiers</v>
      </c>
      <c r="D203" s="78">
        <f>SUMIF(Journal!$G:$G,B203,Journal!$J:$J)</f>
        <v>0</v>
      </c>
      <c r="E203" s="78">
        <f>SUMIF(Journal!$G:$G,B203,Journal!$K:$K)</f>
        <v>0</v>
      </c>
      <c r="F203" s="78">
        <f>'Balance N-1'!F203-'Balance N-1'!G203</f>
        <v>0</v>
      </c>
      <c r="G203" s="78">
        <f t="shared" si="9"/>
        <v>0</v>
      </c>
      <c r="H203" s="78">
        <f t="shared" si="10"/>
        <v>0</v>
      </c>
      <c r="I203" s="78">
        <f t="shared" si="11"/>
        <v>0</v>
      </c>
    </row>
    <row r="204" spans="2:9" x14ac:dyDescent="0.35">
      <c r="B204">
        <f>'Plan Comptable'!B204</f>
        <v>6140</v>
      </c>
      <c r="C204" t="str">
        <f>'Plan Comptable'!C204</f>
        <v>Transports du personnel</v>
      </c>
      <c r="D204" s="78">
        <f>SUMIF(Journal!$G:$G,B204,Journal!$J:$J)</f>
        <v>0</v>
      </c>
      <c r="E204" s="78">
        <f>SUMIF(Journal!$G:$G,B204,Journal!$K:$K)</f>
        <v>0</v>
      </c>
      <c r="F204" s="78">
        <f>'Balance N-1'!F204-'Balance N-1'!G204</f>
        <v>0</v>
      </c>
      <c r="G204" s="78">
        <f t="shared" si="9"/>
        <v>0</v>
      </c>
      <c r="H204" s="78">
        <f t="shared" si="10"/>
        <v>0</v>
      </c>
      <c r="I204" s="78">
        <f t="shared" si="11"/>
        <v>0</v>
      </c>
    </row>
    <row r="205" spans="2:9" x14ac:dyDescent="0.35">
      <c r="B205">
        <f>'Plan Comptable'!B205</f>
        <v>6210</v>
      </c>
      <c r="C205" t="str">
        <f>'Plan Comptable'!C205</f>
        <v>Sous-traitance générale</v>
      </c>
      <c r="D205" s="78">
        <f>SUMIF(Journal!$G:$G,B205,Journal!$J:$J)</f>
        <v>0</v>
      </c>
      <c r="E205" s="78">
        <f>SUMIF(Journal!$G:$G,B205,Journal!$K:$K)</f>
        <v>0</v>
      </c>
      <c r="F205" s="78">
        <f>'Balance N-1'!F205-'Balance N-1'!G205</f>
        <v>0</v>
      </c>
      <c r="G205" s="78">
        <f t="shared" si="9"/>
        <v>0</v>
      </c>
      <c r="H205" s="78">
        <f t="shared" si="10"/>
        <v>0</v>
      </c>
      <c r="I205" s="78">
        <f t="shared" si="11"/>
        <v>0</v>
      </c>
    </row>
    <row r="206" spans="2:9" x14ac:dyDescent="0.35">
      <c r="B206">
        <f>'Plan Comptable'!B206</f>
        <v>6220</v>
      </c>
      <c r="C206" t="str">
        <f>'Plan Comptable'!C206</f>
        <v>Locations et charges locatives</v>
      </c>
      <c r="D206" s="78">
        <f>SUMIF(Journal!$G:$G,B206,Journal!$J:$J)</f>
        <v>0</v>
      </c>
      <c r="E206" s="78">
        <f>SUMIF(Journal!$G:$G,B206,Journal!$K:$K)</f>
        <v>0</v>
      </c>
      <c r="F206" s="78">
        <f>'Balance N-1'!F206-'Balance N-1'!G206</f>
        <v>0</v>
      </c>
      <c r="G206" s="78">
        <f t="shared" si="9"/>
        <v>0</v>
      </c>
      <c r="H206" s="78">
        <f t="shared" si="10"/>
        <v>0</v>
      </c>
      <c r="I206" s="78">
        <f t="shared" si="11"/>
        <v>0</v>
      </c>
    </row>
    <row r="207" spans="2:9" x14ac:dyDescent="0.35">
      <c r="B207">
        <f>'Plan Comptable'!B207</f>
        <v>6230</v>
      </c>
      <c r="C207" t="str">
        <f>'Plan Comptable'!C207</f>
        <v>Redevances de crédit-bail</v>
      </c>
      <c r="D207" s="78">
        <f>SUMIF(Journal!$G:$G,B207,Journal!$J:$J)</f>
        <v>0</v>
      </c>
      <c r="E207" s="78">
        <f>SUMIF(Journal!$G:$G,B207,Journal!$K:$K)</f>
        <v>0</v>
      </c>
      <c r="F207" s="78">
        <f>'Balance N-1'!F207-'Balance N-1'!G207</f>
        <v>0</v>
      </c>
      <c r="G207" s="78">
        <f t="shared" si="9"/>
        <v>0</v>
      </c>
      <c r="H207" s="78">
        <f t="shared" si="10"/>
        <v>0</v>
      </c>
      <c r="I207" s="78">
        <f t="shared" si="11"/>
        <v>0</v>
      </c>
    </row>
    <row r="208" spans="2:9" x14ac:dyDescent="0.35">
      <c r="B208">
        <f>'Plan Comptable'!B208</f>
        <v>6240</v>
      </c>
      <c r="C208" t="str">
        <f>'Plan Comptable'!C208</f>
        <v>Entretien réparations maintenance</v>
      </c>
      <c r="D208" s="78">
        <f>SUMIF(Journal!$G:$G,B208,Journal!$J:$J)</f>
        <v>0</v>
      </c>
      <c r="E208" s="78">
        <f>SUMIF(Journal!$G:$G,B208,Journal!$K:$K)</f>
        <v>0</v>
      </c>
      <c r="F208" s="78">
        <f>'Balance N-1'!F208-'Balance N-1'!G208</f>
        <v>0</v>
      </c>
      <c r="G208" s="78">
        <f t="shared" si="9"/>
        <v>0</v>
      </c>
      <c r="H208" s="78">
        <f t="shared" si="10"/>
        <v>0</v>
      </c>
      <c r="I208" s="78">
        <f t="shared" si="11"/>
        <v>0</v>
      </c>
    </row>
    <row r="209" spans="2:9" x14ac:dyDescent="0.35">
      <c r="B209">
        <f>'Plan Comptable'!B209</f>
        <v>6250</v>
      </c>
      <c r="C209" t="str">
        <f>'Plan Comptable'!C209</f>
        <v>Primes d'assurance</v>
      </c>
      <c r="D209" s="78">
        <f>SUMIF(Journal!$G:$G,B209,Journal!$J:$J)</f>
        <v>0</v>
      </c>
      <c r="E209" s="78">
        <f>SUMIF(Journal!$G:$G,B209,Journal!$K:$K)</f>
        <v>0</v>
      </c>
      <c r="F209" s="78">
        <f>'Balance N-1'!F209-'Balance N-1'!G209</f>
        <v>0</v>
      </c>
      <c r="G209" s="78">
        <f t="shared" si="9"/>
        <v>0</v>
      </c>
      <c r="H209" s="78">
        <f t="shared" si="10"/>
        <v>0</v>
      </c>
      <c r="I209" s="78">
        <f t="shared" si="11"/>
        <v>0</v>
      </c>
    </row>
    <row r="210" spans="2:9" x14ac:dyDescent="0.35">
      <c r="B210">
        <f>'Plan Comptable'!B210</f>
        <v>6260</v>
      </c>
      <c r="C210" t="str">
        <f>'Plan Comptable'!C210</f>
        <v>Études recherches</v>
      </c>
      <c r="D210" s="78">
        <f>SUMIF(Journal!$G:$G,B210,Journal!$J:$J)</f>
        <v>0</v>
      </c>
      <c r="E210" s="78">
        <f>SUMIF(Journal!$G:$G,B210,Journal!$K:$K)</f>
        <v>0</v>
      </c>
      <c r="F210" s="78">
        <f>'Balance N-1'!F210-'Balance N-1'!G210</f>
        <v>0</v>
      </c>
      <c r="G210" s="78">
        <f t="shared" si="9"/>
        <v>0</v>
      </c>
      <c r="H210" s="78">
        <f t="shared" si="10"/>
        <v>0</v>
      </c>
      <c r="I210" s="78">
        <f t="shared" si="11"/>
        <v>0</v>
      </c>
    </row>
    <row r="211" spans="2:9" x14ac:dyDescent="0.35">
      <c r="B211">
        <f>'Plan Comptable'!B211</f>
        <v>6270</v>
      </c>
      <c r="C211" t="str">
        <f>'Plan Comptable'!C211</f>
        <v>Publicité publications relations publiques</v>
      </c>
      <c r="D211" s="78">
        <f>SUMIF(Journal!$G:$G,B211,Journal!$J:$J)</f>
        <v>0</v>
      </c>
      <c r="E211" s="78">
        <f>SUMIF(Journal!$G:$G,B211,Journal!$K:$K)</f>
        <v>0</v>
      </c>
      <c r="F211" s="78">
        <f>'Balance N-1'!F211-'Balance N-1'!G211</f>
        <v>0</v>
      </c>
      <c r="G211" s="78">
        <f t="shared" si="9"/>
        <v>0</v>
      </c>
      <c r="H211" s="78">
        <f t="shared" si="10"/>
        <v>0</v>
      </c>
      <c r="I211" s="78">
        <f t="shared" si="11"/>
        <v>0</v>
      </c>
    </row>
    <row r="212" spans="2:9" x14ac:dyDescent="0.35">
      <c r="B212">
        <f>'Plan Comptable'!B212</f>
        <v>6280</v>
      </c>
      <c r="C212" t="str">
        <f>'Plan Comptable'!C212</f>
        <v>Frais de télécommunications</v>
      </c>
      <c r="D212" s="78">
        <f>SUMIF(Journal!$G:$G,B212,Journal!$J:$J)</f>
        <v>0</v>
      </c>
      <c r="E212" s="78">
        <f>SUMIF(Journal!$G:$G,B212,Journal!$K:$K)</f>
        <v>0</v>
      </c>
      <c r="F212" s="78">
        <f>'Balance N-1'!F212-'Balance N-1'!G212</f>
        <v>0</v>
      </c>
      <c r="G212" s="78">
        <f t="shared" si="9"/>
        <v>0</v>
      </c>
      <c r="H212" s="78">
        <f t="shared" si="10"/>
        <v>0</v>
      </c>
      <c r="I212" s="78">
        <f t="shared" si="11"/>
        <v>0</v>
      </c>
    </row>
    <row r="213" spans="2:9" x14ac:dyDescent="0.35">
      <c r="B213">
        <f>'Plan Comptable'!B213</f>
        <v>6310</v>
      </c>
      <c r="C213" t="str">
        <f>'Plan Comptable'!C213</f>
        <v>Frais bancaires</v>
      </c>
      <c r="D213" s="78">
        <f>SUMIF(Journal!$G:$G,B213,Journal!$J:$J)</f>
        <v>0</v>
      </c>
      <c r="E213" s="78">
        <f>SUMIF(Journal!$G:$G,B213,Journal!$K:$K)</f>
        <v>0</v>
      </c>
      <c r="F213" s="78">
        <f>'Balance N-1'!F213-'Balance N-1'!G213</f>
        <v>0</v>
      </c>
      <c r="G213" s="78">
        <f t="shared" si="9"/>
        <v>0</v>
      </c>
      <c r="H213" s="78">
        <f t="shared" si="10"/>
        <v>0</v>
      </c>
      <c r="I213" s="78">
        <f t="shared" si="11"/>
        <v>0</v>
      </c>
    </row>
    <row r="214" spans="2:9" x14ac:dyDescent="0.35">
      <c r="B214">
        <f>'Plan Comptable'!B214</f>
        <v>6320</v>
      </c>
      <c r="C214" t="str">
        <f>'Plan Comptable'!C214</f>
        <v>Rémunérations intermédiaires conseils</v>
      </c>
      <c r="D214" s="78">
        <f>SUMIF(Journal!$G:$G,B214,Journal!$J:$J)</f>
        <v>0</v>
      </c>
      <c r="E214" s="78">
        <f>SUMIF(Journal!$G:$G,B214,Journal!$K:$K)</f>
        <v>0</v>
      </c>
      <c r="F214" s="78">
        <f>'Balance N-1'!F214-'Balance N-1'!G214</f>
        <v>0</v>
      </c>
      <c r="G214" s="78">
        <f t="shared" si="9"/>
        <v>0</v>
      </c>
      <c r="H214" s="78">
        <f t="shared" si="10"/>
        <v>0</v>
      </c>
      <c r="I214" s="78">
        <f t="shared" si="11"/>
        <v>0</v>
      </c>
    </row>
    <row r="215" spans="2:9" x14ac:dyDescent="0.35">
      <c r="B215">
        <f>'Plan Comptable'!B215</f>
        <v>6330</v>
      </c>
      <c r="C215" t="str">
        <f>'Plan Comptable'!C215</f>
        <v>Frais de formation du personnel</v>
      </c>
      <c r="D215" s="78">
        <f>SUMIF(Journal!$G:$G,B215,Journal!$J:$J)</f>
        <v>0</v>
      </c>
      <c r="E215" s="78">
        <f>SUMIF(Journal!$G:$G,B215,Journal!$K:$K)</f>
        <v>0</v>
      </c>
      <c r="F215" s="78">
        <f>'Balance N-1'!F215-'Balance N-1'!G215</f>
        <v>0</v>
      </c>
      <c r="G215" s="78">
        <f t="shared" si="9"/>
        <v>0</v>
      </c>
      <c r="H215" s="78">
        <f t="shared" si="10"/>
        <v>0</v>
      </c>
      <c r="I215" s="78">
        <f t="shared" si="11"/>
        <v>0</v>
      </c>
    </row>
    <row r="216" spans="2:9" x14ac:dyDescent="0.35">
      <c r="B216">
        <f>'Plan Comptable'!B216</f>
        <v>6340</v>
      </c>
      <c r="C216" t="str">
        <f>'Plan Comptable'!C216</f>
        <v>Redevances brevets licences</v>
      </c>
      <c r="D216" s="78">
        <f>SUMIF(Journal!$G:$G,B216,Journal!$J:$J)</f>
        <v>0</v>
      </c>
      <c r="E216" s="78">
        <f>SUMIF(Journal!$G:$G,B216,Journal!$K:$K)</f>
        <v>0</v>
      </c>
      <c r="F216" s="78">
        <f>'Balance N-1'!F216-'Balance N-1'!G216</f>
        <v>0</v>
      </c>
      <c r="G216" s="78">
        <f t="shared" si="9"/>
        <v>0</v>
      </c>
      <c r="H216" s="78">
        <f t="shared" si="10"/>
        <v>0</v>
      </c>
      <c r="I216" s="78">
        <f t="shared" si="11"/>
        <v>0</v>
      </c>
    </row>
    <row r="217" spans="2:9" x14ac:dyDescent="0.35">
      <c r="B217">
        <f>'Plan Comptable'!B217</f>
        <v>6350</v>
      </c>
      <c r="C217" t="str">
        <f>'Plan Comptable'!C217</f>
        <v>Cotisations</v>
      </c>
      <c r="D217" s="78">
        <f>SUMIF(Journal!$G:$G,B217,Journal!$J:$J)</f>
        <v>0</v>
      </c>
      <c r="E217" s="78">
        <f>SUMIF(Journal!$G:$G,B217,Journal!$K:$K)</f>
        <v>0</v>
      </c>
      <c r="F217" s="78">
        <f>'Balance N-1'!F217-'Balance N-1'!G217</f>
        <v>0</v>
      </c>
      <c r="G217" s="78">
        <f t="shared" si="9"/>
        <v>0</v>
      </c>
      <c r="H217" s="78">
        <f t="shared" si="10"/>
        <v>0</v>
      </c>
      <c r="I217" s="78">
        <f t="shared" si="11"/>
        <v>0</v>
      </c>
    </row>
    <row r="218" spans="2:9" x14ac:dyDescent="0.35">
      <c r="B218">
        <f>'Plan Comptable'!B218</f>
        <v>6380</v>
      </c>
      <c r="C218" t="str">
        <f>'Plan Comptable'!C218</f>
        <v>Autres charges externes</v>
      </c>
      <c r="D218" s="78">
        <f>SUMIF(Journal!$G:$G,B218,Journal!$J:$J)</f>
        <v>0</v>
      </c>
      <c r="E218" s="78">
        <f>SUMIF(Journal!$G:$G,B218,Journal!$K:$K)</f>
        <v>0</v>
      </c>
      <c r="F218" s="78">
        <f>'Balance N-1'!F218-'Balance N-1'!G218</f>
        <v>0</v>
      </c>
      <c r="G218" s="78">
        <f t="shared" si="9"/>
        <v>0</v>
      </c>
      <c r="H218" s="78">
        <f t="shared" si="10"/>
        <v>0</v>
      </c>
      <c r="I218" s="78">
        <f t="shared" si="11"/>
        <v>0</v>
      </c>
    </row>
    <row r="219" spans="2:9" x14ac:dyDescent="0.35">
      <c r="B219">
        <f>'Plan Comptable'!B219</f>
        <v>6410</v>
      </c>
      <c r="C219" t="str">
        <f>'Plan Comptable'!C219</f>
        <v>Impôts taxes et versements assimilés</v>
      </c>
      <c r="D219" s="78">
        <f>SUMIF(Journal!$G:$G,B219,Journal!$J:$J)</f>
        <v>0</v>
      </c>
      <c r="E219" s="78">
        <f>SUMIF(Journal!$G:$G,B219,Journal!$K:$K)</f>
        <v>0</v>
      </c>
      <c r="F219" s="78">
        <f>'Balance N-1'!F219-'Balance N-1'!G219</f>
        <v>0</v>
      </c>
      <c r="G219" s="78">
        <f t="shared" si="9"/>
        <v>0</v>
      </c>
      <c r="H219" s="78">
        <f t="shared" si="10"/>
        <v>0</v>
      </c>
      <c r="I219" s="78">
        <f t="shared" si="11"/>
        <v>0</v>
      </c>
    </row>
    <row r="220" spans="2:9" x14ac:dyDescent="0.35">
      <c r="B220">
        <f>'Plan Comptable'!B220</f>
        <v>6460</v>
      </c>
      <c r="C220" t="str">
        <f>'Plan Comptable'!C220</f>
        <v>Droits d'enregistrement</v>
      </c>
      <c r="D220" s="78">
        <f>SUMIF(Journal!$G:$G,B220,Journal!$J:$J)</f>
        <v>0</v>
      </c>
      <c r="E220" s="78">
        <f>SUMIF(Journal!$G:$G,B220,Journal!$K:$K)</f>
        <v>0</v>
      </c>
      <c r="F220" s="78">
        <f>'Balance N-1'!F220-'Balance N-1'!G220</f>
        <v>0</v>
      </c>
      <c r="G220" s="78">
        <f t="shared" si="9"/>
        <v>0</v>
      </c>
      <c r="H220" s="78">
        <f t="shared" si="10"/>
        <v>0</v>
      </c>
      <c r="I220" s="78">
        <f t="shared" si="11"/>
        <v>0</v>
      </c>
    </row>
    <row r="221" spans="2:9" x14ac:dyDescent="0.35">
      <c r="B221">
        <f>'Plan Comptable'!B221</f>
        <v>6470</v>
      </c>
      <c r="C221" t="str">
        <f>'Plan Comptable'!C221</f>
        <v>Droits de douane</v>
      </c>
      <c r="D221" s="78">
        <f>SUMIF(Journal!$G:$G,B221,Journal!$J:$J)</f>
        <v>0</v>
      </c>
      <c r="E221" s="78">
        <f>SUMIF(Journal!$G:$G,B221,Journal!$K:$K)</f>
        <v>0</v>
      </c>
      <c r="F221" s="78">
        <f>'Balance N-1'!F221-'Balance N-1'!G221</f>
        <v>0</v>
      </c>
      <c r="G221" s="78">
        <f t="shared" si="9"/>
        <v>0</v>
      </c>
      <c r="H221" s="78">
        <f t="shared" si="10"/>
        <v>0</v>
      </c>
      <c r="I221" s="78">
        <f t="shared" si="11"/>
        <v>0</v>
      </c>
    </row>
    <row r="222" spans="2:9" x14ac:dyDescent="0.35">
      <c r="B222">
        <f>'Plan Comptable'!B222</f>
        <v>6480</v>
      </c>
      <c r="C222" t="str">
        <f>'Plan Comptable'!C222</f>
        <v>Autres impôts taxes et versements</v>
      </c>
      <c r="D222" s="78">
        <f>SUMIF(Journal!$G:$G,B222,Journal!$J:$J)</f>
        <v>0</v>
      </c>
      <c r="E222" s="78">
        <f>SUMIF(Journal!$G:$G,B222,Journal!$K:$K)</f>
        <v>0</v>
      </c>
      <c r="F222" s="78">
        <f>'Balance N-1'!F222-'Balance N-1'!G222</f>
        <v>0</v>
      </c>
      <c r="G222" s="78">
        <f t="shared" si="9"/>
        <v>0</v>
      </c>
      <c r="H222" s="78">
        <f t="shared" si="10"/>
        <v>0</v>
      </c>
      <c r="I222" s="78">
        <f t="shared" si="11"/>
        <v>0</v>
      </c>
    </row>
    <row r="223" spans="2:9" x14ac:dyDescent="0.35">
      <c r="B223">
        <f>'Plan Comptable'!B223</f>
        <v>6510</v>
      </c>
      <c r="C223" t="str">
        <f>'Plan Comptable'!C223</f>
        <v>Personnel temporaire</v>
      </c>
      <c r="D223" s="78">
        <f>SUMIF(Journal!$G:$G,B223,Journal!$J:$J)</f>
        <v>0</v>
      </c>
      <c r="E223" s="78">
        <f>SUMIF(Journal!$G:$G,B223,Journal!$K:$K)</f>
        <v>0</v>
      </c>
      <c r="F223" s="78">
        <f>'Balance N-1'!F223-'Balance N-1'!G223</f>
        <v>0</v>
      </c>
      <c r="G223" s="78">
        <f t="shared" si="9"/>
        <v>0</v>
      </c>
      <c r="H223" s="78">
        <f t="shared" si="10"/>
        <v>0</v>
      </c>
      <c r="I223" s="78">
        <f t="shared" si="11"/>
        <v>0</v>
      </c>
    </row>
    <row r="224" spans="2:9" x14ac:dyDescent="0.35">
      <c r="B224">
        <f>'Plan Comptable'!B224</f>
        <v>6520</v>
      </c>
      <c r="C224" t="str">
        <f>'Plan Comptable'!C224</f>
        <v>Personnel détaché facturé</v>
      </c>
      <c r="D224" s="78">
        <f>SUMIF(Journal!$G:$G,B224,Journal!$J:$J)</f>
        <v>0</v>
      </c>
      <c r="E224" s="78">
        <f>SUMIF(Journal!$G:$G,B224,Journal!$K:$K)</f>
        <v>0</v>
      </c>
      <c r="F224" s="78">
        <f>'Balance N-1'!F224-'Balance N-1'!G224</f>
        <v>0</v>
      </c>
      <c r="G224" s="78">
        <f t="shared" si="9"/>
        <v>0</v>
      </c>
      <c r="H224" s="78">
        <f t="shared" si="10"/>
        <v>0</v>
      </c>
      <c r="I224" s="78">
        <f t="shared" si="11"/>
        <v>0</v>
      </c>
    </row>
    <row r="225" spans="2:9" x14ac:dyDescent="0.35">
      <c r="B225">
        <f>'Plan Comptable'!B225</f>
        <v>6610</v>
      </c>
      <c r="C225" t="str">
        <f>'Plan Comptable'!C225</f>
        <v>Rémunérations directes du personnel national</v>
      </c>
      <c r="D225" s="78">
        <f>SUMIF(Journal!$G:$G,B225,Journal!$J:$J)</f>
        <v>0</v>
      </c>
      <c r="E225" s="78">
        <f>SUMIF(Journal!$G:$G,B225,Journal!$K:$K)</f>
        <v>0</v>
      </c>
      <c r="F225" s="78">
        <f>'Balance N-1'!F225-'Balance N-1'!G225</f>
        <v>0</v>
      </c>
      <c r="G225" s="78">
        <f t="shared" si="9"/>
        <v>0</v>
      </c>
      <c r="H225" s="78">
        <f t="shared" si="10"/>
        <v>0</v>
      </c>
      <c r="I225" s="78">
        <f t="shared" si="11"/>
        <v>0</v>
      </c>
    </row>
    <row r="226" spans="2:9" x14ac:dyDescent="0.35">
      <c r="B226">
        <f>'Plan Comptable'!B226</f>
        <v>6620</v>
      </c>
      <c r="C226" t="str">
        <f>'Plan Comptable'!C226</f>
        <v>Rémunérations directes du personnel non national</v>
      </c>
      <c r="D226" s="78">
        <f>SUMIF(Journal!$G:$G,B226,Journal!$J:$J)</f>
        <v>0</v>
      </c>
      <c r="E226" s="78">
        <f>SUMIF(Journal!$G:$G,B226,Journal!$K:$K)</f>
        <v>0</v>
      </c>
      <c r="F226" s="78">
        <f>'Balance N-1'!F226-'Balance N-1'!G226</f>
        <v>0</v>
      </c>
      <c r="G226" s="78">
        <f t="shared" si="9"/>
        <v>0</v>
      </c>
      <c r="H226" s="78">
        <f t="shared" si="10"/>
        <v>0</v>
      </c>
      <c r="I226" s="78">
        <f t="shared" si="11"/>
        <v>0</v>
      </c>
    </row>
    <row r="227" spans="2:9" x14ac:dyDescent="0.35">
      <c r="B227">
        <f>'Plan Comptable'!B227</f>
        <v>6630</v>
      </c>
      <c r="C227" t="str">
        <f>'Plan Comptable'!C227</f>
        <v>Indemnités forfaitaires versées au personnel</v>
      </c>
      <c r="D227" s="78">
        <f>SUMIF(Journal!$G:$G,B227,Journal!$J:$J)</f>
        <v>0</v>
      </c>
      <c r="E227" s="78">
        <f>SUMIF(Journal!$G:$G,B227,Journal!$K:$K)</f>
        <v>0</v>
      </c>
      <c r="F227" s="78">
        <f>'Balance N-1'!F227-'Balance N-1'!G227</f>
        <v>0</v>
      </c>
      <c r="G227" s="78">
        <f t="shared" si="9"/>
        <v>0</v>
      </c>
      <c r="H227" s="78">
        <f t="shared" si="10"/>
        <v>0</v>
      </c>
      <c r="I227" s="78">
        <f t="shared" si="11"/>
        <v>0</v>
      </c>
    </row>
    <row r="228" spans="2:9" x14ac:dyDescent="0.35">
      <c r="B228">
        <f>'Plan Comptable'!B228</f>
        <v>6640</v>
      </c>
      <c r="C228" t="str">
        <f>'Plan Comptable'!C228</f>
        <v>Commissions au personnel</v>
      </c>
      <c r="D228" s="78">
        <f>SUMIF(Journal!$G:$G,B228,Journal!$J:$J)</f>
        <v>0</v>
      </c>
      <c r="E228" s="78">
        <f>SUMIF(Journal!$G:$G,B228,Journal!$K:$K)</f>
        <v>0</v>
      </c>
      <c r="F228" s="78">
        <f>'Balance N-1'!F228-'Balance N-1'!G228</f>
        <v>0</v>
      </c>
      <c r="G228" s="78">
        <f t="shared" si="9"/>
        <v>0</v>
      </c>
      <c r="H228" s="78">
        <f t="shared" si="10"/>
        <v>0</v>
      </c>
      <c r="I228" s="78">
        <f t="shared" si="11"/>
        <v>0</v>
      </c>
    </row>
    <row r="229" spans="2:9" x14ac:dyDescent="0.35">
      <c r="B229">
        <f>'Plan Comptable'!B229</f>
        <v>6650</v>
      </c>
      <c r="C229" t="str">
        <f>'Plan Comptable'!C229</f>
        <v>Rémunérations des administrateurs</v>
      </c>
      <c r="D229" s="78">
        <f>SUMIF(Journal!$G:$G,B229,Journal!$J:$J)</f>
        <v>0</v>
      </c>
      <c r="E229" s="78">
        <f>SUMIF(Journal!$G:$G,B229,Journal!$K:$K)</f>
        <v>0</v>
      </c>
      <c r="F229" s="78">
        <f>'Balance N-1'!F229-'Balance N-1'!G229</f>
        <v>0</v>
      </c>
      <c r="G229" s="78">
        <f t="shared" si="9"/>
        <v>0</v>
      </c>
      <c r="H229" s="78">
        <f t="shared" si="10"/>
        <v>0</v>
      </c>
      <c r="I229" s="78">
        <f t="shared" si="11"/>
        <v>0</v>
      </c>
    </row>
    <row r="230" spans="2:9" x14ac:dyDescent="0.35">
      <c r="B230">
        <f>'Plan Comptable'!B230</f>
        <v>6660</v>
      </c>
      <c r="C230" t="str">
        <f>'Plan Comptable'!C230</f>
        <v>Rémunérations et charges sociales de l'exploitant</v>
      </c>
      <c r="D230" s="78">
        <f>SUMIF(Journal!$G:$G,B230,Journal!$J:$J)</f>
        <v>0</v>
      </c>
      <c r="E230" s="78">
        <f>SUMIF(Journal!$G:$G,B230,Journal!$K:$K)</f>
        <v>0</v>
      </c>
      <c r="F230" s="78">
        <f>'Balance N-1'!F230-'Balance N-1'!G230</f>
        <v>0</v>
      </c>
      <c r="G230" s="78">
        <f t="shared" si="9"/>
        <v>0</v>
      </c>
      <c r="H230" s="78">
        <f t="shared" si="10"/>
        <v>0</v>
      </c>
      <c r="I230" s="78">
        <f t="shared" si="11"/>
        <v>0</v>
      </c>
    </row>
    <row r="231" spans="2:9" x14ac:dyDescent="0.35">
      <c r="B231">
        <f>'Plan Comptable'!B231</f>
        <v>6710</v>
      </c>
      <c r="C231" t="str">
        <f>'Plan Comptable'!C231</f>
        <v>Charges sociales</v>
      </c>
      <c r="D231" s="78">
        <f>SUMIF(Journal!$G:$G,B231,Journal!$J:$J)</f>
        <v>0</v>
      </c>
      <c r="E231" s="78">
        <f>SUMIF(Journal!$G:$G,B231,Journal!$K:$K)</f>
        <v>0</v>
      </c>
      <c r="F231" s="78">
        <f>'Balance N-1'!F231-'Balance N-1'!G231</f>
        <v>0</v>
      </c>
      <c r="G231" s="78">
        <f t="shared" si="9"/>
        <v>0</v>
      </c>
      <c r="H231" s="78">
        <f t="shared" si="10"/>
        <v>0</v>
      </c>
      <c r="I231" s="78">
        <f t="shared" si="11"/>
        <v>0</v>
      </c>
    </row>
    <row r="232" spans="2:9" x14ac:dyDescent="0.35">
      <c r="B232">
        <f>'Plan Comptable'!B232</f>
        <v>6810</v>
      </c>
      <c r="C232" t="str">
        <f>'Plan Comptable'!C232</f>
        <v>Dotations aux amortissements</v>
      </c>
      <c r="D232" s="78">
        <f>SUMIF(Journal!$G:$G,B232,Journal!$J:$J)</f>
        <v>0</v>
      </c>
      <c r="E232" s="78">
        <f>SUMIF(Journal!$G:$G,B232,Journal!$K:$K)</f>
        <v>0</v>
      </c>
      <c r="F232" s="78">
        <f>'Balance N-1'!F232-'Balance N-1'!G232</f>
        <v>0</v>
      </c>
      <c r="G232" s="78">
        <f t="shared" si="9"/>
        <v>0</v>
      </c>
      <c r="H232" s="78">
        <f t="shared" si="10"/>
        <v>0</v>
      </c>
      <c r="I232" s="78">
        <f t="shared" si="11"/>
        <v>0</v>
      </c>
    </row>
    <row r="233" spans="2:9" x14ac:dyDescent="0.35">
      <c r="B233">
        <f>'Plan Comptable'!B233</f>
        <v>6811</v>
      </c>
      <c r="C233" t="str">
        <f>'Plan Comptable'!C233</f>
        <v>DAP charges immobilisées</v>
      </c>
      <c r="D233" s="78">
        <f>SUMIF(Journal!$G:$G,B233,Journal!$J:$J)</f>
        <v>0</v>
      </c>
      <c r="E233" s="78">
        <f>SUMIF(Journal!$G:$G,B233,Journal!$K:$K)</f>
        <v>0</v>
      </c>
      <c r="F233" s="78">
        <f>'Balance N-1'!F233-'Balance N-1'!G233</f>
        <v>0</v>
      </c>
      <c r="G233" s="78">
        <f t="shared" si="9"/>
        <v>0</v>
      </c>
      <c r="H233" s="78">
        <f t="shared" si="10"/>
        <v>0</v>
      </c>
      <c r="I233" s="78">
        <f t="shared" si="11"/>
        <v>0</v>
      </c>
    </row>
    <row r="234" spans="2:9" x14ac:dyDescent="0.35">
      <c r="B234">
        <f>'Plan Comptable'!B234</f>
        <v>6812</v>
      </c>
      <c r="C234" t="str">
        <f>'Plan Comptable'!C234</f>
        <v>DAP immo incorporelles</v>
      </c>
      <c r="D234" s="78">
        <f>SUMIF(Journal!$G:$G,B234,Journal!$J:$J)</f>
        <v>0</v>
      </c>
      <c r="E234" s="78">
        <f>SUMIF(Journal!$G:$G,B234,Journal!$K:$K)</f>
        <v>0</v>
      </c>
      <c r="F234" s="78">
        <f>'Balance N-1'!F234-'Balance N-1'!G234</f>
        <v>0</v>
      </c>
      <c r="G234" s="78">
        <f t="shared" si="9"/>
        <v>0</v>
      </c>
      <c r="H234" s="78">
        <f t="shared" si="10"/>
        <v>0</v>
      </c>
      <c r="I234" s="78">
        <f t="shared" si="11"/>
        <v>0</v>
      </c>
    </row>
    <row r="235" spans="2:9" x14ac:dyDescent="0.35">
      <c r="B235">
        <f>'Plan Comptable'!B235</f>
        <v>6813</v>
      </c>
      <c r="C235" t="str">
        <f>'Plan Comptable'!C235</f>
        <v>DAP immo corporelles</v>
      </c>
      <c r="D235" s="78">
        <f>SUMIF(Journal!$G:$G,B235,Journal!$J:$J)</f>
        <v>0</v>
      </c>
      <c r="E235" s="78">
        <f>SUMIF(Journal!$G:$G,B235,Journal!$K:$K)</f>
        <v>0</v>
      </c>
      <c r="F235" s="78">
        <f>'Balance N-1'!F235-'Balance N-1'!G235</f>
        <v>0</v>
      </c>
      <c r="G235" s="78">
        <f t="shared" si="9"/>
        <v>0</v>
      </c>
      <c r="H235" s="78">
        <f t="shared" si="10"/>
        <v>0</v>
      </c>
      <c r="I235" s="78">
        <f t="shared" si="11"/>
        <v>0</v>
      </c>
    </row>
    <row r="236" spans="2:9" x14ac:dyDescent="0.35">
      <c r="B236">
        <f>'Plan Comptable'!B236</f>
        <v>6910</v>
      </c>
      <c r="C236" t="str">
        <f>'Plan Comptable'!C236</f>
        <v>DAP risques financiers</v>
      </c>
      <c r="D236" s="78">
        <f>SUMIF(Journal!$G:$G,B236,Journal!$J:$J)</f>
        <v>0</v>
      </c>
      <c r="E236" s="78">
        <f>SUMIF(Journal!$G:$G,B236,Journal!$K:$K)</f>
        <v>0</v>
      </c>
      <c r="F236" s="78">
        <f>'Balance N-1'!F236-'Balance N-1'!G236</f>
        <v>0</v>
      </c>
      <c r="G236" s="78">
        <f t="shared" si="9"/>
        <v>0</v>
      </c>
      <c r="H236" s="78">
        <f t="shared" si="10"/>
        <v>0</v>
      </c>
      <c r="I236" s="78">
        <f t="shared" si="11"/>
        <v>0</v>
      </c>
    </row>
    <row r="237" spans="2:9" x14ac:dyDescent="0.35">
      <c r="B237">
        <f>'Plan Comptable'!B237</f>
        <v>6920</v>
      </c>
      <c r="C237" t="str">
        <f>'Plan Comptable'!C237</f>
        <v>DAP dépréciations financières</v>
      </c>
      <c r="D237" s="78">
        <f>SUMIF(Journal!$G:$G,B237,Journal!$J:$J)</f>
        <v>0</v>
      </c>
      <c r="E237" s="78">
        <f>SUMIF(Journal!$G:$G,B237,Journal!$K:$K)</f>
        <v>0</v>
      </c>
      <c r="F237" s="78">
        <f>'Balance N-1'!F237-'Balance N-1'!G237</f>
        <v>0</v>
      </c>
      <c r="G237" s="78">
        <f t="shared" si="9"/>
        <v>0</v>
      </c>
      <c r="H237" s="78">
        <f t="shared" si="10"/>
        <v>0</v>
      </c>
      <c r="I237" s="78">
        <f t="shared" si="11"/>
        <v>0</v>
      </c>
    </row>
    <row r="238" spans="2:9" x14ac:dyDescent="0.35">
      <c r="B238">
        <f>'Plan Comptable'!B238</f>
        <v>6710</v>
      </c>
      <c r="C238" t="str">
        <f>'Plan Comptable'!C238</f>
        <v>Intérêts emprunts obligations</v>
      </c>
      <c r="D238" s="78">
        <f>SUMIF(Journal!$G:$G,B238,Journal!$J:$J)</f>
        <v>0</v>
      </c>
      <c r="E238" s="78">
        <f>SUMIF(Journal!$G:$G,B238,Journal!$K:$K)</f>
        <v>0</v>
      </c>
      <c r="F238" s="78">
        <f>'Balance N-1'!F238-'Balance N-1'!G238</f>
        <v>0</v>
      </c>
      <c r="G238" s="78">
        <f t="shared" si="9"/>
        <v>0</v>
      </c>
      <c r="H238" s="78">
        <f t="shared" si="10"/>
        <v>0</v>
      </c>
      <c r="I238" s="78">
        <f t="shared" si="11"/>
        <v>0</v>
      </c>
    </row>
    <row r="239" spans="2:9" x14ac:dyDescent="0.35">
      <c r="B239">
        <f>'Plan Comptable'!B239</f>
        <v>6720</v>
      </c>
      <c r="C239" t="str">
        <f>'Plan Comptable'!C239</f>
        <v>Intérêts emprunts et dettes</v>
      </c>
      <c r="D239" s="78">
        <f>SUMIF(Journal!$G:$G,B239,Journal!$J:$J)</f>
        <v>0</v>
      </c>
      <c r="E239" s="78">
        <f>SUMIF(Journal!$G:$G,B239,Journal!$K:$K)</f>
        <v>0</v>
      </c>
      <c r="F239" s="78">
        <f>'Balance N-1'!F239-'Balance N-1'!G239</f>
        <v>0</v>
      </c>
      <c r="G239" s="78">
        <f t="shared" si="9"/>
        <v>0</v>
      </c>
      <c r="H239" s="78">
        <f t="shared" si="10"/>
        <v>0</v>
      </c>
      <c r="I239" s="78">
        <f t="shared" si="11"/>
        <v>0</v>
      </c>
    </row>
    <row r="240" spans="2:9" x14ac:dyDescent="0.35">
      <c r="B240">
        <f>'Plan Comptable'!B240</f>
        <v>6730</v>
      </c>
      <c r="C240" t="str">
        <f>'Plan Comptable'!C240</f>
        <v>Intérêts bancaires</v>
      </c>
      <c r="D240" s="78">
        <f>SUMIF(Journal!$G:$G,B240,Journal!$J:$J)</f>
        <v>0</v>
      </c>
      <c r="E240" s="78">
        <f>SUMIF(Journal!$G:$G,B240,Journal!$K:$K)</f>
        <v>0</v>
      </c>
      <c r="F240" s="78">
        <f>'Balance N-1'!F240-'Balance N-1'!G240</f>
        <v>0</v>
      </c>
      <c r="G240" s="78">
        <f t="shared" si="9"/>
        <v>0</v>
      </c>
      <c r="H240" s="78">
        <f t="shared" si="10"/>
        <v>0</v>
      </c>
      <c r="I240" s="78">
        <f t="shared" si="11"/>
        <v>0</v>
      </c>
    </row>
    <row r="241" spans="2:9" x14ac:dyDescent="0.35">
      <c r="B241">
        <f>'Plan Comptable'!B241</f>
        <v>6740</v>
      </c>
      <c r="C241" t="str">
        <f>'Plan Comptable'!C241</f>
        <v>Intérêts groupe et associés</v>
      </c>
      <c r="D241" s="78">
        <f>SUMIF(Journal!$G:$G,B241,Journal!$J:$J)</f>
        <v>0</v>
      </c>
      <c r="E241" s="78">
        <f>SUMIF(Journal!$G:$G,B241,Journal!$K:$K)</f>
        <v>0</v>
      </c>
      <c r="F241" s="78">
        <f>'Balance N-1'!F241-'Balance N-1'!G241</f>
        <v>0</v>
      </c>
      <c r="G241" s="78">
        <f t="shared" si="9"/>
        <v>0</v>
      </c>
      <c r="H241" s="78">
        <f t="shared" si="10"/>
        <v>0</v>
      </c>
      <c r="I241" s="78">
        <f t="shared" si="11"/>
        <v>0</v>
      </c>
    </row>
    <row r="242" spans="2:9" x14ac:dyDescent="0.35">
      <c r="B242">
        <f>'Plan Comptable'!B242</f>
        <v>6750</v>
      </c>
      <c r="C242" t="str">
        <f>'Plan Comptable'!C242</f>
        <v>Escomptes accordés</v>
      </c>
      <c r="D242" s="78">
        <f>SUMIF(Journal!$G:$G,B242,Journal!$J:$J)</f>
        <v>0</v>
      </c>
      <c r="E242" s="78">
        <f>SUMIF(Journal!$G:$G,B242,Journal!$K:$K)</f>
        <v>0</v>
      </c>
      <c r="F242" s="78">
        <f>'Balance N-1'!F242-'Balance N-1'!G242</f>
        <v>0</v>
      </c>
      <c r="G242" s="78">
        <f t="shared" si="9"/>
        <v>0</v>
      </c>
      <c r="H242" s="78">
        <f t="shared" si="10"/>
        <v>0</v>
      </c>
      <c r="I242" s="78">
        <f t="shared" si="11"/>
        <v>0</v>
      </c>
    </row>
    <row r="243" spans="2:9" x14ac:dyDescent="0.35">
      <c r="B243">
        <f>'Plan Comptable'!B243</f>
        <v>6760</v>
      </c>
      <c r="C243" t="str">
        <f>'Plan Comptable'!C243</f>
        <v>Pertes de change</v>
      </c>
      <c r="D243" s="78">
        <f>SUMIF(Journal!$G:$G,B243,Journal!$J:$J)</f>
        <v>0</v>
      </c>
      <c r="E243" s="78">
        <f>SUMIF(Journal!$G:$G,B243,Journal!$K:$K)</f>
        <v>0</v>
      </c>
      <c r="F243" s="78">
        <f>'Balance N-1'!F243-'Balance N-1'!G243</f>
        <v>0</v>
      </c>
      <c r="G243" s="78">
        <f t="shared" si="9"/>
        <v>0</v>
      </c>
      <c r="H243" s="78">
        <f t="shared" si="10"/>
        <v>0</v>
      </c>
      <c r="I243" s="78">
        <f t="shared" si="11"/>
        <v>0</v>
      </c>
    </row>
    <row r="244" spans="2:9" x14ac:dyDescent="0.35">
      <c r="B244">
        <f>'Plan Comptable'!B244</f>
        <v>6770</v>
      </c>
      <c r="C244" t="str">
        <f>'Plan Comptable'!C244</f>
        <v>Pertes sur cessions titres placement</v>
      </c>
      <c r="D244" s="78">
        <f>SUMIF(Journal!$G:$G,B244,Journal!$J:$J)</f>
        <v>0</v>
      </c>
      <c r="E244" s="78">
        <f>SUMIF(Journal!$G:$G,B244,Journal!$K:$K)</f>
        <v>0</v>
      </c>
      <c r="F244" s="78">
        <f>'Balance N-1'!F244-'Balance N-1'!G244</f>
        <v>0</v>
      </c>
      <c r="G244" s="78">
        <f t="shared" si="9"/>
        <v>0</v>
      </c>
      <c r="H244" s="78">
        <f t="shared" si="10"/>
        <v>0</v>
      </c>
      <c r="I244" s="78">
        <f t="shared" si="11"/>
        <v>0</v>
      </c>
    </row>
    <row r="245" spans="2:9" x14ac:dyDescent="0.35">
      <c r="B245">
        <f>'Plan Comptable'!B245</f>
        <v>6780</v>
      </c>
      <c r="C245" t="str">
        <f>'Plan Comptable'!C245</f>
        <v>Charges financières diverses</v>
      </c>
      <c r="D245" s="78">
        <f>SUMIF(Journal!$G:$G,B245,Journal!$J:$J)</f>
        <v>0</v>
      </c>
      <c r="E245" s="78">
        <f>SUMIF(Journal!$G:$G,B245,Journal!$K:$K)</f>
        <v>0</v>
      </c>
      <c r="F245" s="78">
        <f>'Balance N-1'!F245-'Balance N-1'!G245</f>
        <v>0</v>
      </c>
      <c r="G245" s="78">
        <f t="shared" si="9"/>
        <v>0</v>
      </c>
      <c r="H245" s="78">
        <f t="shared" si="10"/>
        <v>0</v>
      </c>
      <c r="I245" s="78">
        <f t="shared" si="11"/>
        <v>0</v>
      </c>
    </row>
    <row r="246" spans="2:9" x14ac:dyDescent="0.35">
      <c r="B246">
        <f>'Plan Comptable'!B246</f>
        <v>8310</v>
      </c>
      <c r="C246" t="str">
        <f>'Plan Comptable'!C246</f>
        <v>Charges HAO</v>
      </c>
      <c r="D246" s="78">
        <f>SUMIF(Journal!$G:$G,B246,Journal!$J:$J)</f>
        <v>0</v>
      </c>
      <c r="E246" s="78">
        <f>SUMIF(Journal!$G:$G,B246,Journal!$K:$K)</f>
        <v>0</v>
      </c>
      <c r="F246" s="78">
        <f>'Balance N-1'!F246-'Balance N-1'!G246</f>
        <v>0</v>
      </c>
      <c r="G246" s="78">
        <f t="shared" si="9"/>
        <v>0</v>
      </c>
      <c r="H246" s="78">
        <f t="shared" si="10"/>
        <v>0</v>
      </c>
      <c r="I246" s="78">
        <f t="shared" si="11"/>
        <v>0</v>
      </c>
    </row>
    <row r="247" spans="2:9" x14ac:dyDescent="0.35">
      <c r="B247">
        <f>'Plan Comptable'!B247</f>
        <v>8510</v>
      </c>
      <c r="C247" t="str">
        <f>'Plan Comptable'!C247</f>
        <v>Dotations HAO</v>
      </c>
      <c r="D247" s="78">
        <f>SUMIF(Journal!$G:$G,B247,Journal!$J:$J)</f>
        <v>0</v>
      </c>
      <c r="E247" s="78">
        <f>SUMIF(Journal!$G:$G,B247,Journal!$K:$K)</f>
        <v>0</v>
      </c>
      <c r="F247" s="78">
        <f>'Balance N-1'!F247-'Balance N-1'!G247</f>
        <v>0</v>
      </c>
      <c r="G247" s="78">
        <f t="shared" si="9"/>
        <v>0</v>
      </c>
      <c r="H247" s="78">
        <f t="shared" si="10"/>
        <v>0</v>
      </c>
      <c r="I247" s="78">
        <f t="shared" si="11"/>
        <v>0</v>
      </c>
    </row>
    <row r="248" spans="2:9" x14ac:dyDescent="0.35">
      <c r="B248">
        <f>'Plan Comptable'!B248</f>
        <v>8910</v>
      </c>
      <c r="C248" t="str">
        <f>'Plan Comptable'!C248</f>
        <v>Impôts sur les bénéfices</v>
      </c>
      <c r="D248" s="78">
        <f>SUMIF(Journal!$G:$G,B248,Journal!$J:$J)</f>
        <v>0</v>
      </c>
      <c r="E248" s="78">
        <f>SUMIF(Journal!$G:$G,B248,Journal!$K:$K)</f>
        <v>0</v>
      </c>
      <c r="F248" s="78">
        <f>'Balance N-1'!F248-'Balance N-1'!G248</f>
        <v>0</v>
      </c>
      <c r="G248" s="78">
        <f t="shared" si="9"/>
        <v>0</v>
      </c>
      <c r="H248" s="78">
        <f t="shared" si="10"/>
        <v>0</v>
      </c>
      <c r="I248" s="78">
        <f t="shared" si="11"/>
        <v>0</v>
      </c>
    </row>
    <row r="249" spans="2:9" x14ac:dyDescent="0.35">
      <c r="B249">
        <f>'Plan Comptable'!B249</f>
        <v>7010</v>
      </c>
      <c r="C249" t="str">
        <f>'Plan Comptable'!C249</f>
        <v>Ventes de marchandises</v>
      </c>
      <c r="D249" s="78">
        <f>SUMIF(Journal!$G:$G,B249,Journal!$J:$J)</f>
        <v>0</v>
      </c>
      <c r="E249" s="78">
        <f>SUMIF(Journal!$G:$G,B249,Journal!$K:$K)</f>
        <v>0</v>
      </c>
      <c r="F249" s="78">
        <f>'Balance N-1'!F249-'Balance N-1'!G249</f>
        <v>0</v>
      </c>
      <c r="G249" s="78">
        <f t="shared" si="9"/>
        <v>0</v>
      </c>
      <c r="H249" s="78">
        <f t="shared" si="10"/>
        <v>0</v>
      </c>
      <c r="I249" s="78">
        <f t="shared" si="11"/>
        <v>0</v>
      </c>
    </row>
    <row r="250" spans="2:9" x14ac:dyDescent="0.35">
      <c r="B250">
        <f>'Plan Comptable'!B250</f>
        <v>7020</v>
      </c>
      <c r="C250" t="str">
        <f>'Plan Comptable'!C250</f>
        <v>Ventes de produits finis</v>
      </c>
      <c r="D250" s="78">
        <f>SUMIF(Journal!$G:$G,B250,Journal!$J:$J)</f>
        <v>0</v>
      </c>
      <c r="E250" s="78">
        <f>SUMIF(Journal!$G:$G,B250,Journal!$K:$K)</f>
        <v>0</v>
      </c>
      <c r="F250" s="78">
        <f>'Balance N-1'!F250-'Balance N-1'!G250</f>
        <v>0</v>
      </c>
      <c r="G250" s="78">
        <f t="shared" si="9"/>
        <v>0</v>
      </c>
      <c r="H250" s="78">
        <f t="shared" si="10"/>
        <v>0</v>
      </c>
      <c r="I250" s="78">
        <f t="shared" si="11"/>
        <v>0</v>
      </c>
    </row>
    <row r="251" spans="2:9" x14ac:dyDescent="0.35">
      <c r="B251">
        <f>'Plan Comptable'!B251</f>
        <v>7030</v>
      </c>
      <c r="C251" t="str">
        <f>'Plan Comptable'!C251</f>
        <v>Ventes de produits intermédiaires</v>
      </c>
      <c r="D251" s="78">
        <f>SUMIF(Journal!$G:$G,B251,Journal!$J:$J)</f>
        <v>0</v>
      </c>
      <c r="E251" s="78">
        <f>SUMIF(Journal!$G:$G,B251,Journal!$K:$K)</f>
        <v>0</v>
      </c>
      <c r="F251" s="78">
        <f>'Balance N-1'!F251-'Balance N-1'!G251</f>
        <v>0</v>
      </c>
      <c r="G251" s="78">
        <f t="shared" si="9"/>
        <v>0</v>
      </c>
      <c r="H251" s="78">
        <f t="shared" si="10"/>
        <v>0</v>
      </c>
      <c r="I251" s="78">
        <f t="shared" si="11"/>
        <v>0</v>
      </c>
    </row>
    <row r="252" spans="2:9" x14ac:dyDescent="0.35">
      <c r="B252">
        <f>'Plan Comptable'!B252</f>
        <v>7040</v>
      </c>
      <c r="C252" t="str">
        <f>'Plan Comptable'!C252</f>
        <v>Ventes de produits résiduels</v>
      </c>
      <c r="D252" s="78">
        <f>SUMIF(Journal!$G:$G,B252,Journal!$J:$J)</f>
        <v>0</v>
      </c>
      <c r="E252" s="78">
        <f>SUMIF(Journal!$G:$G,B252,Journal!$K:$K)</f>
        <v>0</v>
      </c>
      <c r="F252" s="78">
        <f>'Balance N-1'!F252-'Balance N-1'!G252</f>
        <v>0</v>
      </c>
      <c r="G252" s="78">
        <f t="shared" si="9"/>
        <v>0</v>
      </c>
      <c r="H252" s="78">
        <f t="shared" si="10"/>
        <v>0</v>
      </c>
      <c r="I252" s="78">
        <f t="shared" si="11"/>
        <v>0</v>
      </c>
    </row>
    <row r="253" spans="2:9" x14ac:dyDescent="0.35">
      <c r="B253">
        <f>'Plan Comptable'!B253</f>
        <v>7050</v>
      </c>
      <c r="C253" t="str">
        <f>'Plan Comptable'!C253</f>
        <v>Travaux facturés</v>
      </c>
      <c r="D253" s="78">
        <f>SUMIF(Journal!$G:$G,B253,Journal!$J:$J)</f>
        <v>0</v>
      </c>
      <c r="E253" s="78">
        <f>SUMIF(Journal!$G:$G,B253,Journal!$K:$K)</f>
        <v>0</v>
      </c>
      <c r="F253" s="78">
        <f>'Balance N-1'!F253-'Balance N-1'!G253</f>
        <v>0</v>
      </c>
      <c r="G253" s="78">
        <f t="shared" si="9"/>
        <v>0</v>
      </c>
      <c r="H253" s="78">
        <f t="shared" si="10"/>
        <v>0</v>
      </c>
      <c r="I253" s="78">
        <f t="shared" si="11"/>
        <v>0</v>
      </c>
    </row>
    <row r="254" spans="2:9" x14ac:dyDescent="0.35">
      <c r="B254">
        <f>'Plan Comptable'!B254</f>
        <v>7060</v>
      </c>
      <c r="C254" t="str">
        <f>'Plan Comptable'!C254</f>
        <v>Services vendus</v>
      </c>
      <c r="D254" s="78">
        <f>SUMIF(Journal!$G:$G,B254,Journal!$J:$J)</f>
        <v>0</v>
      </c>
      <c r="E254" s="78">
        <f>SUMIF(Journal!$G:$G,B254,Journal!$K:$K)</f>
        <v>0</v>
      </c>
      <c r="F254" s="78">
        <f>'Balance N-1'!F254-'Balance N-1'!G254</f>
        <v>0</v>
      </c>
      <c r="G254" s="78">
        <f t="shared" si="9"/>
        <v>0</v>
      </c>
      <c r="H254" s="78">
        <f t="shared" si="10"/>
        <v>0</v>
      </c>
      <c r="I254" s="78">
        <f t="shared" si="11"/>
        <v>0</v>
      </c>
    </row>
    <row r="255" spans="2:9" x14ac:dyDescent="0.35">
      <c r="B255">
        <f>'Plan Comptable'!B255</f>
        <v>7070</v>
      </c>
      <c r="C255" t="str">
        <f>'Plan Comptable'!C255</f>
        <v>Produits accessoires</v>
      </c>
      <c r="D255" s="78">
        <f>SUMIF(Journal!$G:$G,B255,Journal!$J:$J)</f>
        <v>0</v>
      </c>
      <c r="E255" s="78">
        <f>SUMIF(Journal!$G:$G,B255,Journal!$K:$K)</f>
        <v>0</v>
      </c>
      <c r="F255" s="78">
        <f>'Balance N-1'!F255-'Balance N-1'!G255</f>
        <v>0</v>
      </c>
      <c r="G255" s="78">
        <f t="shared" si="9"/>
        <v>0</v>
      </c>
      <c r="H255" s="78">
        <f t="shared" si="10"/>
        <v>0</v>
      </c>
      <c r="I255" s="78">
        <f t="shared" si="11"/>
        <v>0</v>
      </c>
    </row>
    <row r="256" spans="2:9" x14ac:dyDescent="0.35">
      <c r="B256">
        <f>'Plan Comptable'!B256</f>
        <v>7110</v>
      </c>
      <c r="C256" t="str">
        <f>'Plan Comptable'!C256</f>
        <v>Subventions d'exploitation</v>
      </c>
      <c r="D256" s="78">
        <f>SUMIF(Journal!$G:$G,B256,Journal!$J:$J)</f>
        <v>0</v>
      </c>
      <c r="E256" s="78">
        <f>SUMIF(Journal!$G:$G,B256,Journal!$K:$K)</f>
        <v>0</v>
      </c>
      <c r="F256" s="78">
        <f>'Balance N-1'!F256-'Balance N-1'!G256</f>
        <v>0</v>
      </c>
      <c r="G256" s="78">
        <f t="shared" si="9"/>
        <v>0</v>
      </c>
      <c r="H256" s="78">
        <f t="shared" si="10"/>
        <v>0</v>
      </c>
      <c r="I256" s="78">
        <f t="shared" si="11"/>
        <v>0</v>
      </c>
    </row>
    <row r="257" spans="2:9" x14ac:dyDescent="0.35">
      <c r="B257">
        <f>'Plan Comptable'!B257</f>
        <v>7120</v>
      </c>
      <c r="C257" t="str">
        <f>'Plan Comptable'!C257</f>
        <v>Autres produits</v>
      </c>
      <c r="D257" s="78">
        <f>SUMIF(Journal!$G:$G,B257,Journal!$J:$J)</f>
        <v>0</v>
      </c>
      <c r="E257" s="78">
        <f>SUMIF(Journal!$G:$G,B257,Journal!$K:$K)</f>
        <v>0</v>
      </c>
      <c r="F257" s="78">
        <f>'Balance N-1'!F257-'Balance N-1'!G257</f>
        <v>0</v>
      </c>
      <c r="G257" s="78">
        <f t="shared" si="9"/>
        <v>0</v>
      </c>
      <c r="H257" s="78">
        <f t="shared" si="10"/>
        <v>0</v>
      </c>
      <c r="I257" s="78">
        <f t="shared" si="11"/>
        <v>0</v>
      </c>
    </row>
    <row r="258" spans="2:9" x14ac:dyDescent="0.35">
      <c r="B258">
        <f>'Plan Comptable'!B258</f>
        <v>7130</v>
      </c>
      <c r="C258" t="str">
        <f>'Plan Comptable'!C258</f>
        <v>Variation stocks produits en cours</v>
      </c>
      <c r="D258" s="78">
        <f>SUMIF(Journal!$G:$G,B258,Journal!$J:$J)</f>
        <v>0</v>
      </c>
      <c r="E258" s="78">
        <f>SUMIF(Journal!$G:$G,B258,Journal!$K:$K)</f>
        <v>0</v>
      </c>
      <c r="F258" s="78">
        <f>'Balance N-1'!F258-'Balance N-1'!G258</f>
        <v>0</v>
      </c>
      <c r="G258" s="78">
        <f t="shared" si="9"/>
        <v>0</v>
      </c>
      <c r="H258" s="78">
        <f t="shared" si="10"/>
        <v>0</v>
      </c>
      <c r="I258" s="78">
        <f t="shared" si="11"/>
        <v>0</v>
      </c>
    </row>
    <row r="259" spans="2:9" x14ac:dyDescent="0.35">
      <c r="B259">
        <f>'Plan Comptable'!B259</f>
        <v>7140</v>
      </c>
      <c r="C259" t="str">
        <f>'Plan Comptable'!C259</f>
        <v>Variation stocks produits finis</v>
      </c>
      <c r="D259" s="78">
        <f>SUMIF(Journal!$G:$G,B259,Journal!$J:$J)</f>
        <v>0</v>
      </c>
      <c r="E259" s="78">
        <f>SUMIF(Journal!$G:$G,B259,Journal!$K:$K)</f>
        <v>0</v>
      </c>
      <c r="F259" s="78">
        <f>'Balance N-1'!F259-'Balance N-1'!G259</f>
        <v>0</v>
      </c>
      <c r="G259" s="78">
        <f t="shared" si="9"/>
        <v>0</v>
      </c>
      <c r="H259" s="78">
        <f t="shared" si="10"/>
        <v>0</v>
      </c>
      <c r="I259" s="78">
        <f t="shared" si="11"/>
        <v>0</v>
      </c>
    </row>
    <row r="260" spans="2:9" x14ac:dyDescent="0.35">
      <c r="B260">
        <f>'Plan Comptable'!B260</f>
        <v>7210</v>
      </c>
      <c r="C260" t="str">
        <f>'Plan Comptable'!C260</f>
        <v>Production immobilisée incorporelle</v>
      </c>
      <c r="D260" s="78">
        <f>SUMIF(Journal!$G:$G,B260,Journal!$J:$J)</f>
        <v>0</v>
      </c>
      <c r="E260" s="78">
        <f>SUMIF(Journal!$G:$G,B260,Journal!$K:$K)</f>
        <v>0</v>
      </c>
      <c r="F260" s="78">
        <f>'Balance N-1'!F260-'Balance N-1'!G260</f>
        <v>0</v>
      </c>
      <c r="G260" s="78">
        <f t="shared" si="9"/>
        <v>0</v>
      </c>
      <c r="H260" s="78">
        <f t="shared" si="10"/>
        <v>0</v>
      </c>
      <c r="I260" s="78">
        <f t="shared" si="11"/>
        <v>0</v>
      </c>
    </row>
    <row r="261" spans="2:9" x14ac:dyDescent="0.35">
      <c r="B261">
        <f>'Plan Comptable'!B261</f>
        <v>7220</v>
      </c>
      <c r="C261" t="str">
        <f>'Plan Comptable'!C261</f>
        <v>Production immobilisée corporelle</v>
      </c>
      <c r="D261" s="78">
        <f>SUMIF(Journal!$G:$G,B261,Journal!$J:$J)</f>
        <v>0</v>
      </c>
      <c r="E261" s="78">
        <f>SUMIF(Journal!$G:$G,B261,Journal!$K:$K)</f>
        <v>0</v>
      </c>
      <c r="F261" s="78">
        <f>'Balance N-1'!F261-'Balance N-1'!G261</f>
        <v>0</v>
      </c>
      <c r="G261" s="78">
        <f t="shared" si="9"/>
        <v>0</v>
      </c>
      <c r="H261" s="78">
        <f t="shared" si="10"/>
        <v>0</v>
      </c>
      <c r="I261" s="78">
        <f t="shared" si="11"/>
        <v>0</v>
      </c>
    </row>
    <row r="262" spans="2:9" x14ac:dyDescent="0.35">
      <c r="B262">
        <f>'Plan Comptable'!B262</f>
        <v>7310</v>
      </c>
      <c r="C262" t="str">
        <f>'Plan Comptable'!C262</f>
        <v>Reprises provisions exploitation</v>
      </c>
      <c r="D262" s="78">
        <f>SUMIF(Journal!$G:$G,B262,Journal!$J:$J)</f>
        <v>0</v>
      </c>
      <c r="E262" s="78">
        <f>SUMIF(Journal!$G:$G,B262,Journal!$K:$K)</f>
        <v>0</v>
      </c>
      <c r="F262" s="78">
        <f>'Balance N-1'!F262-'Balance N-1'!G262</f>
        <v>0</v>
      </c>
      <c r="G262" s="78">
        <f t="shared" ref="G262:G304" si="12">MAX(F262+D262-E262,0)</f>
        <v>0</v>
      </c>
      <c r="H262" s="78">
        <f t="shared" ref="H262:H304" si="13">MAX(E262-D262-F262,0)</f>
        <v>0</v>
      </c>
      <c r="I262" s="78">
        <f t="shared" ref="I262:I304" si="14">G262-H262</f>
        <v>0</v>
      </c>
    </row>
    <row r="263" spans="2:9" x14ac:dyDescent="0.35">
      <c r="B263">
        <f>'Plan Comptable'!B263</f>
        <v>7320</v>
      </c>
      <c r="C263" t="str">
        <f>'Plan Comptable'!C263</f>
        <v>Reprises dépréciations exploitation</v>
      </c>
      <c r="D263" s="78">
        <f>SUMIF(Journal!$G:$G,B263,Journal!$J:$J)</f>
        <v>0</v>
      </c>
      <c r="E263" s="78">
        <f>SUMIF(Journal!$G:$G,B263,Journal!$K:$K)</f>
        <v>0</v>
      </c>
      <c r="F263" s="78">
        <f>'Balance N-1'!F263-'Balance N-1'!G263</f>
        <v>0</v>
      </c>
      <c r="G263" s="78">
        <f t="shared" si="12"/>
        <v>0</v>
      </c>
      <c r="H263" s="78">
        <f t="shared" si="13"/>
        <v>0</v>
      </c>
      <c r="I263" s="78">
        <f t="shared" si="14"/>
        <v>0</v>
      </c>
    </row>
    <row r="264" spans="2:9" x14ac:dyDescent="0.35">
      <c r="B264">
        <f>'Plan Comptable'!B264</f>
        <v>7410</v>
      </c>
      <c r="C264" t="str">
        <f>'Plan Comptable'!C264</f>
        <v>Transferts charges exploitation</v>
      </c>
      <c r="D264" s="78">
        <f>SUMIF(Journal!$G:$G,B264,Journal!$J:$J)</f>
        <v>0</v>
      </c>
      <c r="E264" s="78">
        <f>SUMIF(Journal!$G:$G,B264,Journal!$K:$K)</f>
        <v>0</v>
      </c>
      <c r="F264" s="78">
        <f>'Balance N-1'!F264-'Balance N-1'!G264</f>
        <v>0</v>
      </c>
      <c r="G264" s="78">
        <f t="shared" si="12"/>
        <v>0</v>
      </c>
      <c r="H264" s="78">
        <f t="shared" si="13"/>
        <v>0</v>
      </c>
      <c r="I264" s="78">
        <f t="shared" si="14"/>
        <v>0</v>
      </c>
    </row>
    <row r="265" spans="2:9" x14ac:dyDescent="0.35">
      <c r="B265">
        <f>'Plan Comptable'!B265</f>
        <v>7510</v>
      </c>
      <c r="C265" t="str">
        <f>'Plan Comptable'!C265</f>
        <v>Revenus titres participation</v>
      </c>
      <c r="D265" s="78">
        <f>SUMIF(Journal!$G:$G,B265,Journal!$J:$J)</f>
        <v>0</v>
      </c>
      <c r="E265" s="78">
        <f>SUMIF(Journal!$G:$G,B265,Journal!$K:$K)</f>
        <v>0</v>
      </c>
      <c r="F265" s="78">
        <f>'Balance N-1'!F265-'Balance N-1'!G265</f>
        <v>0</v>
      </c>
      <c r="G265" s="78">
        <f t="shared" si="12"/>
        <v>0</v>
      </c>
      <c r="H265" s="78">
        <f t="shared" si="13"/>
        <v>0</v>
      </c>
      <c r="I265" s="78">
        <f t="shared" si="14"/>
        <v>0</v>
      </c>
    </row>
    <row r="266" spans="2:9" x14ac:dyDescent="0.35">
      <c r="B266">
        <f>'Plan Comptable'!B266</f>
        <v>7520</v>
      </c>
      <c r="C266" t="str">
        <f>'Plan Comptable'!C266</f>
        <v>Revenus autres immob financières</v>
      </c>
      <c r="D266" s="78">
        <f>SUMIF(Journal!$G:$G,B266,Journal!$J:$J)</f>
        <v>0</v>
      </c>
      <c r="E266" s="78">
        <f>SUMIF(Journal!$G:$G,B266,Journal!$K:$K)</f>
        <v>0</v>
      </c>
      <c r="F266" s="78">
        <f>'Balance N-1'!F266-'Balance N-1'!G266</f>
        <v>0</v>
      </c>
      <c r="G266" s="78">
        <f t="shared" si="12"/>
        <v>0</v>
      </c>
      <c r="H266" s="78">
        <f t="shared" si="13"/>
        <v>0</v>
      </c>
      <c r="I266" s="78">
        <f t="shared" si="14"/>
        <v>0</v>
      </c>
    </row>
    <row r="267" spans="2:9" x14ac:dyDescent="0.35">
      <c r="B267">
        <f>'Plan Comptable'!B267</f>
        <v>7530</v>
      </c>
      <c r="C267" t="str">
        <f>'Plan Comptable'!C267</f>
        <v>Intérêts créances diverses</v>
      </c>
      <c r="D267" s="78">
        <f>SUMIF(Journal!$G:$G,B267,Journal!$J:$J)</f>
        <v>0</v>
      </c>
      <c r="E267" s="78">
        <f>SUMIF(Journal!$G:$G,B267,Journal!$K:$K)</f>
        <v>0</v>
      </c>
      <c r="F267" s="78">
        <f>'Balance N-1'!F267-'Balance N-1'!G267</f>
        <v>0</v>
      </c>
      <c r="G267" s="78">
        <f t="shared" si="12"/>
        <v>0</v>
      </c>
      <c r="H267" s="78">
        <f t="shared" si="13"/>
        <v>0</v>
      </c>
      <c r="I267" s="78">
        <f t="shared" si="14"/>
        <v>0</v>
      </c>
    </row>
    <row r="268" spans="2:9" x14ac:dyDescent="0.35">
      <c r="B268">
        <f>'Plan Comptable'!B268</f>
        <v>7540</v>
      </c>
      <c r="C268" t="str">
        <f>'Plan Comptable'!C268</f>
        <v>Revenus titres placement</v>
      </c>
      <c r="D268" s="78">
        <f>SUMIF(Journal!$G:$G,B268,Journal!$J:$J)</f>
        <v>0</v>
      </c>
      <c r="E268" s="78">
        <f>SUMIF(Journal!$G:$G,B268,Journal!$K:$K)</f>
        <v>0</v>
      </c>
      <c r="F268" s="78">
        <f>'Balance N-1'!F268-'Balance N-1'!G268</f>
        <v>0</v>
      </c>
      <c r="G268" s="78">
        <f t="shared" si="12"/>
        <v>0</v>
      </c>
      <c r="H268" s="78">
        <f t="shared" si="13"/>
        <v>0</v>
      </c>
      <c r="I268" s="78">
        <f t="shared" si="14"/>
        <v>0</v>
      </c>
    </row>
    <row r="269" spans="2:9" x14ac:dyDescent="0.35">
      <c r="B269">
        <f>'Plan Comptable'!B269</f>
        <v>7550</v>
      </c>
      <c r="C269" t="str">
        <f>'Plan Comptable'!C269</f>
        <v>Escomptes obtenus</v>
      </c>
      <c r="D269" s="78">
        <f>SUMIF(Journal!$G:$G,B269,Journal!$J:$J)</f>
        <v>0</v>
      </c>
      <c r="E269" s="78">
        <f>SUMIF(Journal!$G:$G,B269,Journal!$K:$K)</f>
        <v>0</v>
      </c>
      <c r="F269" s="78">
        <f>'Balance N-1'!F269-'Balance N-1'!G269</f>
        <v>0</v>
      </c>
      <c r="G269" s="78">
        <f t="shared" si="12"/>
        <v>0</v>
      </c>
      <c r="H269" s="78">
        <f t="shared" si="13"/>
        <v>0</v>
      </c>
      <c r="I269" s="78">
        <f t="shared" si="14"/>
        <v>0</v>
      </c>
    </row>
    <row r="270" spans="2:9" x14ac:dyDescent="0.35">
      <c r="B270">
        <f>'Plan Comptable'!B270</f>
        <v>7560</v>
      </c>
      <c r="C270" t="str">
        <f>'Plan Comptable'!C270</f>
        <v>Gains de change</v>
      </c>
      <c r="D270" s="78">
        <f>SUMIF(Journal!$G:$G,B270,Journal!$J:$J)</f>
        <v>0</v>
      </c>
      <c r="E270" s="78">
        <f>SUMIF(Journal!$G:$G,B270,Journal!$K:$K)</f>
        <v>0</v>
      </c>
      <c r="F270" s="78">
        <f>'Balance N-1'!F270-'Balance N-1'!G270</f>
        <v>0</v>
      </c>
      <c r="G270" s="78">
        <f t="shared" si="12"/>
        <v>0</v>
      </c>
      <c r="H270" s="78">
        <f t="shared" si="13"/>
        <v>0</v>
      </c>
      <c r="I270" s="78">
        <f t="shared" si="14"/>
        <v>0</v>
      </c>
    </row>
    <row r="271" spans="2:9" x14ac:dyDescent="0.35">
      <c r="B271">
        <f>'Plan Comptable'!B271</f>
        <v>7570</v>
      </c>
      <c r="C271" t="str">
        <f>'Plan Comptable'!C271</f>
        <v>Gains sur cessions titres placement</v>
      </c>
      <c r="D271" s="78">
        <f>SUMIF(Journal!$G:$G,B271,Journal!$J:$J)</f>
        <v>0</v>
      </c>
      <c r="E271" s="78">
        <f>SUMIF(Journal!$G:$G,B271,Journal!$K:$K)</f>
        <v>0</v>
      </c>
      <c r="F271" s="78">
        <f>'Balance N-1'!F271-'Balance N-1'!G271</f>
        <v>0</v>
      </c>
      <c r="G271" s="78">
        <f t="shared" si="12"/>
        <v>0</v>
      </c>
      <c r="H271" s="78">
        <f t="shared" si="13"/>
        <v>0</v>
      </c>
      <c r="I271" s="78">
        <f t="shared" si="14"/>
        <v>0</v>
      </c>
    </row>
    <row r="272" spans="2:9" x14ac:dyDescent="0.35">
      <c r="B272">
        <f>'Plan Comptable'!B272</f>
        <v>7580</v>
      </c>
      <c r="C272" t="str">
        <f>'Plan Comptable'!C272</f>
        <v>Produits financiers divers</v>
      </c>
      <c r="D272" s="78">
        <f>SUMIF(Journal!$G:$G,B272,Journal!$J:$J)</f>
        <v>0</v>
      </c>
      <c r="E272" s="78">
        <f>SUMIF(Journal!$G:$G,B272,Journal!$K:$K)</f>
        <v>0</v>
      </c>
      <c r="F272" s="78">
        <f>'Balance N-1'!F272-'Balance N-1'!G272</f>
        <v>0</v>
      </c>
      <c r="G272" s="78">
        <f t="shared" si="12"/>
        <v>0</v>
      </c>
      <c r="H272" s="78">
        <f t="shared" si="13"/>
        <v>0</v>
      </c>
      <c r="I272" s="78">
        <f t="shared" si="14"/>
        <v>0</v>
      </c>
    </row>
    <row r="273" spans="2:9" x14ac:dyDescent="0.35">
      <c r="B273">
        <f>'Plan Comptable'!B273</f>
        <v>7710</v>
      </c>
      <c r="C273" t="str">
        <f>'Plan Comptable'!C273</f>
        <v>Reprises provisions risques financiers</v>
      </c>
      <c r="D273" s="78">
        <f>SUMIF(Journal!$G:$G,B273,Journal!$J:$J)</f>
        <v>0</v>
      </c>
      <c r="E273" s="78">
        <f>SUMIF(Journal!$G:$G,B273,Journal!$K:$K)</f>
        <v>0</v>
      </c>
      <c r="F273" s="78">
        <f>'Balance N-1'!F273-'Balance N-1'!G273</f>
        <v>0</v>
      </c>
      <c r="G273" s="78">
        <f t="shared" si="12"/>
        <v>0</v>
      </c>
      <c r="H273" s="78">
        <f t="shared" si="13"/>
        <v>0</v>
      </c>
      <c r="I273" s="78">
        <f t="shared" si="14"/>
        <v>0</v>
      </c>
    </row>
    <row r="274" spans="2:9" x14ac:dyDescent="0.35">
      <c r="B274">
        <f>'Plan Comptable'!B274</f>
        <v>7720</v>
      </c>
      <c r="C274" t="str">
        <f>'Plan Comptable'!C274</f>
        <v>Reprises dépréciations financières</v>
      </c>
      <c r="D274" s="78">
        <f>SUMIF(Journal!$G:$G,B274,Journal!$J:$J)</f>
        <v>0</v>
      </c>
      <c r="E274" s="78">
        <f>SUMIF(Journal!$G:$G,B274,Journal!$K:$K)</f>
        <v>0</v>
      </c>
      <c r="F274" s="78">
        <f>'Balance N-1'!F274-'Balance N-1'!G274</f>
        <v>0</v>
      </c>
      <c r="G274" s="78">
        <f t="shared" si="12"/>
        <v>0</v>
      </c>
      <c r="H274" s="78">
        <f t="shared" si="13"/>
        <v>0</v>
      </c>
      <c r="I274" s="78">
        <f t="shared" si="14"/>
        <v>0</v>
      </c>
    </row>
    <row r="275" spans="2:9" x14ac:dyDescent="0.35">
      <c r="B275">
        <f>'Plan Comptable'!B275</f>
        <v>7810</v>
      </c>
      <c r="C275" t="str">
        <f>'Plan Comptable'!C275</f>
        <v>Transferts charges financières</v>
      </c>
      <c r="D275" s="78">
        <f>SUMIF(Journal!$G:$G,B275,Journal!$J:$J)</f>
        <v>0</v>
      </c>
      <c r="E275" s="78">
        <f>SUMIF(Journal!$G:$G,B275,Journal!$K:$K)</f>
        <v>0</v>
      </c>
      <c r="F275" s="78">
        <f>'Balance N-1'!F275-'Balance N-1'!G275</f>
        <v>0</v>
      </c>
      <c r="G275" s="78">
        <f t="shared" si="12"/>
        <v>0</v>
      </c>
      <c r="H275" s="78">
        <f t="shared" si="13"/>
        <v>0</v>
      </c>
      <c r="I275" s="78">
        <f t="shared" si="14"/>
        <v>0</v>
      </c>
    </row>
    <row r="276" spans="2:9" x14ac:dyDescent="0.35">
      <c r="B276">
        <f>'Plan Comptable'!B276</f>
        <v>8210</v>
      </c>
      <c r="C276" t="str">
        <f>'Plan Comptable'!C276</f>
        <v>Produits cessions immobilisations</v>
      </c>
      <c r="D276" s="78">
        <f>SUMIF(Journal!$G:$G,B276,Journal!$J:$J)</f>
        <v>0</v>
      </c>
      <c r="E276" s="78">
        <f>SUMIF(Journal!$G:$G,B276,Journal!$K:$K)</f>
        <v>0</v>
      </c>
      <c r="F276" s="78">
        <f>'Balance N-1'!F276-'Balance N-1'!G276</f>
        <v>0</v>
      </c>
      <c r="G276" s="78">
        <f t="shared" si="12"/>
        <v>0</v>
      </c>
      <c r="H276" s="78">
        <f t="shared" si="13"/>
        <v>0</v>
      </c>
      <c r="I276" s="78">
        <f t="shared" si="14"/>
        <v>0</v>
      </c>
    </row>
    <row r="277" spans="2:9" x14ac:dyDescent="0.35">
      <c r="B277">
        <f>'Plan Comptable'!B277</f>
        <v>8410</v>
      </c>
      <c r="C277" t="str">
        <f>'Plan Comptable'!C277</f>
        <v>Produits HAO</v>
      </c>
      <c r="D277" s="78">
        <f>SUMIF(Journal!$G:$G,B277,Journal!$J:$J)</f>
        <v>0</v>
      </c>
      <c r="E277" s="78">
        <f>SUMIF(Journal!$G:$G,B277,Journal!$K:$K)</f>
        <v>0</v>
      </c>
      <c r="F277" s="78">
        <f>'Balance N-1'!F277-'Balance N-1'!G277</f>
        <v>0</v>
      </c>
      <c r="G277" s="78">
        <f t="shared" si="12"/>
        <v>0</v>
      </c>
      <c r="H277" s="78">
        <f t="shared" si="13"/>
        <v>0</v>
      </c>
      <c r="I277" s="78">
        <f t="shared" si="14"/>
        <v>0</v>
      </c>
    </row>
    <row r="278" spans="2:9" x14ac:dyDescent="0.35">
      <c r="B278">
        <f>'Plan Comptable'!B278</f>
        <v>8610</v>
      </c>
      <c r="C278" t="str">
        <f>'Plan Comptable'!C278</f>
        <v>Reprises HAO</v>
      </c>
      <c r="D278" s="78">
        <f>SUMIF(Journal!$G:$G,B278,Journal!$J:$J)</f>
        <v>0</v>
      </c>
      <c r="E278" s="78">
        <f>SUMIF(Journal!$G:$G,B278,Journal!$K:$K)</f>
        <v>0</v>
      </c>
      <c r="F278" s="78">
        <f>'Balance N-1'!F278-'Balance N-1'!G278</f>
        <v>0</v>
      </c>
      <c r="G278" s="78">
        <f t="shared" si="12"/>
        <v>0</v>
      </c>
      <c r="H278" s="78">
        <f t="shared" si="13"/>
        <v>0</v>
      </c>
      <c r="I278" s="78">
        <f t="shared" si="14"/>
        <v>0</v>
      </c>
    </row>
    <row r="279" spans="2:9" x14ac:dyDescent="0.35">
      <c r="B279">
        <f>'Plan Comptable'!B279</f>
        <v>8310</v>
      </c>
      <c r="C279" t="str">
        <f>'Plan Comptable'!C279</f>
        <v>Valeurs comptables cessions immobilisations</v>
      </c>
      <c r="D279" s="78">
        <f>SUMIF(Journal!$G:$G,B279,Journal!$J:$J)</f>
        <v>0</v>
      </c>
      <c r="E279" s="78">
        <f>SUMIF(Journal!$G:$G,B279,Journal!$K:$K)</f>
        <v>0</v>
      </c>
      <c r="F279" s="78">
        <f>'Balance N-1'!F279-'Balance N-1'!G279</f>
        <v>0</v>
      </c>
      <c r="G279" s="78">
        <f t="shared" si="12"/>
        <v>0</v>
      </c>
      <c r="H279" s="78">
        <f t="shared" si="13"/>
        <v>0</v>
      </c>
      <c r="I279" s="78">
        <f t="shared" si="14"/>
        <v>0</v>
      </c>
    </row>
    <row r="280" spans="2:9" x14ac:dyDescent="0.35">
      <c r="B280">
        <f>'Plan Comptable'!B280</f>
        <v>8510</v>
      </c>
      <c r="C280" t="str">
        <f>'Plan Comptable'!C280</f>
        <v>Charges HAO</v>
      </c>
      <c r="D280" s="78">
        <f>SUMIF(Journal!$G:$G,B280,Journal!$J:$J)</f>
        <v>0</v>
      </c>
      <c r="E280" s="78">
        <f>SUMIF(Journal!$G:$G,B280,Journal!$K:$K)</f>
        <v>0</v>
      </c>
      <c r="F280" s="78">
        <f>'Balance N-1'!F280-'Balance N-1'!G280</f>
        <v>0</v>
      </c>
      <c r="G280" s="78">
        <f t="shared" si="12"/>
        <v>0</v>
      </c>
      <c r="H280" s="78">
        <f t="shared" si="13"/>
        <v>0</v>
      </c>
      <c r="I280" s="78">
        <f t="shared" si="14"/>
        <v>0</v>
      </c>
    </row>
    <row r="281" spans="2:9" x14ac:dyDescent="0.35">
      <c r="B281">
        <f>'Plan Comptable'!B281</f>
        <v>8910</v>
      </c>
      <c r="C281" t="str">
        <f>'Plan Comptable'!C281</f>
        <v>Impôts sur le résultat</v>
      </c>
      <c r="D281" s="78">
        <f>SUMIF(Journal!$G:$G,B281,Journal!$J:$J)</f>
        <v>0</v>
      </c>
      <c r="E281" s="78">
        <f>SUMIF(Journal!$G:$G,B281,Journal!$K:$K)</f>
        <v>0</v>
      </c>
      <c r="F281" s="78">
        <f>'Balance N-1'!F281-'Balance N-1'!G281</f>
        <v>0</v>
      </c>
      <c r="G281" s="78">
        <f t="shared" si="12"/>
        <v>0</v>
      </c>
      <c r="H281" s="78">
        <f t="shared" si="13"/>
        <v>0</v>
      </c>
      <c r="I281" s="78">
        <f t="shared" si="14"/>
        <v>0</v>
      </c>
    </row>
    <row r="282" spans="2:9" x14ac:dyDescent="0.35">
      <c r="B282">
        <f>'Plan Comptable'!B282</f>
        <v>0</v>
      </c>
      <c r="C282">
        <f>'Plan Comptable'!C282</f>
        <v>0</v>
      </c>
      <c r="D282" s="78">
        <f>SUMIF(Journal!$G:$G,B282,Journal!$J:$J)</f>
        <v>0</v>
      </c>
      <c r="E282" s="78">
        <f>SUMIF(Journal!$G:$G,B282,Journal!$K:$K)</f>
        <v>0</v>
      </c>
      <c r="F282" s="78">
        <f>'Balance N-1'!F282-'Balance N-1'!G282</f>
        <v>0</v>
      </c>
      <c r="G282" s="78">
        <f t="shared" si="12"/>
        <v>0</v>
      </c>
      <c r="H282" s="78">
        <f t="shared" si="13"/>
        <v>0</v>
      </c>
      <c r="I282" s="78">
        <f t="shared" si="14"/>
        <v>0</v>
      </c>
    </row>
    <row r="283" spans="2:9" x14ac:dyDescent="0.35">
      <c r="B283">
        <f>'Plan Comptable'!B283</f>
        <v>0</v>
      </c>
      <c r="C283">
        <f>'Plan Comptable'!C283</f>
        <v>0</v>
      </c>
      <c r="D283" s="78">
        <f>SUMIF(Journal!$G:$G,B283,Journal!$J:$J)</f>
        <v>0</v>
      </c>
      <c r="E283" s="78">
        <f>SUMIF(Journal!$G:$G,B283,Journal!$K:$K)</f>
        <v>0</v>
      </c>
      <c r="F283" s="78">
        <f>'Balance N-1'!F283-'Balance N-1'!G283</f>
        <v>0</v>
      </c>
      <c r="G283" s="78">
        <f t="shared" si="12"/>
        <v>0</v>
      </c>
      <c r="H283" s="78">
        <f t="shared" si="13"/>
        <v>0</v>
      </c>
      <c r="I283" s="78">
        <f t="shared" si="14"/>
        <v>0</v>
      </c>
    </row>
    <row r="284" spans="2:9" x14ac:dyDescent="0.35">
      <c r="B284">
        <f>'Plan Comptable'!B284</f>
        <v>0</v>
      </c>
      <c r="C284">
        <f>'Plan Comptable'!C284</f>
        <v>0</v>
      </c>
      <c r="D284" s="78">
        <f>SUMIF(Journal!$G:$G,B284,Journal!$J:$J)</f>
        <v>0</v>
      </c>
      <c r="E284" s="78">
        <f>SUMIF(Journal!$G:$G,B284,Journal!$K:$K)</f>
        <v>0</v>
      </c>
      <c r="F284" s="78">
        <f>'Balance N-1'!F284-'Balance N-1'!G284</f>
        <v>0</v>
      </c>
      <c r="G284" s="78">
        <f t="shared" si="12"/>
        <v>0</v>
      </c>
      <c r="H284" s="78">
        <f t="shared" si="13"/>
        <v>0</v>
      </c>
      <c r="I284" s="78">
        <f t="shared" si="14"/>
        <v>0</v>
      </c>
    </row>
    <row r="285" spans="2:9" x14ac:dyDescent="0.35">
      <c r="B285">
        <f>'Plan Comptable'!B285</f>
        <v>0</v>
      </c>
      <c r="C285">
        <f>'Plan Comptable'!C285</f>
        <v>0</v>
      </c>
      <c r="D285" s="78">
        <f>SUMIF(Journal!$G:$G,B285,Journal!$J:$J)</f>
        <v>0</v>
      </c>
      <c r="E285" s="78">
        <f>SUMIF(Journal!$G:$G,B285,Journal!$K:$K)</f>
        <v>0</v>
      </c>
      <c r="F285" s="78">
        <f>'Balance N-1'!F285-'Balance N-1'!G285</f>
        <v>0</v>
      </c>
      <c r="G285" s="78">
        <f t="shared" si="12"/>
        <v>0</v>
      </c>
      <c r="H285" s="78">
        <f t="shared" si="13"/>
        <v>0</v>
      </c>
      <c r="I285" s="78">
        <f t="shared" si="14"/>
        <v>0</v>
      </c>
    </row>
    <row r="286" spans="2:9" x14ac:dyDescent="0.35">
      <c r="B286">
        <f>'Plan Comptable'!B286</f>
        <v>0</v>
      </c>
      <c r="C286">
        <f>'Plan Comptable'!C286</f>
        <v>0</v>
      </c>
      <c r="D286" s="78">
        <f>SUMIF(Journal!$G:$G,B286,Journal!$J:$J)</f>
        <v>0</v>
      </c>
      <c r="E286" s="78">
        <f>SUMIF(Journal!$G:$G,B286,Journal!$K:$K)</f>
        <v>0</v>
      </c>
      <c r="F286" s="78">
        <f>'Balance N-1'!F286-'Balance N-1'!G286</f>
        <v>0</v>
      </c>
      <c r="G286" s="78">
        <f t="shared" si="12"/>
        <v>0</v>
      </c>
      <c r="H286" s="78">
        <f t="shared" si="13"/>
        <v>0</v>
      </c>
      <c r="I286" s="78">
        <f t="shared" si="14"/>
        <v>0</v>
      </c>
    </row>
    <row r="287" spans="2:9" x14ac:dyDescent="0.35">
      <c r="B287">
        <f>'Plan Comptable'!B287</f>
        <v>0</v>
      </c>
      <c r="C287">
        <f>'Plan Comptable'!C287</f>
        <v>0</v>
      </c>
      <c r="D287" s="78">
        <f>SUMIF(Journal!$G:$G,B287,Journal!$J:$J)</f>
        <v>0</v>
      </c>
      <c r="E287" s="78">
        <f>SUMIF(Journal!$G:$G,B287,Journal!$K:$K)</f>
        <v>0</v>
      </c>
      <c r="F287" s="78">
        <f>'Balance N-1'!F287-'Balance N-1'!G287</f>
        <v>0</v>
      </c>
      <c r="G287" s="78">
        <f t="shared" si="12"/>
        <v>0</v>
      </c>
      <c r="H287" s="78">
        <f t="shared" si="13"/>
        <v>0</v>
      </c>
      <c r="I287" s="78">
        <f t="shared" si="14"/>
        <v>0</v>
      </c>
    </row>
    <row r="288" spans="2:9" x14ac:dyDescent="0.35">
      <c r="B288">
        <f>'Plan Comptable'!B288</f>
        <v>0</v>
      </c>
      <c r="C288">
        <f>'Plan Comptable'!C288</f>
        <v>0</v>
      </c>
      <c r="D288" s="78">
        <f>SUMIF(Journal!$G:$G,B288,Journal!$J:$J)</f>
        <v>0</v>
      </c>
      <c r="E288" s="78">
        <f>SUMIF(Journal!$G:$G,B288,Journal!$K:$K)</f>
        <v>0</v>
      </c>
      <c r="F288" s="78">
        <f>'Balance N-1'!F288-'Balance N-1'!G288</f>
        <v>0</v>
      </c>
      <c r="G288" s="78">
        <f t="shared" si="12"/>
        <v>0</v>
      </c>
      <c r="H288" s="78">
        <f t="shared" si="13"/>
        <v>0</v>
      </c>
      <c r="I288" s="78">
        <f t="shared" si="14"/>
        <v>0</v>
      </c>
    </row>
    <row r="289" spans="2:9" x14ac:dyDescent="0.35">
      <c r="B289">
        <f>'Plan Comptable'!B289</f>
        <v>0</v>
      </c>
      <c r="C289">
        <f>'Plan Comptable'!C289</f>
        <v>0</v>
      </c>
      <c r="D289" s="78">
        <f>SUMIF(Journal!$G:$G,B289,Journal!$J:$J)</f>
        <v>0</v>
      </c>
      <c r="E289" s="78">
        <f>SUMIF(Journal!$G:$G,B289,Journal!$K:$K)</f>
        <v>0</v>
      </c>
      <c r="F289" s="78">
        <f>'Balance N-1'!F289-'Balance N-1'!G289</f>
        <v>0</v>
      </c>
      <c r="G289" s="78">
        <f t="shared" si="12"/>
        <v>0</v>
      </c>
      <c r="H289" s="78">
        <f t="shared" si="13"/>
        <v>0</v>
      </c>
      <c r="I289" s="78">
        <f t="shared" si="14"/>
        <v>0</v>
      </c>
    </row>
    <row r="290" spans="2:9" x14ac:dyDescent="0.35">
      <c r="B290">
        <f>'Plan Comptable'!B290</f>
        <v>0</v>
      </c>
      <c r="C290">
        <f>'Plan Comptable'!C290</f>
        <v>0</v>
      </c>
      <c r="D290" s="78">
        <f>SUMIF(Journal!$G:$G,B290,Journal!$J:$J)</f>
        <v>0</v>
      </c>
      <c r="E290" s="78">
        <f>SUMIF(Journal!$G:$G,B290,Journal!$K:$K)</f>
        <v>0</v>
      </c>
      <c r="F290" s="78">
        <f>'Balance N-1'!F290-'Balance N-1'!G290</f>
        <v>0</v>
      </c>
      <c r="G290" s="78">
        <f t="shared" si="12"/>
        <v>0</v>
      </c>
      <c r="H290" s="78">
        <f t="shared" si="13"/>
        <v>0</v>
      </c>
      <c r="I290" s="78">
        <f t="shared" si="14"/>
        <v>0</v>
      </c>
    </row>
    <row r="291" spans="2:9" x14ac:dyDescent="0.35">
      <c r="B291">
        <f>'Plan Comptable'!B291</f>
        <v>0</v>
      </c>
      <c r="C291">
        <f>'Plan Comptable'!C291</f>
        <v>0</v>
      </c>
      <c r="D291" s="78">
        <f>SUMIF(Journal!$G:$G,B291,Journal!$J:$J)</f>
        <v>0</v>
      </c>
      <c r="E291" s="78">
        <f>SUMIF(Journal!$G:$G,B291,Journal!$K:$K)</f>
        <v>0</v>
      </c>
      <c r="F291" s="78">
        <f>'Balance N-1'!F291-'Balance N-1'!G291</f>
        <v>0</v>
      </c>
      <c r="G291" s="78">
        <f t="shared" si="12"/>
        <v>0</v>
      </c>
      <c r="H291" s="78">
        <f t="shared" si="13"/>
        <v>0</v>
      </c>
      <c r="I291" s="78">
        <f t="shared" si="14"/>
        <v>0</v>
      </c>
    </row>
    <row r="292" spans="2:9" x14ac:dyDescent="0.35">
      <c r="B292">
        <f>'Plan Comptable'!B292</f>
        <v>0</v>
      </c>
      <c r="C292">
        <f>'Plan Comptable'!C292</f>
        <v>0</v>
      </c>
      <c r="D292" s="78">
        <f>SUMIF(Journal!$G:$G,B292,Journal!$J:$J)</f>
        <v>0</v>
      </c>
      <c r="E292" s="78">
        <f>SUMIF(Journal!$G:$G,B292,Journal!$K:$K)</f>
        <v>0</v>
      </c>
      <c r="F292" s="78">
        <f>'Balance N-1'!F292-'Balance N-1'!G292</f>
        <v>0</v>
      </c>
      <c r="G292" s="78">
        <f t="shared" si="12"/>
        <v>0</v>
      </c>
      <c r="H292" s="78">
        <f t="shared" si="13"/>
        <v>0</v>
      </c>
      <c r="I292" s="78">
        <f t="shared" si="14"/>
        <v>0</v>
      </c>
    </row>
    <row r="293" spans="2:9" x14ac:dyDescent="0.35">
      <c r="B293">
        <f>'Plan Comptable'!B293</f>
        <v>0</v>
      </c>
      <c r="C293">
        <f>'Plan Comptable'!C293</f>
        <v>0</v>
      </c>
      <c r="D293" s="78">
        <f>SUMIF(Journal!$G:$G,B293,Journal!$J:$J)</f>
        <v>0</v>
      </c>
      <c r="E293" s="78">
        <f>SUMIF(Journal!$G:$G,B293,Journal!$K:$K)</f>
        <v>0</v>
      </c>
      <c r="F293" s="78">
        <f>'Balance N-1'!F293-'Balance N-1'!G293</f>
        <v>0</v>
      </c>
      <c r="G293" s="78">
        <f t="shared" si="12"/>
        <v>0</v>
      </c>
      <c r="H293" s="78">
        <f t="shared" si="13"/>
        <v>0</v>
      </c>
      <c r="I293" s="78">
        <f t="shared" si="14"/>
        <v>0</v>
      </c>
    </row>
    <row r="294" spans="2:9" x14ac:dyDescent="0.35">
      <c r="B294">
        <f>'Plan Comptable'!B294</f>
        <v>0</v>
      </c>
      <c r="C294">
        <f>'Plan Comptable'!C294</f>
        <v>0</v>
      </c>
      <c r="D294" s="78">
        <f>SUMIF(Journal!$G:$G,B294,Journal!$J:$J)</f>
        <v>0</v>
      </c>
      <c r="E294" s="78">
        <f>SUMIF(Journal!$G:$G,B294,Journal!$K:$K)</f>
        <v>0</v>
      </c>
      <c r="F294" s="78">
        <f>'Balance N-1'!F294-'Balance N-1'!G294</f>
        <v>0</v>
      </c>
      <c r="G294" s="78">
        <f t="shared" si="12"/>
        <v>0</v>
      </c>
      <c r="H294" s="78">
        <f t="shared" si="13"/>
        <v>0</v>
      </c>
      <c r="I294" s="78">
        <f t="shared" si="14"/>
        <v>0</v>
      </c>
    </row>
    <row r="295" spans="2:9" x14ac:dyDescent="0.35">
      <c r="B295">
        <f>'Plan Comptable'!B295</f>
        <v>0</v>
      </c>
      <c r="C295">
        <f>'Plan Comptable'!C295</f>
        <v>0</v>
      </c>
      <c r="D295" s="78">
        <f>SUMIF(Journal!$G:$G,B295,Journal!$J:$J)</f>
        <v>0</v>
      </c>
      <c r="E295" s="78">
        <f>SUMIF(Journal!$G:$G,B295,Journal!$K:$K)</f>
        <v>0</v>
      </c>
      <c r="F295" s="78">
        <f>'Balance N-1'!F295-'Balance N-1'!G295</f>
        <v>0</v>
      </c>
      <c r="G295" s="78">
        <f t="shared" si="12"/>
        <v>0</v>
      </c>
      <c r="H295" s="78">
        <f t="shared" si="13"/>
        <v>0</v>
      </c>
      <c r="I295" s="78">
        <f t="shared" si="14"/>
        <v>0</v>
      </c>
    </row>
    <row r="296" spans="2:9" x14ac:dyDescent="0.35">
      <c r="B296">
        <f>'Plan Comptable'!B296</f>
        <v>0</v>
      </c>
      <c r="C296">
        <f>'Plan Comptable'!C296</f>
        <v>0</v>
      </c>
      <c r="D296" s="78">
        <f>SUMIF(Journal!$G:$G,B296,Journal!$J:$J)</f>
        <v>0</v>
      </c>
      <c r="E296" s="78">
        <f>SUMIF(Journal!$G:$G,B296,Journal!$K:$K)</f>
        <v>0</v>
      </c>
      <c r="F296" s="78">
        <f>'Balance N-1'!F296-'Balance N-1'!G296</f>
        <v>0</v>
      </c>
      <c r="G296" s="78">
        <f t="shared" si="12"/>
        <v>0</v>
      </c>
      <c r="H296" s="78">
        <f t="shared" si="13"/>
        <v>0</v>
      </c>
      <c r="I296" s="78">
        <f t="shared" si="14"/>
        <v>0</v>
      </c>
    </row>
    <row r="297" spans="2:9" x14ac:dyDescent="0.35">
      <c r="B297">
        <f>'Plan Comptable'!B297</f>
        <v>0</v>
      </c>
      <c r="C297">
        <f>'Plan Comptable'!C297</f>
        <v>0</v>
      </c>
      <c r="D297" s="78">
        <f>SUMIF(Journal!$G:$G,B297,Journal!$J:$J)</f>
        <v>0</v>
      </c>
      <c r="E297" s="78">
        <f>SUMIF(Journal!$G:$G,B297,Journal!$K:$K)</f>
        <v>0</v>
      </c>
      <c r="F297" s="78">
        <f>'Balance N-1'!F297-'Balance N-1'!G297</f>
        <v>0</v>
      </c>
      <c r="G297" s="78">
        <f t="shared" si="12"/>
        <v>0</v>
      </c>
      <c r="H297" s="78">
        <f t="shared" si="13"/>
        <v>0</v>
      </c>
      <c r="I297" s="78">
        <f t="shared" si="14"/>
        <v>0</v>
      </c>
    </row>
    <row r="298" spans="2:9" x14ac:dyDescent="0.35">
      <c r="B298">
        <f>'Plan Comptable'!B298</f>
        <v>0</v>
      </c>
      <c r="C298">
        <f>'Plan Comptable'!C298</f>
        <v>0</v>
      </c>
      <c r="D298" s="78">
        <f>SUMIF(Journal!$G:$G,B298,Journal!$J:$J)</f>
        <v>0</v>
      </c>
      <c r="E298" s="78">
        <f>SUMIF(Journal!$G:$G,B298,Journal!$K:$K)</f>
        <v>0</v>
      </c>
      <c r="F298" s="78">
        <f>'Balance N-1'!F298-'Balance N-1'!G298</f>
        <v>0</v>
      </c>
      <c r="G298" s="78">
        <f t="shared" si="12"/>
        <v>0</v>
      </c>
      <c r="H298" s="78">
        <f t="shared" si="13"/>
        <v>0</v>
      </c>
      <c r="I298" s="78">
        <f t="shared" si="14"/>
        <v>0</v>
      </c>
    </row>
    <row r="299" spans="2:9" x14ac:dyDescent="0.35">
      <c r="B299">
        <f>'Plan Comptable'!B299</f>
        <v>0</v>
      </c>
      <c r="C299">
        <f>'Plan Comptable'!C299</f>
        <v>0</v>
      </c>
      <c r="D299" s="78">
        <f>SUMIF(Journal!$G:$G,B299,Journal!$J:$J)</f>
        <v>0</v>
      </c>
      <c r="E299" s="78">
        <f>SUMIF(Journal!$G:$G,B299,Journal!$K:$K)</f>
        <v>0</v>
      </c>
      <c r="F299" s="78">
        <f>'Balance N-1'!F299-'Balance N-1'!G299</f>
        <v>0</v>
      </c>
      <c r="G299" s="78">
        <f t="shared" si="12"/>
        <v>0</v>
      </c>
      <c r="H299" s="78">
        <f t="shared" si="13"/>
        <v>0</v>
      </c>
      <c r="I299" s="78">
        <f t="shared" si="14"/>
        <v>0</v>
      </c>
    </row>
    <row r="300" spans="2:9" x14ac:dyDescent="0.35">
      <c r="B300">
        <f>'Plan Comptable'!B300</f>
        <v>0</v>
      </c>
      <c r="C300">
        <f>'Plan Comptable'!C300</f>
        <v>0</v>
      </c>
      <c r="D300" s="78">
        <f>SUMIF(Journal!$G:$G,B300,Journal!$J:$J)</f>
        <v>0</v>
      </c>
      <c r="E300" s="78">
        <f>SUMIF(Journal!$G:$G,B300,Journal!$K:$K)</f>
        <v>0</v>
      </c>
      <c r="F300" s="78">
        <f>'Balance N-1'!F300-'Balance N-1'!G300</f>
        <v>0</v>
      </c>
      <c r="G300" s="78">
        <f t="shared" si="12"/>
        <v>0</v>
      </c>
      <c r="H300" s="78">
        <f t="shared" si="13"/>
        <v>0</v>
      </c>
      <c r="I300" s="78">
        <f t="shared" si="14"/>
        <v>0</v>
      </c>
    </row>
    <row r="301" spans="2:9" x14ac:dyDescent="0.35">
      <c r="B301">
        <f>'Plan Comptable'!B301</f>
        <v>0</v>
      </c>
      <c r="C301">
        <f>'Plan Comptable'!C301</f>
        <v>0</v>
      </c>
      <c r="D301" s="78">
        <f>SUMIF(Journal!$G:$G,B301,Journal!$J:$J)</f>
        <v>0</v>
      </c>
      <c r="E301" s="78">
        <f>SUMIF(Journal!$G:$G,B301,Journal!$K:$K)</f>
        <v>0</v>
      </c>
      <c r="F301" s="78">
        <f>'Balance N-1'!F301-'Balance N-1'!G301</f>
        <v>0</v>
      </c>
      <c r="G301" s="78">
        <f t="shared" si="12"/>
        <v>0</v>
      </c>
      <c r="H301" s="78">
        <f t="shared" si="13"/>
        <v>0</v>
      </c>
      <c r="I301" s="78">
        <f t="shared" si="14"/>
        <v>0</v>
      </c>
    </row>
    <row r="302" spans="2:9" x14ac:dyDescent="0.35">
      <c r="B302">
        <f>'Plan Comptable'!B302</f>
        <v>0</v>
      </c>
      <c r="C302">
        <f>'Plan Comptable'!C302</f>
        <v>0</v>
      </c>
      <c r="D302" s="78">
        <f>SUMIF(Journal!$G:$G,B302,Journal!$J:$J)</f>
        <v>0</v>
      </c>
      <c r="E302" s="78">
        <f>SUMIF(Journal!$G:$G,B302,Journal!$K:$K)</f>
        <v>0</v>
      </c>
      <c r="F302" s="78">
        <f>'Balance N-1'!F302-'Balance N-1'!G302</f>
        <v>0</v>
      </c>
      <c r="G302" s="78">
        <f t="shared" si="12"/>
        <v>0</v>
      </c>
      <c r="H302" s="78">
        <f t="shared" si="13"/>
        <v>0</v>
      </c>
      <c r="I302" s="78">
        <f t="shared" si="14"/>
        <v>0</v>
      </c>
    </row>
    <row r="303" spans="2:9" x14ac:dyDescent="0.35">
      <c r="B303">
        <f>'Plan Comptable'!B303</f>
        <v>0</v>
      </c>
      <c r="C303">
        <f>'Plan Comptable'!C303</f>
        <v>0</v>
      </c>
      <c r="D303" s="78">
        <f>SUMIF(Journal!$G:$G,B303,Journal!$J:$J)</f>
        <v>0</v>
      </c>
      <c r="E303" s="78">
        <f>SUMIF(Journal!$G:$G,B303,Journal!$K:$K)</f>
        <v>0</v>
      </c>
      <c r="F303" s="78">
        <f>'Balance N-1'!F303-'Balance N-1'!G303</f>
        <v>0</v>
      </c>
      <c r="G303" s="78">
        <f t="shared" si="12"/>
        <v>0</v>
      </c>
      <c r="H303" s="78">
        <f t="shared" si="13"/>
        <v>0</v>
      </c>
      <c r="I303" s="78">
        <f t="shared" si="14"/>
        <v>0</v>
      </c>
    </row>
    <row r="304" spans="2:9" x14ac:dyDescent="0.35">
      <c r="B304">
        <f>'Plan Comptable'!B304</f>
        <v>0</v>
      </c>
      <c r="C304">
        <f>'Plan Comptable'!C304</f>
        <v>0</v>
      </c>
      <c r="D304" s="78">
        <f>SUMIF(Journal!$G:$G,B304,Journal!$J:$J)</f>
        <v>0</v>
      </c>
      <c r="E304" s="78">
        <f>SUMIF(Journal!$G:$G,B304,Journal!$K:$K)</f>
        <v>0</v>
      </c>
      <c r="F304" s="78">
        <f>'Balance N-1'!F304-'Balance N-1'!G304</f>
        <v>0</v>
      </c>
      <c r="G304" s="78">
        <f t="shared" si="12"/>
        <v>0</v>
      </c>
      <c r="H304" s="78">
        <f t="shared" si="13"/>
        <v>0</v>
      </c>
      <c r="I304" s="78">
        <f t="shared" si="14"/>
        <v>0</v>
      </c>
    </row>
    <row r="306" spans="3:9" x14ac:dyDescent="0.35">
      <c r="C306" s="80" t="s">
        <v>291</v>
      </c>
      <c r="D306" s="80">
        <f t="shared" ref="D306:I306" si="15">SUM(D5:D304)</f>
        <v>0</v>
      </c>
      <c r="E306" s="80">
        <f t="shared" si="15"/>
        <v>0</v>
      </c>
      <c r="F306" s="80">
        <f t="shared" si="15"/>
        <v>0</v>
      </c>
      <c r="G306" s="92">
        <f t="shared" si="15"/>
        <v>0</v>
      </c>
      <c r="H306" s="92">
        <f t="shared" si="15"/>
        <v>0</v>
      </c>
      <c r="I306" s="92">
        <f t="shared" si="15"/>
        <v>0</v>
      </c>
    </row>
    <row r="308" spans="3:9" x14ac:dyDescent="0.35">
      <c r="C308" s="93" t="s">
        <v>302</v>
      </c>
      <c r="D308" s="93" t="str">
        <f>IF(ABS(G306-H306)&lt;0.01,"✓ Balance équilibrée","✗ Déséquilibre")</f>
        <v>✓ Balance équilibrée</v>
      </c>
    </row>
  </sheetData>
  <sheetProtection sheet="1" objects="1" scenarios="1" sort="0" autoFilter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8E0F7-0981-4D08-82E4-3D939FB1829C}">
  <sheetPr codeName="Feuil8"/>
  <dimension ref="A1:G306"/>
  <sheetViews>
    <sheetView showGridLines="0" workbookViewId="0"/>
  </sheetViews>
  <sheetFormatPr baseColWidth="10" defaultRowHeight="14.5" x14ac:dyDescent="0.35"/>
  <cols>
    <col min="2" max="2" width="45.1796875" bestFit="1" customWidth="1"/>
    <col min="3" max="3" width="8" bestFit="1" customWidth="1"/>
    <col min="4" max="4" width="9.54296875" bestFit="1" customWidth="1"/>
    <col min="5" max="5" width="10.26953125" bestFit="1" customWidth="1"/>
    <col min="6" max="6" width="14.54296875" bestFit="1" customWidth="1"/>
    <col min="7" max="7" width="15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8.5" x14ac:dyDescent="0.45">
      <c r="B2" s="18" t="s">
        <v>292</v>
      </c>
      <c r="C2" s="18"/>
      <c r="D2" s="18"/>
      <c r="E2" s="18"/>
      <c r="F2" s="18"/>
      <c r="G2" s="18"/>
    </row>
    <row r="4" spans="1:7" x14ac:dyDescent="0.35">
      <c r="B4" s="31" t="s">
        <v>1</v>
      </c>
      <c r="C4" s="31" t="s">
        <v>2</v>
      </c>
      <c r="D4" s="31" t="s">
        <v>293</v>
      </c>
      <c r="E4" s="31" t="s">
        <v>294</v>
      </c>
      <c r="F4" s="31" t="s">
        <v>295</v>
      </c>
      <c r="G4" s="31" t="s">
        <v>296</v>
      </c>
    </row>
    <row r="5" spans="1:7" x14ac:dyDescent="0.35">
      <c r="B5">
        <f>'Plan Comptable'!B5</f>
        <v>1011</v>
      </c>
      <c r="C5" t="str">
        <f>'Plan Comptable'!C5</f>
        <v>Capital social</v>
      </c>
      <c r="D5" s="83"/>
      <c r="E5" s="83"/>
      <c r="F5" s="78">
        <f>IF(D5-E5&gt;0,D5-E5,0)</f>
        <v>0</v>
      </c>
      <c r="G5" s="78">
        <f>IF(E5-D5&gt;0,E5-D5,0)</f>
        <v>0</v>
      </c>
    </row>
    <row r="6" spans="1:7" x14ac:dyDescent="0.35">
      <c r="B6">
        <f>'Plan Comptable'!B6</f>
        <v>1012</v>
      </c>
      <c r="C6" t="str">
        <f>'Plan Comptable'!C6</f>
        <v>Capital souscrit appelé non versé</v>
      </c>
      <c r="D6" s="83"/>
      <c r="E6" s="83"/>
      <c r="F6" s="78">
        <f t="shared" ref="F6:F69" si="0">IF(D6-E6&gt;0,D6-E6,0)</f>
        <v>0</v>
      </c>
      <c r="G6" s="78">
        <f t="shared" ref="G6:G69" si="1">IF(E6-D6&gt;0,E6-D6,0)</f>
        <v>0</v>
      </c>
    </row>
    <row r="7" spans="1:7" x14ac:dyDescent="0.35">
      <c r="B7">
        <f>'Plan Comptable'!B7</f>
        <v>1020</v>
      </c>
      <c r="C7" t="str">
        <f>'Plan Comptable'!C7</f>
        <v>Capital par dotation</v>
      </c>
      <c r="D7" s="83"/>
      <c r="E7" s="83"/>
      <c r="F7" s="78">
        <f t="shared" si="0"/>
        <v>0</v>
      </c>
      <c r="G7" s="78">
        <f t="shared" si="1"/>
        <v>0</v>
      </c>
    </row>
    <row r="8" spans="1:7" x14ac:dyDescent="0.35">
      <c r="B8">
        <f>'Plan Comptable'!B8</f>
        <v>1041</v>
      </c>
      <c r="C8" t="str">
        <f>'Plan Comptable'!C8</f>
        <v>Primes d'émission</v>
      </c>
      <c r="D8" s="83"/>
      <c r="E8" s="83"/>
      <c r="F8" s="78">
        <f t="shared" si="0"/>
        <v>0</v>
      </c>
      <c r="G8" s="78">
        <f t="shared" si="1"/>
        <v>0</v>
      </c>
    </row>
    <row r="9" spans="1:7" x14ac:dyDescent="0.35">
      <c r="B9">
        <f>'Plan Comptable'!B9</f>
        <v>1042</v>
      </c>
      <c r="C9" t="str">
        <f>'Plan Comptable'!C9</f>
        <v>Primes d'apport</v>
      </c>
      <c r="D9" s="83"/>
      <c r="E9" s="83"/>
      <c r="F9" s="78">
        <f t="shared" si="0"/>
        <v>0</v>
      </c>
      <c r="G9" s="78">
        <f t="shared" si="1"/>
        <v>0</v>
      </c>
    </row>
    <row r="10" spans="1:7" x14ac:dyDescent="0.35">
      <c r="B10">
        <f>'Plan Comptable'!B10</f>
        <v>1043</v>
      </c>
      <c r="C10" t="str">
        <f>'Plan Comptable'!C10</f>
        <v>Primes de fusion</v>
      </c>
      <c r="D10" s="83"/>
      <c r="E10" s="83"/>
      <c r="F10" s="78">
        <f t="shared" si="0"/>
        <v>0</v>
      </c>
      <c r="G10" s="78">
        <f t="shared" si="1"/>
        <v>0</v>
      </c>
    </row>
    <row r="11" spans="1:7" x14ac:dyDescent="0.35">
      <c r="B11">
        <f>'Plan Comptable'!B11</f>
        <v>1051</v>
      </c>
      <c r="C11" t="str">
        <f>'Plan Comptable'!C11</f>
        <v>Écarts de réévaluation légale</v>
      </c>
      <c r="D11" s="83"/>
      <c r="E11" s="83"/>
      <c r="F11" s="78">
        <f t="shared" si="0"/>
        <v>0</v>
      </c>
      <c r="G11" s="78">
        <f t="shared" si="1"/>
        <v>0</v>
      </c>
    </row>
    <row r="12" spans="1:7" x14ac:dyDescent="0.35">
      <c r="B12">
        <f>'Plan Comptable'!B12</f>
        <v>1052</v>
      </c>
      <c r="C12" t="str">
        <f>'Plan Comptable'!C12</f>
        <v>Écarts de réévaluation libre</v>
      </c>
      <c r="D12" s="83"/>
      <c r="E12" s="83"/>
      <c r="F12" s="78">
        <f t="shared" si="0"/>
        <v>0</v>
      </c>
      <c r="G12" s="78">
        <f t="shared" si="1"/>
        <v>0</v>
      </c>
    </row>
    <row r="13" spans="1:7" x14ac:dyDescent="0.35">
      <c r="B13">
        <f>'Plan Comptable'!B13</f>
        <v>1061</v>
      </c>
      <c r="C13" t="str">
        <f>'Plan Comptable'!C13</f>
        <v>Réserve légale</v>
      </c>
      <c r="D13" s="83"/>
      <c r="E13" s="83"/>
      <c r="F13" s="78">
        <f t="shared" si="0"/>
        <v>0</v>
      </c>
      <c r="G13" s="78">
        <f t="shared" si="1"/>
        <v>0</v>
      </c>
    </row>
    <row r="14" spans="1:7" x14ac:dyDescent="0.35">
      <c r="B14">
        <f>'Plan Comptable'!B14</f>
        <v>1062</v>
      </c>
      <c r="C14" t="str">
        <f>'Plan Comptable'!C14</f>
        <v>Réserves statutaires</v>
      </c>
      <c r="D14" s="83"/>
      <c r="E14" s="83"/>
      <c r="F14" s="78">
        <f t="shared" si="0"/>
        <v>0</v>
      </c>
      <c r="G14" s="78">
        <f t="shared" si="1"/>
        <v>0</v>
      </c>
    </row>
    <row r="15" spans="1:7" x14ac:dyDescent="0.35">
      <c r="B15">
        <f>'Plan Comptable'!B15</f>
        <v>1063</v>
      </c>
      <c r="C15" t="str">
        <f>'Plan Comptable'!C15</f>
        <v>Réserves réglementées</v>
      </c>
      <c r="D15" s="83"/>
      <c r="E15" s="83"/>
      <c r="F15" s="78">
        <f t="shared" si="0"/>
        <v>0</v>
      </c>
      <c r="G15" s="78">
        <f t="shared" si="1"/>
        <v>0</v>
      </c>
    </row>
    <row r="16" spans="1:7" x14ac:dyDescent="0.35">
      <c r="B16">
        <f>'Plan Comptable'!B16</f>
        <v>1064</v>
      </c>
      <c r="C16" t="str">
        <f>'Plan Comptable'!C16</f>
        <v>Réserves facultatives</v>
      </c>
      <c r="D16" s="83"/>
      <c r="E16" s="83"/>
      <c r="F16" s="78">
        <f t="shared" si="0"/>
        <v>0</v>
      </c>
      <c r="G16" s="78">
        <f t="shared" si="1"/>
        <v>0</v>
      </c>
    </row>
    <row r="17" spans="2:7" x14ac:dyDescent="0.35">
      <c r="B17">
        <f>'Plan Comptable'!B17</f>
        <v>1101</v>
      </c>
      <c r="C17" t="str">
        <f>'Plan Comptable'!C17</f>
        <v>Report à nouveau créditeur</v>
      </c>
      <c r="D17" s="83"/>
      <c r="E17" s="83"/>
      <c r="F17" s="78">
        <f t="shared" si="0"/>
        <v>0</v>
      </c>
      <c r="G17" s="78">
        <f t="shared" si="1"/>
        <v>0</v>
      </c>
    </row>
    <row r="18" spans="2:7" x14ac:dyDescent="0.35">
      <c r="B18">
        <f>'Plan Comptable'!B18</f>
        <v>1109</v>
      </c>
      <c r="C18" t="str">
        <f>'Plan Comptable'!C18</f>
        <v>Report à nouveau débiteur</v>
      </c>
      <c r="D18" s="83"/>
      <c r="E18" s="83"/>
      <c r="F18" s="78">
        <f t="shared" si="0"/>
        <v>0</v>
      </c>
      <c r="G18" s="78">
        <f t="shared" si="1"/>
        <v>0</v>
      </c>
    </row>
    <row r="19" spans="2:7" x14ac:dyDescent="0.35">
      <c r="B19">
        <f>'Plan Comptable'!B19</f>
        <v>1201</v>
      </c>
      <c r="C19" t="str">
        <f>'Plan Comptable'!C19</f>
        <v>Résultat: Bénéfice</v>
      </c>
      <c r="D19" s="83"/>
      <c r="E19" s="83"/>
      <c r="F19" s="78">
        <f t="shared" si="0"/>
        <v>0</v>
      </c>
      <c r="G19" s="78">
        <f t="shared" si="1"/>
        <v>0</v>
      </c>
    </row>
    <row r="20" spans="2:7" x14ac:dyDescent="0.35">
      <c r="B20">
        <f>'Plan Comptable'!B20</f>
        <v>1209</v>
      </c>
      <c r="C20" t="str">
        <f>'Plan Comptable'!C20</f>
        <v>Résultat: Perte</v>
      </c>
      <c r="D20" s="83"/>
      <c r="E20" s="83"/>
      <c r="F20" s="78">
        <f t="shared" si="0"/>
        <v>0</v>
      </c>
      <c r="G20" s="78">
        <f t="shared" si="1"/>
        <v>0</v>
      </c>
    </row>
    <row r="21" spans="2:7" x14ac:dyDescent="0.35">
      <c r="B21">
        <f>'Plan Comptable'!B21</f>
        <v>1301</v>
      </c>
      <c r="C21" t="str">
        <f>'Plan Comptable'!C21</f>
        <v>Subventions d'équipement</v>
      </c>
      <c r="D21" s="83"/>
      <c r="E21" s="83"/>
      <c r="F21" s="78">
        <f t="shared" si="0"/>
        <v>0</v>
      </c>
      <c r="G21" s="78">
        <f t="shared" si="1"/>
        <v>0</v>
      </c>
    </row>
    <row r="22" spans="2:7" x14ac:dyDescent="0.35">
      <c r="B22">
        <f>'Plan Comptable'!B22</f>
        <v>1381</v>
      </c>
      <c r="C22" t="str">
        <f>'Plan Comptable'!C22</f>
        <v>Autres subventions d'investissement</v>
      </c>
      <c r="D22" s="83"/>
      <c r="E22" s="83"/>
      <c r="F22" s="78">
        <f t="shared" si="0"/>
        <v>0</v>
      </c>
      <c r="G22" s="78">
        <f t="shared" si="1"/>
        <v>0</v>
      </c>
    </row>
    <row r="23" spans="2:7" x14ac:dyDescent="0.35">
      <c r="B23">
        <f>'Plan Comptable'!B23</f>
        <v>1391</v>
      </c>
      <c r="C23" t="str">
        <f>'Plan Comptable'!C23</f>
        <v>Subventions inscrites au CR</v>
      </c>
      <c r="D23" s="83"/>
      <c r="E23" s="83"/>
      <c r="F23" s="78">
        <f t="shared" si="0"/>
        <v>0</v>
      </c>
      <c r="G23" s="78">
        <f t="shared" si="1"/>
        <v>0</v>
      </c>
    </row>
    <row r="24" spans="2:7" x14ac:dyDescent="0.35">
      <c r="B24">
        <f>'Plan Comptable'!B24</f>
        <v>1410</v>
      </c>
      <c r="C24" t="str">
        <f>'Plan Comptable'!C24</f>
        <v>Emprunts obligataires</v>
      </c>
      <c r="D24" s="83"/>
      <c r="E24" s="83"/>
      <c r="F24" s="78">
        <f t="shared" si="0"/>
        <v>0</v>
      </c>
      <c r="G24" s="78">
        <f t="shared" si="1"/>
        <v>0</v>
      </c>
    </row>
    <row r="25" spans="2:7" x14ac:dyDescent="0.35">
      <c r="B25">
        <f>'Plan Comptable'!B25</f>
        <v>1420</v>
      </c>
      <c r="C25" t="str">
        <f>'Plan Comptable'!C25</f>
        <v>Emprunts bancaires</v>
      </c>
      <c r="D25" s="83"/>
      <c r="E25" s="83"/>
      <c r="F25" s="78">
        <f t="shared" si="0"/>
        <v>0</v>
      </c>
      <c r="G25" s="78">
        <f t="shared" si="1"/>
        <v>0</v>
      </c>
    </row>
    <row r="26" spans="2:7" x14ac:dyDescent="0.35">
      <c r="B26">
        <f>'Plan Comptable'!B26</f>
        <v>1430</v>
      </c>
      <c r="C26" t="str">
        <f>'Plan Comptable'!C26</f>
        <v>Dépôts et cautionnements reçus</v>
      </c>
      <c r="D26" s="83"/>
      <c r="E26" s="83"/>
      <c r="F26" s="78">
        <f t="shared" si="0"/>
        <v>0</v>
      </c>
      <c r="G26" s="78">
        <f t="shared" si="1"/>
        <v>0</v>
      </c>
    </row>
    <row r="27" spans="2:7" x14ac:dyDescent="0.35">
      <c r="B27">
        <f>'Plan Comptable'!B27</f>
        <v>1461</v>
      </c>
      <c r="C27" t="str">
        <f>'Plan Comptable'!C27</f>
        <v>Associés comptes courants bloqués</v>
      </c>
      <c r="D27" s="83"/>
      <c r="E27" s="83"/>
      <c r="F27" s="78">
        <f t="shared" si="0"/>
        <v>0</v>
      </c>
      <c r="G27" s="78">
        <f t="shared" si="1"/>
        <v>0</v>
      </c>
    </row>
    <row r="28" spans="2:7" x14ac:dyDescent="0.35">
      <c r="B28">
        <f>'Plan Comptable'!B28</f>
        <v>1481</v>
      </c>
      <c r="C28" t="str">
        <f>'Plan Comptable'!C28</f>
        <v>Dettes liées à participations</v>
      </c>
      <c r="D28" s="83"/>
      <c r="E28" s="83"/>
      <c r="F28" s="78">
        <f t="shared" si="0"/>
        <v>0</v>
      </c>
      <c r="G28" s="78">
        <f t="shared" si="1"/>
        <v>0</v>
      </c>
    </row>
    <row r="29" spans="2:7" x14ac:dyDescent="0.35">
      <c r="B29">
        <f>'Plan Comptable'!B29</f>
        <v>1485</v>
      </c>
      <c r="C29" t="str">
        <f>'Plan Comptable'!C29</f>
        <v>Dettes diverses</v>
      </c>
      <c r="D29" s="83"/>
      <c r="E29" s="83"/>
      <c r="F29" s="78">
        <f t="shared" si="0"/>
        <v>0</v>
      </c>
      <c r="G29" s="78">
        <f t="shared" si="1"/>
        <v>0</v>
      </c>
    </row>
    <row r="30" spans="2:7" x14ac:dyDescent="0.35">
      <c r="B30">
        <f>'Plan Comptable'!B30</f>
        <v>1511</v>
      </c>
      <c r="C30" t="str">
        <f>'Plan Comptable'!C30</f>
        <v>Provisions pour litiges</v>
      </c>
      <c r="D30" s="83"/>
      <c r="E30" s="83"/>
      <c r="F30" s="78">
        <f t="shared" si="0"/>
        <v>0</v>
      </c>
      <c r="G30" s="78">
        <f t="shared" si="1"/>
        <v>0</v>
      </c>
    </row>
    <row r="31" spans="2:7" x14ac:dyDescent="0.35">
      <c r="B31">
        <f>'Plan Comptable'!B31</f>
        <v>1512</v>
      </c>
      <c r="C31" t="str">
        <f>'Plan Comptable'!C31</f>
        <v>Provisions garanties clients</v>
      </c>
      <c r="D31" s="83"/>
      <c r="E31" s="83"/>
      <c r="F31" s="78">
        <f t="shared" si="0"/>
        <v>0</v>
      </c>
      <c r="G31" s="78">
        <f t="shared" si="1"/>
        <v>0</v>
      </c>
    </row>
    <row r="32" spans="2:7" x14ac:dyDescent="0.35">
      <c r="B32">
        <f>'Plan Comptable'!B32</f>
        <v>1514</v>
      </c>
      <c r="C32" t="str">
        <f>'Plan Comptable'!C32</f>
        <v>Provisions amendes pénalités</v>
      </c>
      <c r="D32" s="83"/>
      <c r="E32" s="83"/>
      <c r="F32" s="78">
        <f t="shared" si="0"/>
        <v>0</v>
      </c>
      <c r="G32" s="78">
        <f t="shared" si="1"/>
        <v>0</v>
      </c>
    </row>
    <row r="33" spans="2:7" x14ac:dyDescent="0.35">
      <c r="B33">
        <f>'Plan Comptable'!B33</f>
        <v>1515</v>
      </c>
      <c r="C33" t="str">
        <f>'Plan Comptable'!C33</f>
        <v>Provisions pertes de change</v>
      </c>
      <c r="D33" s="83"/>
      <c r="E33" s="83"/>
      <c r="F33" s="78">
        <f t="shared" si="0"/>
        <v>0</v>
      </c>
      <c r="G33" s="78">
        <f t="shared" si="1"/>
        <v>0</v>
      </c>
    </row>
    <row r="34" spans="2:7" x14ac:dyDescent="0.35">
      <c r="B34">
        <f>'Plan Comptable'!B34</f>
        <v>1516</v>
      </c>
      <c r="C34" t="str">
        <f>'Plan Comptable'!C34</f>
        <v>Provisions pensions</v>
      </c>
      <c r="D34" s="83"/>
      <c r="E34" s="83"/>
      <c r="F34" s="78">
        <f t="shared" si="0"/>
        <v>0</v>
      </c>
      <c r="G34" s="78">
        <f t="shared" si="1"/>
        <v>0</v>
      </c>
    </row>
    <row r="35" spans="2:7" x14ac:dyDescent="0.35">
      <c r="B35">
        <f>'Plan Comptable'!B35</f>
        <v>1518</v>
      </c>
      <c r="C35" t="str">
        <f>'Plan Comptable'!C35</f>
        <v>Autres provisions risques</v>
      </c>
      <c r="D35" s="83"/>
      <c r="E35" s="83"/>
      <c r="F35" s="78">
        <f t="shared" si="0"/>
        <v>0</v>
      </c>
      <c r="G35" s="78">
        <f t="shared" si="1"/>
        <v>0</v>
      </c>
    </row>
    <row r="36" spans="2:7" x14ac:dyDescent="0.35">
      <c r="B36">
        <f>'Plan Comptable'!B36</f>
        <v>1561</v>
      </c>
      <c r="C36" t="str">
        <f>'Plan Comptable'!C36</f>
        <v>Provisions renouvellement immo</v>
      </c>
      <c r="D36" s="83"/>
      <c r="E36" s="83"/>
      <c r="F36" s="78">
        <f t="shared" si="0"/>
        <v>0</v>
      </c>
      <c r="G36" s="78">
        <f t="shared" si="1"/>
        <v>0</v>
      </c>
    </row>
    <row r="37" spans="2:7" x14ac:dyDescent="0.35">
      <c r="B37">
        <f>'Plan Comptable'!B37</f>
        <v>1571</v>
      </c>
      <c r="C37" t="str">
        <f>'Plan Comptable'!C37</f>
        <v>Provisions charges à répartir</v>
      </c>
      <c r="D37" s="83"/>
      <c r="E37" s="83"/>
      <c r="F37" s="78">
        <f t="shared" si="0"/>
        <v>0</v>
      </c>
      <c r="G37" s="78">
        <f t="shared" si="1"/>
        <v>0</v>
      </c>
    </row>
    <row r="38" spans="2:7" x14ac:dyDescent="0.35">
      <c r="B38">
        <f>'Plan Comptable'!B38</f>
        <v>1581</v>
      </c>
      <c r="C38" t="str">
        <f>'Plan Comptable'!C38</f>
        <v>Autres provisions charges</v>
      </c>
      <c r="D38" s="83"/>
      <c r="E38" s="83"/>
      <c r="F38" s="78">
        <f t="shared" si="0"/>
        <v>0</v>
      </c>
      <c r="G38" s="78">
        <f t="shared" si="1"/>
        <v>0</v>
      </c>
    </row>
    <row r="39" spans="2:7" x14ac:dyDescent="0.35">
      <c r="B39">
        <f>'Plan Comptable'!B39</f>
        <v>1661</v>
      </c>
      <c r="C39" t="str">
        <f>'Plan Comptable'!C39</f>
        <v>Intérêts courus emprunts</v>
      </c>
      <c r="D39" s="83"/>
      <c r="E39" s="83"/>
      <c r="F39" s="78">
        <f t="shared" si="0"/>
        <v>0</v>
      </c>
      <c r="G39" s="78">
        <f t="shared" si="1"/>
        <v>0</v>
      </c>
    </row>
    <row r="40" spans="2:7" x14ac:dyDescent="0.35">
      <c r="B40">
        <f>'Plan Comptable'!B40</f>
        <v>2011</v>
      </c>
      <c r="C40" t="str">
        <f>'Plan Comptable'!C40</f>
        <v>Frais de constitution</v>
      </c>
      <c r="D40" s="83"/>
      <c r="E40" s="83"/>
      <c r="F40" s="78">
        <f t="shared" si="0"/>
        <v>0</v>
      </c>
      <c r="G40" s="78">
        <f t="shared" si="1"/>
        <v>0</v>
      </c>
    </row>
    <row r="41" spans="2:7" x14ac:dyDescent="0.35">
      <c r="B41">
        <f>'Plan Comptable'!B41</f>
        <v>2012</v>
      </c>
      <c r="C41" t="str">
        <f>'Plan Comptable'!C41</f>
        <v>Frais de prospection</v>
      </c>
      <c r="D41" s="83"/>
      <c r="E41" s="83"/>
      <c r="F41" s="78">
        <f t="shared" si="0"/>
        <v>0</v>
      </c>
      <c r="G41" s="78">
        <f t="shared" si="1"/>
        <v>0</v>
      </c>
    </row>
    <row r="42" spans="2:7" x14ac:dyDescent="0.35">
      <c r="B42">
        <f>'Plan Comptable'!B42</f>
        <v>2013</v>
      </c>
      <c r="C42" t="str">
        <f>'Plan Comptable'!C42</f>
        <v>Frais publicité lancement</v>
      </c>
      <c r="D42" s="83"/>
      <c r="E42" s="83"/>
      <c r="F42" s="78">
        <f t="shared" si="0"/>
        <v>0</v>
      </c>
      <c r="G42" s="78">
        <f t="shared" si="1"/>
        <v>0</v>
      </c>
    </row>
    <row r="43" spans="2:7" x14ac:dyDescent="0.35">
      <c r="B43">
        <f>'Plan Comptable'!B43</f>
        <v>2015</v>
      </c>
      <c r="C43" t="str">
        <f>'Plan Comptable'!C43</f>
        <v>Frais modification capital</v>
      </c>
      <c r="D43" s="83"/>
      <c r="E43" s="83"/>
      <c r="F43" s="78">
        <f t="shared" si="0"/>
        <v>0</v>
      </c>
      <c r="G43" s="78">
        <f t="shared" si="1"/>
        <v>0</v>
      </c>
    </row>
    <row r="44" spans="2:7" x14ac:dyDescent="0.35">
      <c r="B44">
        <f>'Plan Comptable'!B44</f>
        <v>2017</v>
      </c>
      <c r="C44" t="str">
        <f>'Plan Comptable'!C44</f>
        <v>Frais de restructuration</v>
      </c>
      <c r="D44" s="83"/>
      <c r="E44" s="83"/>
      <c r="F44" s="78">
        <f t="shared" si="0"/>
        <v>0</v>
      </c>
      <c r="G44" s="78">
        <f t="shared" si="1"/>
        <v>0</v>
      </c>
    </row>
    <row r="45" spans="2:7" x14ac:dyDescent="0.35">
      <c r="B45">
        <f>'Plan Comptable'!B45</f>
        <v>2018</v>
      </c>
      <c r="C45" t="str">
        <f>'Plan Comptable'!C45</f>
        <v>Autres charges à répartir</v>
      </c>
      <c r="D45" s="83"/>
      <c r="E45" s="83"/>
      <c r="F45" s="78">
        <f t="shared" si="0"/>
        <v>0</v>
      </c>
      <c r="G45" s="78">
        <f t="shared" si="1"/>
        <v>0</v>
      </c>
    </row>
    <row r="46" spans="2:7" x14ac:dyDescent="0.35">
      <c r="B46">
        <f>'Plan Comptable'!B46</f>
        <v>2021</v>
      </c>
      <c r="C46" t="str">
        <f>'Plan Comptable'!C46</f>
        <v>Frais R&amp;D</v>
      </c>
      <c r="D46" s="83"/>
      <c r="E46" s="83"/>
      <c r="F46" s="78">
        <f t="shared" si="0"/>
        <v>0</v>
      </c>
      <c r="G46" s="78">
        <f t="shared" si="1"/>
        <v>0</v>
      </c>
    </row>
    <row r="47" spans="2:7" x14ac:dyDescent="0.35">
      <c r="B47">
        <f>'Plan Comptable'!B47</f>
        <v>2111</v>
      </c>
      <c r="C47" t="str">
        <f>'Plan Comptable'!C47</f>
        <v>Brevets</v>
      </c>
      <c r="D47" s="83"/>
      <c r="E47" s="83"/>
      <c r="F47" s="78">
        <f t="shared" si="0"/>
        <v>0</v>
      </c>
      <c r="G47" s="78">
        <f t="shared" si="1"/>
        <v>0</v>
      </c>
    </row>
    <row r="48" spans="2:7" x14ac:dyDescent="0.35">
      <c r="B48">
        <f>'Plan Comptable'!B48</f>
        <v>2112</v>
      </c>
      <c r="C48" t="str">
        <f>'Plan Comptable'!C48</f>
        <v>Licences</v>
      </c>
      <c r="D48" s="83"/>
      <c r="E48" s="83"/>
      <c r="F48" s="78">
        <f t="shared" si="0"/>
        <v>0</v>
      </c>
      <c r="G48" s="78">
        <f t="shared" si="1"/>
        <v>0</v>
      </c>
    </row>
    <row r="49" spans="2:7" x14ac:dyDescent="0.35">
      <c r="B49">
        <f>'Plan Comptable'!B49</f>
        <v>2113</v>
      </c>
      <c r="C49" t="str">
        <f>'Plan Comptable'!C49</f>
        <v>Concessions</v>
      </c>
      <c r="D49" s="83"/>
      <c r="E49" s="83"/>
      <c r="F49" s="78">
        <f t="shared" si="0"/>
        <v>0</v>
      </c>
      <c r="G49" s="78">
        <f t="shared" si="1"/>
        <v>0</v>
      </c>
    </row>
    <row r="50" spans="2:7" x14ac:dyDescent="0.35">
      <c r="B50">
        <f>'Plan Comptable'!B50</f>
        <v>2121</v>
      </c>
      <c r="C50" t="str">
        <f>'Plan Comptable'!C50</f>
        <v>Logiciels</v>
      </c>
      <c r="D50" s="83"/>
      <c r="E50" s="83"/>
      <c r="F50" s="78">
        <f t="shared" si="0"/>
        <v>0</v>
      </c>
      <c r="G50" s="78">
        <f t="shared" si="1"/>
        <v>0</v>
      </c>
    </row>
    <row r="51" spans="2:7" x14ac:dyDescent="0.35">
      <c r="B51">
        <f>'Plan Comptable'!B51</f>
        <v>2122</v>
      </c>
      <c r="C51" t="str">
        <f>'Plan Comptable'!C51</f>
        <v>Sites internet</v>
      </c>
      <c r="D51" s="83"/>
      <c r="E51" s="83"/>
      <c r="F51" s="78">
        <f t="shared" si="0"/>
        <v>0</v>
      </c>
      <c r="G51" s="78">
        <f t="shared" si="1"/>
        <v>0</v>
      </c>
    </row>
    <row r="52" spans="2:7" x14ac:dyDescent="0.35">
      <c r="B52">
        <f>'Plan Comptable'!B52</f>
        <v>2131</v>
      </c>
      <c r="C52" t="str">
        <f>'Plan Comptable'!C52</f>
        <v>Fonds commercial</v>
      </c>
      <c r="D52" s="83"/>
      <c r="E52" s="83"/>
      <c r="F52" s="78">
        <f t="shared" si="0"/>
        <v>0</v>
      </c>
      <c r="G52" s="78">
        <f t="shared" si="1"/>
        <v>0</v>
      </c>
    </row>
    <row r="53" spans="2:7" x14ac:dyDescent="0.35">
      <c r="B53">
        <f>'Plan Comptable'!B53</f>
        <v>2132</v>
      </c>
      <c r="C53" t="str">
        <f>'Plan Comptable'!C53</f>
        <v>Droit au bail</v>
      </c>
      <c r="D53" s="83"/>
      <c r="E53" s="83"/>
      <c r="F53" s="78">
        <f t="shared" si="0"/>
        <v>0</v>
      </c>
      <c r="G53" s="78">
        <f t="shared" si="1"/>
        <v>0</v>
      </c>
    </row>
    <row r="54" spans="2:7" x14ac:dyDescent="0.35">
      <c r="B54">
        <f>'Plan Comptable'!B54</f>
        <v>2140</v>
      </c>
      <c r="C54" t="str">
        <f>'Plan Comptable'!C54</f>
        <v>Marques</v>
      </c>
      <c r="D54" s="83"/>
      <c r="E54" s="83"/>
      <c r="F54" s="78">
        <f t="shared" si="0"/>
        <v>0</v>
      </c>
      <c r="G54" s="78">
        <f t="shared" si="1"/>
        <v>0</v>
      </c>
    </row>
    <row r="55" spans="2:7" x14ac:dyDescent="0.35">
      <c r="B55">
        <f>'Plan Comptable'!B55</f>
        <v>2180</v>
      </c>
      <c r="C55" t="str">
        <f>'Plan Comptable'!C55</f>
        <v>Autres droits incorporels</v>
      </c>
      <c r="D55" s="83"/>
      <c r="E55" s="83"/>
      <c r="F55" s="78">
        <f t="shared" si="0"/>
        <v>0</v>
      </c>
      <c r="G55" s="78">
        <f t="shared" si="1"/>
        <v>0</v>
      </c>
    </row>
    <row r="56" spans="2:7" x14ac:dyDescent="0.35">
      <c r="B56">
        <f>'Plan Comptable'!B56</f>
        <v>2191</v>
      </c>
      <c r="C56" t="str">
        <f>'Plan Comptable'!C56</f>
        <v>Immo incorporelles en cours</v>
      </c>
      <c r="D56" s="83"/>
      <c r="E56" s="83"/>
      <c r="F56" s="78">
        <f t="shared" si="0"/>
        <v>0</v>
      </c>
      <c r="G56" s="78">
        <f t="shared" si="1"/>
        <v>0</v>
      </c>
    </row>
    <row r="57" spans="2:7" x14ac:dyDescent="0.35">
      <c r="B57">
        <f>'Plan Comptable'!B57</f>
        <v>2193</v>
      </c>
      <c r="C57" t="str">
        <f>'Plan Comptable'!C57</f>
        <v>Avances immo incorporelles</v>
      </c>
      <c r="D57" s="83"/>
      <c r="E57" s="83"/>
      <c r="F57" s="78">
        <f t="shared" si="0"/>
        <v>0</v>
      </c>
      <c r="G57" s="78">
        <f t="shared" si="1"/>
        <v>0</v>
      </c>
    </row>
    <row r="58" spans="2:7" x14ac:dyDescent="0.35">
      <c r="B58">
        <f>'Plan Comptable'!B58</f>
        <v>2211</v>
      </c>
      <c r="C58" t="str">
        <f>'Plan Comptable'!C58</f>
        <v>Terrains agricoles</v>
      </c>
      <c r="D58" s="83"/>
      <c r="E58" s="83"/>
      <c r="F58" s="78">
        <f t="shared" si="0"/>
        <v>0</v>
      </c>
      <c r="G58" s="78">
        <f t="shared" si="1"/>
        <v>0</v>
      </c>
    </row>
    <row r="59" spans="2:7" x14ac:dyDescent="0.35">
      <c r="B59">
        <f>'Plan Comptable'!B59</f>
        <v>2212</v>
      </c>
      <c r="C59" t="str">
        <f>'Plan Comptable'!C59</f>
        <v>Terrains nus</v>
      </c>
      <c r="D59" s="83"/>
      <c r="E59" s="83"/>
      <c r="F59" s="78">
        <f t="shared" si="0"/>
        <v>0</v>
      </c>
      <c r="G59" s="78">
        <f t="shared" si="1"/>
        <v>0</v>
      </c>
    </row>
    <row r="60" spans="2:7" x14ac:dyDescent="0.35">
      <c r="B60">
        <f>'Plan Comptable'!B60</f>
        <v>2213</v>
      </c>
      <c r="C60" t="str">
        <f>'Plan Comptable'!C60</f>
        <v>Terrains bâtis</v>
      </c>
      <c r="D60" s="83"/>
      <c r="E60" s="83"/>
      <c r="F60" s="78">
        <f t="shared" si="0"/>
        <v>0</v>
      </c>
      <c r="G60" s="78">
        <f t="shared" si="1"/>
        <v>0</v>
      </c>
    </row>
    <row r="61" spans="2:7" x14ac:dyDescent="0.35">
      <c r="B61">
        <f>'Plan Comptable'!B61</f>
        <v>2214</v>
      </c>
      <c r="C61" t="str">
        <f>'Plan Comptable'!C61</f>
        <v>Terrains de gisement</v>
      </c>
      <c r="D61" s="83"/>
      <c r="E61" s="83"/>
      <c r="F61" s="78">
        <f t="shared" si="0"/>
        <v>0</v>
      </c>
      <c r="G61" s="78">
        <f t="shared" si="1"/>
        <v>0</v>
      </c>
    </row>
    <row r="62" spans="2:7" x14ac:dyDescent="0.35">
      <c r="B62">
        <f>'Plan Comptable'!B62</f>
        <v>2218</v>
      </c>
      <c r="C62" t="str">
        <f>'Plan Comptable'!C62</f>
        <v>Autres terrains</v>
      </c>
      <c r="D62" s="83"/>
      <c r="E62" s="83"/>
      <c r="F62" s="78">
        <f t="shared" si="0"/>
        <v>0</v>
      </c>
      <c r="G62" s="78">
        <f t="shared" si="1"/>
        <v>0</v>
      </c>
    </row>
    <row r="63" spans="2:7" x14ac:dyDescent="0.35">
      <c r="B63">
        <f>'Plan Comptable'!B63</f>
        <v>2220</v>
      </c>
      <c r="C63" t="str">
        <f>'Plan Comptable'!C63</f>
        <v>Agencements terrains</v>
      </c>
      <c r="D63" s="83"/>
      <c r="E63" s="83"/>
      <c r="F63" s="78">
        <f t="shared" si="0"/>
        <v>0</v>
      </c>
      <c r="G63" s="78">
        <f t="shared" si="1"/>
        <v>0</v>
      </c>
    </row>
    <row r="64" spans="2:7" x14ac:dyDescent="0.35">
      <c r="B64">
        <f>'Plan Comptable'!B64</f>
        <v>2311</v>
      </c>
      <c r="C64" t="str">
        <f>'Plan Comptable'!C64</f>
        <v>Bâtiments industriels</v>
      </c>
      <c r="D64" s="83"/>
      <c r="E64" s="83"/>
      <c r="F64" s="78">
        <f t="shared" si="0"/>
        <v>0</v>
      </c>
      <c r="G64" s="78">
        <f t="shared" si="1"/>
        <v>0</v>
      </c>
    </row>
    <row r="65" spans="2:7" x14ac:dyDescent="0.35">
      <c r="B65">
        <f>'Plan Comptable'!B65</f>
        <v>2312</v>
      </c>
      <c r="C65" t="str">
        <f>'Plan Comptable'!C65</f>
        <v>Bâtiments agricoles</v>
      </c>
      <c r="D65" s="83"/>
      <c r="E65" s="83"/>
      <c r="F65" s="78">
        <f t="shared" si="0"/>
        <v>0</v>
      </c>
      <c r="G65" s="78">
        <f t="shared" si="1"/>
        <v>0</v>
      </c>
    </row>
    <row r="66" spans="2:7" x14ac:dyDescent="0.35">
      <c r="B66">
        <f>'Plan Comptable'!B66</f>
        <v>2313</v>
      </c>
      <c r="C66" t="str">
        <f>'Plan Comptable'!C66</f>
        <v>Bâtiments administratifs</v>
      </c>
      <c r="D66" s="83"/>
      <c r="E66" s="83"/>
      <c r="F66" s="78">
        <f t="shared" si="0"/>
        <v>0</v>
      </c>
      <c r="G66" s="78">
        <f t="shared" si="1"/>
        <v>0</v>
      </c>
    </row>
    <row r="67" spans="2:7" x14ac:dyDescent="0.35">
      <c r="B67">
        <f>'Plan Comptable'!B67</f>
        <v>2315</v>
      </c>
      <c r="C67" t="str">
        <f>'Plan Comptable'!C67</f>
        <v>Bâtiments sociaux</v>
      </c>
      <c r="D67" s="83"/>
      <c r="E67" s="83"/>
      <c r="F67" s="78">
        <f t="shared" si="0"/>
        <v>0</v>
      </c>
      <c r="G67" s="78">
        <f t="shared" si="1"/>
        <v>0</v>
      </c>
    </row>
    <row r="68" spans="2:7" x14ac:dyDescent="0.35">
      <c r="B68">
        <f>'Plan Comptable'!B68</f>
        <v>2318</v>
      </c>
      <c r="C68" t="str">
        <f>'Plan Comptable'!C68</f>
        <v>Autres bâtiments</v>
      </c>
      <c r="D68" s="83"/>
      <c r="E68" s="83"/>
      <c r="F68" s="78">
        <f t="shared" si="0"/>
        <v>0</v>
      </c>
      <c r="G68" s="78">
        <f t="shared" si="1"/>
        <v>0</v>
      </c>
    </row>
    <row r="69" spans="2:7" x14ac:dyDescent="0.35">
      <c r="B69">
        <f>'Plan Comptable'!B69</f>
        <v>2321</v>
      </c>
      <c r="C69" t="str">
        <f>'Plan Comptable'!C69</f>
        <v>Constructions légères</v>
      </c>
      <c r="D69" s="83"/>
      <c r="E69" s="83"/>
      <c r="F69" s="78">
        <f t="shared" si="0"/>
        <v>0</v>
      </c>
      <c r="G69" s="78">
        <f t="shared" si="1"/>
        <v>0</v>
      </c>
    </row>
    <row r="70" spans="2:7" x14ac:dyDescent="0.35">
      <c r="B70">
        <f>'Plan Comptable'!B70</f>
        <v>2322</v>
      </c>
      <c r="C70" t="str">
        <f>'Plan Comptable'!C70</f>
        <v>Installations</v>
      </c>
      <c r="D70" s="83"/>
      <c r="E70" s="83"/>
      <c r="F70" s="78">
        <f t="shared" ref="F70:F133" si="2">IF(D70-E70&gt;0,D70-E70,0)</f>
        <v>0</v>
      </c>
      <c r="G70" s="78">
        <f t="shared" ref="G70:G133" si="3">IF(E70-D70&gt;0,E70-D70,0)</f>
        <v>0</v>
      </c>
    </row>
    <row r="71" spans="2:7" x14ac:dyDescent="0.35">
      <c r="B71">
        <f>'Plan Comptable'!B71</f>
        <v>2323</v>
      </c>
      <c r="C71" t="str">
        <f>'Plan Comptable'!C71</f>
        <v>Agencements bâtiments</v>
      </c>
      <c r="D71" s="83"/>
      <c r="E71" s="83"/>
      <c r="F71" s="78">
        <f t="shared" si="2"/>
        <v>0</v>
      </c>
      <c r="G71" s="78">
        <f t="shared" si="3"/>
        <v>0</v>
      </c>
    </row>
    <row r="72" spans="2:7" x14ac:dyDescent="0.35">
      <c r="B72">
        <f>'Plan Comptable'!B72</f>
        <v>2330</v>
      </c>
      <c r="C72" t="str">
        <f>'Plan Comptable'!C72</f>
        <v>Ouvrages infrastructure</v>
      </c>
      <c r="D72" s="83"/>
      <c r="E72" s="83"/>
      <c r="F72" s="78">
        <f t="shared" si="2"/>
        <v>0</v>
      </c>
      <c r="G72" s="78">
        <f t="shared" si="3"/>
        <v>0</v>
      </c>
    </row>
    <row r="73" spans="2:7" x14ac:dyDescent="0.35">
      <c r="B73">
        <f>'Plan Comptable'!B73</f>
        <v>2391</v>
      </c>
      <c r="C73" t="str">
        <f>'Plan Comptable'!C73</f>
        <v>Bâtiments en cours</v>
      </c>
      <c r="D73" s="83"/>
      <c r="E73" s="83"/>
      <c r="F73" s="78">
        <f t="shared" si="2"/>
        <v>0</v>
      </c>
      <c r="G73" s="78">
        <f t="shared" si="3"/>
        <v>0</v>
      </c>
    </row>
    <row r="74" spans="2:7" x14ac:dyDescent="0.35">
      <c r="B74">
        <f>'Plan Comptable'!B74</f>
        <v>2393</v>
      </c>
      <c r="C74" t="str">
        <f>'Plan Comptable'!C74</f>
        <v>Avances constructions</v>
      </c>
      <c r="D74" s="83"/>
      <c r="E74" s="83"/>
      <c r="F74" s="78">
        <f t="shared" si="2"/>
        <v>0</v>
      </c>
      <c r="G74" s="78">
        <f t="shared" si="3"/>
        <v>0</v>
      </c>
    </row>
    <row r="75" spans="2:7" x14ac:dyDescent="0.35">
      <c r="B75">
        <f>'Plan Comptable'!B75</f>
        <v>2411</v>
      </c>
      <c r="C75" t="str">
        <f>'Plan Comptable'!C75</f>
        <v>Matériel industriel</v>
      </c>
      <c r="D75" s="83"/>
      <c r="E75" s="83"/>
      <c r="F75" s="78">
        <f t="shared" si="2"/>
        <v>0</v>
      </c>
      <c r="G75" s="78">
        <f t="shared" si="3"/>
        <v>0</v>
      </c>
    </row>
    <row r="76" spans="2:7" x14ac:dyDescent="0.35">
      <c r="B76">
        <f>'Plan Comptable'!B76</f>
        <v>2412</v>
      </c>
      <c r="C76" t="str">
        <f>'Plan Comptable'!C76</f>
        <v>Outillage industriel</v>
      </c>
      <c r="D76" s="83"/>
      <c r="E76" s="83"/>
      <c r="F76" s="78">
        <f t="shared" si="2"/>
        <v>0</v>
      </c>
      <c r="G76" s="78">
        <f t="shared" si="3"/>
        <v>0</v>
      </c>
    </row>
    <row r="77" spans="2:7" x14ac:dyDescent="0.35">
      <c r="B77">
        <f>'Plan Comptable'!B77</f>
        <v>2441</v>
      </c>
      <c r="C77" t="str">
        <f>'Plan Comptable'!C77</f>
        <v>Matériel de bureau</v>
      </c>
      <c r="D77" s="83"/>
      <c r="E77" s="83"/>
      <c r="F77" s="78">
        <f t="shared" si="2"/>
        <v>0</v>
      </c>
      <c r="G77" s="78">
        <f t="shared" si="3"/>
        <v>0</v>
      </c>
    </row>
    <row r="78" spans="2:7" x14ac:dyDescent="0.35">
      <c r="B78">
        <f>'Plan Comptable'!B78</f>
        <v>2442</v>
      </c>
      <c r="C78" t="str">
        <f>'Plan Comptable'!C78</f>
        <v>Matériel informatique</v>
      </c>
      <c r="D78" s="83"/>
      <c r="E78" s="83"/>
      <c r="F78" s="78">
        <f t="shared" si="2"/>
        <v>0</v>
      </c>
      <c r="G78" s="78">
        <f t="shared" si="3"/>
        <v>0</v>
      </c>
    </row>
    <row r="79" spans="2:7" x14ac:dyDescent="0.35">
      <c r="B79">
        <f>'Plan Comptable'!B79</f>
        <v>2444</v>
      </c>
      <c r="C79" t="str">
        <f>'Plan Comptable'!C79</f>
        <v>Mobilier de bureau</v>
      </c>
      <c r="D79" s="83"/>
      <c r="E79" s="83"/>
      <c r="F79" s="78">
        <f t="shared" si="2"/>
        <v>0</v>
      </c>
      <c r="G79" s="78">
        <f t="shared" si="3"/>
        <v>0</v>
      </c>
    </row>
    <row r="80" spans="2:7" x14ac:dyDescent="0.35">
      <c r="B80">
        <f>'Plan Comptable'!B80</f>
        <v>2451</v>
      </c>
      <c r="C80" t="str">
        <f>'Plan Comptable'!C80</f>
        <v>Matériel automobile</v>
      </c>
      <c r="D80" s="83"/>
      <c r="E80" s="83"/>
      <c r="F80" s="78">
        <f t="shared" si="2"/>
        <v>0</v>
      </c>
      <c r="G80" s="78">
        <f t="shared" si="3"/>
        <v>0</v>
      </c>
    </row>
    <row r="81" spans="2:7" x14ac:dyDescent="0.35">
      <c r="B81">
        <f>'Plan Comptable'!B81</f>
        <v>2452</v>
      </c>
      <c r="C81" t="str">
        <f>'Plan Comptable'!C81</f>
        <v>Matériel ferroviaire</v>
      </c>
      <c r="D81" s="83"/>
      <c r="E81" s="83"/>
      <c r="F81" s="78">
        <f t="shared" si="2"/>
        <v>0</v>
      </c>
      <c r="G81" s="78">
        <f t="shared" si="3"/>
        <v>0</v>
      </c>
    </row>
    <row r="82" spans="2:7" x14ac:dyDescent="0.35">
      <c r="B82">
        <f>'Plan Comptable'!B82</f>
        <v>2453</v>
      </c>
      <c r="C82" t="str">
        <f>'Plan Comptable'!C82</f>
        <v>Matériel fluvial maritime</v>
      </c>
      <c r="D82" s="83"/>
      <c r="E82" s="83"/>
      <c r="F82" s="78">
        <f t="shared" si="2"/>
        <v>0</v>
      </c>
      <c r="G82" s="78">
        <f t="shared" si="3"/>
        <v>0</v>
      </c>
    </row>
    <row r="83" spans="2:7" x14ac:dyDescent="0.35">
      <c r="B83">
        <f>'Plan Comptable'!B83</f>
        <v>2454</v>
      </c>
      <c r="C83" t="str">
        <f>'Plan Comptable'!C83</f>
        <v>Matériel aérien</v>
      </c>
      <c r="D83" s="83"/>
      <c r="E83" s="83"/>
      <c r="F83" s="78">
        <f t="shared" si="2"/>
        <v>0</v>
      </c>
      <c r="G83" s="78">
        <f t="shared" si="3"/>
        <v>0</v>
      </c>
    </row>
    <row r="84" spans="2:7" x14ac:dyDescent="0.35">
      <c r="B84">
        <f>'Plan Comptable'!B84</f>
        <v>2460</v>
      </c>
      <c r="C84" t="str">
        <f>'Plan Comptable'!C84</f>
        <v>Emballages récupérables</v>
      </c>
      <c r="D84" s="83"/>
      <c r="E84" s="83"/>
      <c r="F84" s="78">
        <f t="shared" si="2"/>
        <v>0</v>
      </c>
      <c r="G84" s="78">
        <f t="shared" si="3"/>
        <v>0</v>
      </c>
    </row>
    <row r="85" spans="2:7" x14ac:dyDescent="0.35">
      <c r="B85">
        <f>'Plan Comptable'!B85</f>
        <v>2480</v>
      </c>
      <c r="C85" t="str">
        <f>'Plan Comptable'!C85</f>
        <v>Autres immo corporelles</v>
      </c>
      <c r="D85" s="83"/>
      <c r="E85" s="83"/>
      <c r="F85" s="78">
        <f t="shared" si="2"/>
        <v>0</v>
      </c>
      <c r="G85" s="78">
        <f t="shared" si="3"/>
        <v>0</v>
      </c>
    </row>
    <row r="86" spans="2:7" x14ac:dyDescent="0.35">
      <c r="B86">
        <f>'Plan Comptable'!B86</f>
        <v>2491</v>
      </c>
      <c r="C86" t="str">
        <f>'Plan Comptable'!C86</f>
        <v>Matériel en cours</v>
      </c>
      <c r="D86" s="83"/>
      <c r="E86" s="83"/>
      <c r="F86" s="78">
        <f t="shared" si="2"/>
        <v>0</v>
      </c>
      <c r="G86" s="78">
        <f t="shared" si="3"/>
        <v>0</v>
      </c>
    </row>
    <row r="87" spans="2:7" x14ac:dyDescent="0.35">
      <c r="B87">
        <f>'Plan Comptable'!B87</f>
        <v>2493</v>
      </c>
      <c r="C87" t="str">
        <f>'Plan Comptable'!C87</f>
        <v>Avances immo corporelles</v>
      </c>
      <c r="D87" s="83"/>
      <c r="E87" s="83"/>
      <c r="F87" s="78">
        <f t="shared" si="2"/>
        <v>0</v>
      </c>
      <c r="G87" s="78">
        <f t="shared" si="3"/>
        <v>0</v>
      </c>
    </row>
    <row r="88" spans="2:7" x14ac:dyDescent="0.35">
      <c r="B88">
        <f>'Plan Comptable'!B88</f>
        <v>2610</v>
      </c>
      <c r="C88" t="str">
        <f>'Plan Comptable'!C88</f>
        <v>Titres participation groupe</v>
      </c>
      <c r="D88" s="83"/>
      <c r="E88" s="83"/>
      <c r="F88" s="78">
        <f t="shared" si="2"/>
        <v>0</v>
      </c>
      <c r="G88" s="78">
        <f t="shared" si="3"/>
        <v>0</v>
      </c>
    </row>
    <row r="89" spans="2:7" x14ac:dyDescent="0.35">
      <c r="B89">
        <f>'Plan Comptable'!B89</f>
        <v>2620</v>
      </c>
      <c r="C89" t="str">
        <f>'Plan Comptable'!C89</f>
        <v>Autres participations</v>
      </c>
      <c r="D89" s="83"/>
      <c r="E89" s="83"/>
      <c r="F89" s="78">
        <f t="shared" si="2"/>
        <v>0</v>
      </c>
      <c r="G89" s="78">
        <f t="shared" si="3"/>
        <v>0</v>
      </c>
    </row>
    <row r="90" spans="2:7" x14ac:dyDescent="0.35">
      <c r="B90">
        <f>'Plan Comptable'!B90</f>
        <v>2710</v>
      </c>
      <c r="C90" t="str">
        <f>'Plan Comptable'!C90</f>
        <v>Prêts au personnel</v>
      </c>
      <c r="D90" s="83"/>
      <c r="E90" s="83"/>
      <c r="F90" s="78">
        <f t="shared" si="2"/>
        <v>0</v>
      </c>
      <c r="G90" s="78">
        <f t="shared" si="3"/>
        <v>0</v>
      </c>
    </row>
    <row r="91" spans="2:7" x14ac:dyDescent="0.35">
      <c r="B91">
        <f>'Plan Comptable'!B91</f>
        <v>2720</v>
      </c>
      <c r="C91" t="str">
        <f>'Plan Comptable'!C91</f>
        <v>Prêts aux associés</v>
      </c>
      <c r="D91" s="83"/>
      <c r="E91" s="83"/>
      <c r="F91" s="78">
        <f t="shared" si="2"/>
        <v>0</v>
      </c>
      <c r="G91" s="78">
        <f t="shared" si="3"/>
        <v>0</v>
      </c>
    </row>
    <row r="92" spans="2:7" x14ac:dyDescent="0.35">
      <c r="B92">
        <f>'Plan Comptable'!B92</f>
        <v>2730</v>
      </c>
      <c r="C92" t="str">
        <f>'Plan Comptable'!C92</f>
        <v>Prêts sociétés groupe</v>
      </c>
      <c r="D92" s="83"/>
      <c r="E92" s="83"/>
      <c r="F92" s="78">
        <f t="shared" si="2"/>
        <v>0</v>
      </c>
      <c r="G92" s="78">
        <f t="shared" si="3"/>
        <v>0</v>
      </c>
    </row>
    <row r="93" spans="2:7" x14ac:dyDescent="0.35">
      <c r="B93">
        <f>'Plan Comptable'!B93</f>
        <v>2750</v>
      </c>
      <c r="C93" t="str">
        <f>'Plan Comptable'!C93</f>
        <v>Dépôts cautionnements versés</v>
      </c>
      <c r="D93" s="83"/>
      <c r="E93" s="83"/>
      <c r="F93" s="78">
        <f t="shared" si="2"/>
        <v>0</v>
      </c>
      <c r="G93" s="78">
        <f t="shared" si="3"/>
        <v>0</v>
      </c>
    </row>
    <row r="94" spans="2:7" x14ac:dyDescent="0.35">
      <c r="B94">
        <f>'Plan Comptable'!B94</f>
        <v>2780</v>
      </c>
      <c r="C94" t="str">
        <f>'Plan Comptable'!C94</f>
        <v>Créances financières diverses</v>
      </c>
      <c r="D94" s="83"/>
      <c r="E94" s="83"/>
      <c r="F94" s="78">
        <f t="shared" si="2"/>
        <v>0</v>
      </c>
      <c r="G94" s="78">
        <f t="shared" si="3"/>
        <v>0</v>
      </c>
    </row>
    <row r="95" spans="2:7" x14ac:dyDescent="0.35">
      <c r="B95">
        <f>'Plan Comptable'!B95</f>
        <v>2811</v>
      </c>
      <c r="C95" t="str">
        <f>'Plan Comptable'!C95</f>
        <v>Amort frais constitution</v>
      </c>
      <c r="D95" s="83"/>
      <c r="E95" s="83"/>
      <c r="F95" s="78">
        <f t="shared" si="2"/>
        <v>0</v>
      </c>
      <c r="G95" s="78">
        <f t="shared" si="3"/>
        <v>0</v>
      </c>
    </row>
    <row r="96" spans="2:7" x14ac:dyDescent="0.35">
      <c r="B96">
        <f>'Plan Comptable'!B96</f>
        <v>2812</v>
      </c>
      <c r="C96" t="str">
        <f>'Plan Comptable'!C96</f>
        <v>Amort frais prospection</v>
      </c>
      <c r="D96" s="83"/>
      <c r="E96" s="83"/>
      <c r="F96" s="78">
        <f t="shared" si="2"/>
        <v>0</v>
      </c>
      <c r="G96" s="78">
        <f t="shared" si="3"/>
        <v>0</v>
      </c>
    </row>
    <row r="97" spans="2:7" x14ac:dyDescent="0.35">
      <c r="B97">
        <f>'Plan Comptable'!B97</f>
        <v>2817</v>
      </c>
      <c r="C97" t="str">
        <f>'Plan Comptable'!C97</f>
        <v>Amort frais restructuration</v>
      </c>
      <c r="D97" s="83"/>
      <c r="E97" s="83"/>
      <c r="F97" s="78">
        <f t="shared" si="2"/>
        <v>0</v>
      </c>
      <c r="G97" s="78">
        <f t="shared" si="3"/>
        <v>0</v>
      </c>
    </row>
    <row r="98" spans="2:7" x14ac:dyDescent="0.35">
      <c r="B98">
        <f>'Plan Comptable'!B98</f>
        <v>2821</v>
      </c>
      <c r="C98" t="str">
        <f>'Plan Comptable'!C98</f>
        <v>Amort frais R&amp;D</v>
      </c>
      <c r="D98" s="83"/>
      <c r="E98" s="83"/>
      <c r="F98" s="78">
        <f t="shared" si="2"/>
        <v>0</v>
      </c>
      <c r="G98" s="78">
        <f t="shared" si="3"/>
        <v>0</v>
      </c>
    </row>
    <row r="99" spans="2:7" x14ac:dyDescent="0.35">
      <c r="B99">
        <f>'Plan Comptable'!B99</f>
        <v>2831</v>
      </c>
      <c r="C99" t="str">
        <f>'Plan Comptable'!C99</f>
        <v>Amort brevets</v>
      </c>
      <c r="D99" s="83"/>
      <c r="E99" s="83"/>
      <c r="F99" s="78">
        <f t="shared" si="2"/>
        <v>0</v>
      </c>
      <c r="G99" s="78">
        <f t="shared" si="3"/>
        <v>0</v>
      </c>
    </row>
    <row r="100" spans="2:7" x14ac:dyDescent="0.35">
      <c r="B100">
        <f>'Plan Comptable'!B100</f>
        <v>2833</v>
      </c>
      <c r="C100" t="str">
        <f>'Plan Comptable'!C100</f>
        <v>Amort logiciels</v>
      </c>
      <c r="D100" s="83"/>
      <c r="E100" s="83"/>
      <c r="F100" s="78">
        <f t="shared" si="2"/>
        <v>0</v>
      </c>
      <c r="G100" s="78">
        <f t="shared" si="3"/>
        <v>0</v>
      </c>
    </row>
    <row r="101" spans="2:7" x14ac:dyDescent="0.35">
      <c r="B101">
        <f>'Plan Comptable'!B101</f>
        <v>2835</v>
      </c>
      <c r="C101" t="str">
        <f>'Plan Comptable'!C101</f>
        <v>Amort fonds commercial</v>
      </c>
      <c r="D101" s="83"/>
      <c r="E101" s="83"/>
      <c r="F101" s="78">
        <f t="shared" si="2"/>
        <v>0</v>
      </c>
      <c r="G101" s="78">
        <f t="shared" si="3"/>
        <v>0</v>
      </c>
    </row>
    <row r="102" spans="2:7" x14ac:dyDescent="0.35">
      <c r="B102">
        <f>'Plan Comptable'!B102</f>
        <v>2841</v>
      </c>
      <c r="C102" t="str">
        <f>'Plan Comptable'!C102</f>
        <v>Amort terrains gisement</v>
      </c>
      <c r="D102" s="83"/>
      <c r="E102" s="83"/>
      <c r="F102" s="78">
        <f t="shared" si="2"/>
        <v>0</v>
      </c>
      <c r="G102" s="78">
        <f t="shared" si="3"/>
        <v>0</v>
      </c>
    </row>
    <row r="103" spans="2:7" x14ac:dyDescent="0.35">
      <c r="B103">
        <f>'Plan Comptable'!B103</f>
        <v>2842</v>
      </c>
      <c r="C103" t="str">
        <f>'Plan Comptable'!C103</f>
        <v>Amort agencements terrains</v>
      </c>
      <c r="D103" s="83"/>
      <c r="E103" s="83"/>
      <c r="F103" s="78">
        <f t="shared" si="2"/>
        <v>0</v>
      </c>
      <c r="G103" s="78">
        <f t="shared" si="3"/>
        <v>0</v>
      </c>
    </row>
    <row r="104" spans="2:7" x14ac:dyDescent="0.35">
      <c r="B104">
        <f>'Plan Comptable'!B104</f>
        <v>2851</v>
      </c>
      <c r="C104" t="str">
        <f>'Plan Comptable'!C104</f>
        <v>Amort bâtiments</v>
      </c>
      <c r="D104" s="83"/>
      <c r="E104" s="83"/>
      <c r="F104" s="78">
        <f t="shared" si="2"/>
        <v>0</v>
      </c>
      <c r="G104" s="78">
        <f t="shared" si="3"/>
        <v>0</v>
      </c>
    </row>
    <row r="105" spans="2:7" x14ac:dyDescent="0.35">
      <c r="B105">
        <f>'Plan Comptable'!B105</f>
        <v>2861</v>
      </c>
      <c r="C105" t="str">
        <f>'Plan Comptable'!C105</f>
        <v>Amort matériel outillage</v>
      </c>
      <c r="D105" s="83"/>
      <c r="E105" s="83"/>
      <c r="F105" s="78">
        <f t="shared" si="2"/>
        <v>0</v>
      </c>
      <c r="G105" s="78">
        <f t="shared" si="3"/>
        <v>0</v>
      </c>
    </row>
    <row r="106" spans="2:7" x14ac:dyDescent="0.35">
      <c r="B106">
        <f>'Plan Comptable'!B106</f>
        <v>2865</v>
      </c>
      <c r="C106" t="str">
        <f>'Plan Comptable'!C106</f>
        <v>Amort matériel transport</v>
      </c>
      <c r="D106" s="83"/>
      <c r="E106" s="83"/>
      <c r="F106" s="78">
        <f t="shared" si="2"/>
        <v>0</v>
      </c>
      <c r="G106" s="78">
        <f t="shared" si="3"/>
        <v>0</v>
      </c>
    </row>
    <row r="107" spans="2:7" x14ac:dyDescent="0.35">
      <c r="B107">
        <f>'Plan Comptable'!B107</f>
        <v>2866</v>
      </c>
      <c r="C107" t="str">
        <f>'Plan Comptable'!C107</f>
        <v>Amort mobilier bureau</v>
      </c>
      <c r="D107" s="83"/>
      <c r="E107" s="83"/>
      <c r="F107" s="78">
        <f t="shared" si="2"/>
        <v>0</v>
      </c>
      <c r="G107" s="78">
        <f t="shared" si="3"/>
        <v>0</v>
      </c>
    </row>
    <row r="108" spans="2:7" x14ac:dyDescent="0.35">
      <c r="B108">
        <f>'Plan Comptable'!B108</f>
        <v>2910</v>
      </c>
      <c r="C108" t="str">
        <f>'Plan Comptable'!C108</f>
        <v>Prov dépréciation charges immo</v>
      </c>
      <c r="D108" s="83"/>
      <c r="E108" s="83"/>
      <c r="F108" s="78">
        <f t="shared" si="2"/>
        <v>0</v>
      </c>
      <c r="G108" s="78">
        <f t="shared" si="3"/>
        <v>0</v>
      </c>
    </row>
    <row r="109" spans="2:7" x14ac:dyDescent="0.35">
      <c r="B109">
        <f>'Plan Comptable'!B109</f>
        <v>2931</v>
      </c>
      <c r="C109" t="str">
        <f>'Plan Comptable'!C109</f>
        <v>Prov dépréciation brevets</v>
      </c>
      <c r="D109" s="83"/>
      <c r="E109" s="83"/>
      <c r="F109" s="78">
        <f t="shared" si="2"/>
        <v>0</v>
      </c>
      <c r="G109" s="78">
        <f t="shared" si="3"/>
        <v>0</v>
      </c>
    </row>
    <row r="110" spans="2:7" x14ac:dyDescent="0.35">
      <c r="B110">
        <f>'Plan Comptable'!B110</f>
        <v>2941</v>
      </c>
      <c r="C110" t="str">
        <f>'Plan Comptable'!C110</f>
        <v>Prov dépréciation terrains</v>
      </c>
      <c r="D110" s="83"/>
      <c r="E110" s="83"/>
      <c r="F110" s="78">
        <f t="shared" si="2"/>
        <v>0</v>
      </c>
      <c r="G110" s="78">
        <f t="shared" si="3"/>
        <v>0</v>
      </c>
    </row>
    <row r="111" spans="2:7" x14ac:dyDescent="0.35">
      <c r="B111">
        <f>'Plan Comptable'!B111</f>
        <v>2942</v>
      </c>
      <c r="C111" t="str">
        <f>'Plan Comptable'!C111</f>
        <v>Prov dépréciation constructions</v>
      </c>
      <c r="D111" s="83"/>
      <c r="E111" s="83"/>
      <c r="F111" s="78">
        <f t="shared" si="2"/>
        <v>0</v>
      </c>
      <c r="G111" s="78">
        <f t="shared" si="3"/>
        <v>0</v>
      </c>
    </row>
    <row r="112" spans="2:7" x14ac:dyDescent="0.35">
      <c r="B112">
        <f>'Plan Comptable'!B112</f>
        <v>2943</v>
      </c>
      <c r="C112" t="str">
        <f>'Plan Comptable'!C112</f>
        <v>Prov dépréciation matériel</v>
      </c>
      <c r="D112" s="83"/>
      <c r="E112" s="83"/>
      <c r="F112" s="78">
        <f t="shared" si="2"/>
        <v>0</v>
      </c>
      <c r="G112" s="78">
        <f t="shared" si="3"/>
        <v>0</v>
      </c>
    </row>
    <row r="113" spans="2:7" x14ac:dyDescent="0.35">
      <c r="B113">
        <f>'Plan Comptable'!B113</f>
        <v>2951</v>
      </c>
      <c r="C113" t="str">
        <f>'Plan Comptable'!C113</f>
        <v>Prov dépréciation titres</v>
      </c>
      <c r="D113" s="83"/>
      <c r="E113" s="83"/>
      <c r="F113" s="78">
        <f t="shared" si="2"/>
        <v>0</v>
      </c>
      <c r="G113" s="78">
        <f t="shared" si="3"/>
        <v>0</v>
      </c>
    </row>
    <row r="114" spans="2:7" x14ac:dyDescent="0.35">
      <c r="B114">
        <f>'Plan Comptable'!B114</f>
        <v>2971</v>
      </c>
      <c r="C114" t="str">
        <f>'Plan Comptable'!C114</f>
        <v>Prov dépréciation prêts</v>
      </c>
      <c r="D114" s="83"/>
      <c r="E114" s="83"/>
      <c r="F114" s="78">
        <f t="shared" si="2"/>
        <v>0</v>
      </c>
      <c r="G114" s="78">
        <f t="shared" si="3"/>
        <v>0</v>
      </c>
    </row>
    <row r="115" spans="2:7" x14ac:dyDescent="0.35">
      <c r="B115">
        <f>'Plan Comptable'!B115</f>
        <v>3110</v>
      </c>
      <c r="C115" t="str">
        <f>'Plan Comptable'!C115</f>
        <v>Marchandises A</v>
      </c>
      <c r="D115" s="83"/>
      <c r="E115" s="83"/>
      <c r="F115" s="78">
        <f t="shared" si="2"/>
        <v>0</v>
      </c>
      <c r="G115" s="78">
        <f t="shared" si="3"/>
        <v>0</v>
      </c>
    </row>
    <row r="116" spans="2:7" x14ac:dyDescent="0.35">
      <c r="B116">
        <f>'Plan Comptable'!B116</f>
        <v>3120</v>
      </c>
      <c r="C116" t="str">
        <f>'Plan Comptable'!C116</f>
        <v>Marchandises B</v>
      </c>
      <c r="D116" s="83"/>
      <c r="E116" s="83"/>
      <c r="F116" s="78">
        <f t="shared" si="2"/>
        <v>0</v>
      </c>
      <c r="G116" s="78">
        <f t="shared" si="3"/>
        <v>0</v>
      </c>
    </row>
    <row r="117" spans="2:7" x14ac:dyDescent="0.35">
      <c r="B117">
        <f>'Plan Comptable'!B117</f>
        <v>3180</v>
      </c>
      <c r="C117" t="str">
        <f>'Plan Comptable'!C117</f>
        <v>Autres marchandises</v>
      </c>
      <c r="D117" s="83"/>
      <c r="E117" s="83"/>
      <c r="F117" s="78">
        <f t="shared" si="2"/>
        <v>0</v>
      </c>
      <c r="G117" s="78">
        <f t="shared" si="3"/>
        <v>0</v>
      </c>
    </row>
    <row r="118" spans="2:7" x14ac:dyDescent="0.35">
      <c r="B118">
        <f>'Plan Comptable'!B118</f>
        <v>3210</v>
      </c>
      <c r="C118" t="str">
        <f>'Plan Comptable'!C118</f>
        <v>Matières premières A</v>
      </c>
      <c r="D118" s="83"/>
      <c r="E118" s="83"/>
      <c r="F118" s="78">
        <f t="shared" si="2"/>
        <v>0</v>
      </c>
      <c r="G118" s="78">
        <f t="shared" si="3"/>
        <v>0</v>
      </c>
    </row>
    <row r="119" spans="2:7" x14ac:dyDescent="0.35">
      <c r="B119">
        <f>'Plan Comptable'!B119</f>
        <v>3220</v>
      </c>
      <c r="C119" t="str">
        <f>'Plan Comptable'!C119</f>
        <v>Matières premières B</v>
      </c>
      <c r="D119" s="83"/>
      <c r="E119" s="83"/>
      <c r="F119" s="78">
        <f t="shared" si="2"/>
        <v>0</v>
      </c>
      <c r="G119" s="78">
        <f t="shared" si="3"/>
        <v>0</v>
      </c>
    </row>
    <row r="120" spans="2:7" x14ac:dyDescent="0.35">
      <c r="B120">
        <f>'Plan Comptable'!B120</f>
        <v>3311</v>
      </c>
      <c r="C120" t="str">
        <f>'Plan Comptable'!C120</f>
        <v>Matières consommables</v>
      </c>
      <c r="D120" s="83"/>
      <c r="E120" s="83"/>
      <c r="F120" s="78">
        <f t="shared" si="2"/>
        <v>0</v>
      </c>
      <c r="G120" s="78">
        <f t="shared" si="3"/>
        <v>0</v>
      </c>
    </row>
    <row r="121" spans="2:7" x14ac:dyDescent="0.35">
      <c r="B121">
        <f>'Plan Comptable'!B121</f>
        <v>3312</v>
      </c>
      <c r="C121" t="str">
        <f>'Plan Comptable'!C121</f>
        <v>Combustibles</v>
      </c>
      <c r="D121" s="83"/>
      <c r="E121" s="83"/>
      <c r="F121" s="78">
        <f t="shared" si="2"/>
        <v>0</v>
      </c>
      <c r="G121" s="78">
        <f t="shared" si="3"/>
        <v>0</v>
      </c>
    </row>
    <row r="122" spans="2:7" x14ac:dyDescent="0.35">
      <c r="B122">
        <f>'Plan Comptable'!B122</f>
        <v>3316</v>
      </c>
      <c r="C122" t="str">
        <f>'Plan Comptable'!C122</f>
        <v>Fournitures de bureau</v>
      </c>
      <c r="D122" s="83"/>
      <c r="E122" s="83"/>
      <c r="F122" s="78">
        <f t="shared" si="2"/>
        <v>0</v>
      </c>
      <c r="G122" s="78">
        <f t="shared" si="3"/>
        <v>0</v>
      </c>
    </row>
    <row r="123" spans="2:7" x14ac:dyDescent="0.35">
      <c r="B123">
        <f>'Plan Comptable'!B123</f>
        <v>3341</v>
      </c>
      <c r="C123" t="str">
        <f>'Plan Comptable'!C123</f>
        <v>Emballages perdus</v>
      </c>
      <c r="D123" s="83"/>
      <c r="E123" s="83"/>
      <c r="F123" s="78">
        <f t="shared" si="2"/>
        <v>0</v>
      </c>
      <c r="G123" s="78">
        <f t="shared" si="3"/>
        <v>0</v>
      </c>
    </row>
    <row r="124" spans="2:7" x14ac:dyDescent="0.35">
      <c r="B124">
        <f>'Plan Comptable'!B124</f>
        <v>3342</v>
      </c>
      <c r="C124" t="str">
        <f>'Plan Comptable'!C124</f>
        <v>Emballages récupérables</v>
      </c>
      <c r="D124" s="83"/>
      <c r="E124" s="83"/>
      <c r="F124" s="78">
        <f t="shared" si="2"/>
        <v>0</v>
      </c>
      <c r="G124" s="78">
        <f t="shared" si="3"/>
        <v>0</v>
      </c>
    </row>
    <row r="125" spans="2:7" x14ac:dyDescent="0.35">
      <c r="B125">
        <f>'Plan Comptable'!B125</f>
        <v>3510</v>
      </c>
      <c r="C125" t="str">
        <f>'Plan Comptable'!C125</f>
        <v>En-cours produits</v>
      </c>
      <c r="D125" s="83"/>
      <c r="E125" s="83"/>
      <c r="F125" s="78">
        <f t="shared" si="2"/>
        <v>0</v>
      </c>
      <c r="G125" s="78">
        <f t="shared" si="3"/>
        <v>0</v>
      </c>
    </row>
    <row r="126" spans="2:7" x14ac:dyDescent="0.35">
      <c r="B126">
        <f>'Plan Comptable'!B126</f>
        <v>3520</v>
      </c>
      <c r="C126" t="str">
        <f>'Plan Comptable'!C126</f>
        <v>Travaux en cours</v>
      </c>
      <c r="D126" s="83"/>
      <c r="E126" s="83"/>
      <c r="F126" s="78">
        <f t="shared" si="2"/>
        <v>0</v>
      </c>
      <c r="G126" s="78">
        <f t="shared" si="3"/>
        <v>0</v>
      </c>
    </row>
    <row r="127" spans="2:7" x14ac:dyDescent="0.35">
      <c r="B127">
        <f>'Plan Comptable'!B127</f>
        <v>3610</v>
      </c>
      <c r="C127" t="str">
        <f>'Plan Comptable'!C127</f>
        <v>Produits intermédiaires</v>
      </c>
      <c r="D127" s="83"/>
      <c r="E127" s="83"/>
      <c r="F127" s="78">
        <f t="shared" si="2"/>
        <v>0</v>
      </c>
      <c r="G127" s="78">
        <f t="shared" si="3"/>
        <v>0</v>
      </c>
    </row>
    <row r="128" spans="2:7" x14ac:dyDescent="0.35">
      <c r="B128">
        <f>'Plan Comptable'!B128</f>
        <v>3620</v>
      </c>
      <c r="C128" t="str">
        <f>'Plan Comptable'!C128</f>
        <v>Produits finis</v>
      </c>
      <c r="D128" s="83"/>
      <c r="E128" s="83"/>
      <c r="F128" s="78">
        <f t="shared" si="2"/>
        <v>0</v>
      </c>
      <c r="G128" s="78">
        <f t="shared" si="3"/>
        <v>0</v>
      </c>
    </row>
    <row r="129" spans="2:7" x14ac:dyDescent="0.35">
      <c r="B129">
        <f>'Plan Comptable'!B129</f>
        <v>3630</v>
      </c>
      <c r="C129" t="str">
        <f>'Plan Comptable'!C129</f>
        <v>Produits résiduels</v>
      </c>
      <c r="D129" s="83"/>
      <c r="E129" s="83"/>
      <c r="F129" s="78">
        <f t="shared" si="2"/>
        <v>0</v>
      </c>
      <c r="G129" s="78">
        <f t="shared" si="3"/>
        <v>0</v>
      </c>
    </row>
    <row r="130" spans="2:7" x14ac:dyDescent="0.35">
      <c r="B130">
        <f>'Plan Comptable'!B130</f>
        <v>3910</v>
      </c>
      <c r="C130" t="str">
        <f>'Plan Comptable'!C130</f>
        <v>Prov dépréciation marchandises</v>
      </c>
      <c r="D130" s="83"/>
      <c r="E130" s="83"/>
      <c r="F130" s="78">
        <f t="shared" si="2"/>
        <v>0</v>
      </c>
      <c r="G130" s="78">
        <f t="shared" si="3"/>
        <v>0</v>
      </c>
    </row>
    <row r="131" spans="2:7" x14ac:dyDescent="0.35">
      <c r="B131">
        <f>'Plan Comptable'!B131</f>
        <v>3920</v>
      </c>
      <c r="C131" t="str">
        <f>'Plan Comptable'!C131</f>
        <v>Prov dépréciation matières</v>
      </c>
      <c r="D131" s="83"/>
      <c r="E131" s="83"/>
      <c r="F131" s="78">
        <f t="shared" si="2"/>
        <v>0</v>
      </c>
      <c r="G131" s="78">
        <f t="shared" si="3"/>
        <v>0</v>
      </c>
    </row>
    <row r="132" spans="2:7" x14ac:dyDescent="0.35">
      <c r="B132">
        <f>'Plan Comptable'!B132</f>
        <v>3950</v>
      </c>
      <c r="C132" t="str">
        <f>'Plan Comptable'!C132</f>
        <v>Prov dépréciation en-cours</v>
      </c>
      <c r="D132" s="83"/>
      <c r="E132" s="83"/>
      <c r="F132" s="78">
        <f t="shared" si="2"/>
        <v>0</v>
      </c>
      <c r="G132" s="78">
        <f t="shared" si="3"/>
        <v>0</v>
      </c>
    </row>
    <row r="133" spans="2:7" x14ac:dyDescent="0.35">
      <c r="B133">
        <f>'Plan Comptable'!B133</f>
        <v>3960</v>
      </c>
      <c r="C133" t="str">
        <f>'Plan Comptable'!C133</f>
        <v>Prov dépréciation produits</v>
      </c>
      <c r="D133" s="83"/>
      <c r="E133" s="83"/>
      <c r="F133" s="78">
        <f t="shared" si="2"/>
        <v>0</v>
      </c>
      <c r="G133" s="78">
        <f t="shared" si="3"/>
        <v>0</v>
      </c>
    </row>
    <row r="134" spans="2:7" x14ac:dyDescent="0.35">
      <c r="B134">
        <f>'Plan Comptable'!B134</f>
        <v>4011</v>
      </c>
      <c r="C134" t="str">
        <f>'Plan Comptable'!C134</f>
        <v>Fournisseurs biens</v>
      </c>
      <c r="D134" s="83"/>
      <c r="E134" s="83"/>
      <c r="F134" s="78">
        <f t="shared" ref="F134:F197" si="4">IF(D134-E134&gt;0,D134-E134,0)</f>
        <v>0</v>
      </c>
      <c r="G134" s="78">
        <f t="shared" ref="G134:G197" si="5">IF(E134-D134&gt;0,E134-D134,0)</f>
        <v>0</v>
      </c>
    </row>
    <row r="135" spans="2:7" x14ac:dyDescent="0.35">
      <c r="B135">
        <f>'Plan Comptable'!B135</f>
        <v>4012</v>
      </c>
      <c r="C135" t="str">
        <f>'Plan Comptable'!C135</f>
        <v>Fournisseurs services</v>
      </c>
      <c r="D135" s="83"/>
      <c r="E135" s="83"/>
      <c r="F135" s="78">
        <f t="shared" si="4"/>
        <v>0</v>
      </c>
      <c r="G135" s="78">
        <f t="shared" si="5"/>
        <v>0</v>
      </c>
    </row>
    <row r="136" spans="2:7" x14ac:dyDescent="0.35">
      <c r="B136">
        <f>'Plan Comptable'!B136</f>
        <v>4020</v>
      </c>
      <c r="C136" t="str">
        <f>'Plan Comptable'!C136</f>
        <v>Fournisseurs effets à payer</v>
      </c>
      <c r="D136" s="83"/>
      <c r="E136" s="83"/>
      <c r="F136" s="78">
        <f t="shared" si="4"/>
        <v>0</v>
      </c>
      <c r="G136" s="78">
        <f t="shared" si="5"/>
        <v>0</v>
      </c>
    </row>
    <row r="137" spans="2:7" x14ac:dyDescent="0.35">
      <c r="B137">
        <f>'Plan Comptable'!B137</f>
        <v>4030</v>
      </c>
      <c r="C137" t="str">
        <f>'Plan Comptable'!C137</f>
        <v>Fournisseurs avances reçues</v>
      </c>
      <c r="D137" s="83"/>
      <c r="E137" s="83"/>
      <c r="F137" s="78">
        <f t="shared" si="4"/>
        <v>0</v>
      </c>
      <c r="G137" s="78">
        <f t="shared" si="5"/>
        <v>0</v>
      </c>
    </row>
    <row r="138" spans="2:7" x14ac:dyDescent="0.35">
      <c r="B138">
        <f>'Plan Comptable'!B138</f>
        <v>4040</v>
      </c>
      <c r="C138" t="str">
        <f>'Plan Comptable'!C138</f>
        <v>Fournisseurs immobilisations</v>
      </c>
      <c r="D138" s="83"/>
      <c r="E138" s="83"/>
      <c r="F138" s="78">
        <f t="shared" si="4"/>
        <v>0</v>
      </c>
      <c r="G138" s="78">
        <f t="shared" si="5"/>
        <v>0</v>
      </c>
    </row>
    <row r="139" spans="2:7" x14ac:dyDescent="0.35">
      <c r="B139">
        <f>'Plan Comptable'!B139</f>
        <v>4080</v>
      </c>
      <c r="C139" t="str">
        <f>'Plan Comptable'!C139</f>
        <v>Fournisseurs factures non parvenues</v>
      </c>
      <c r="D139" s="83"/>
      <c r="E139" s="83"/>
      <c r="F139" s="78">
        <f t="shared" si="4"/>
        <v>0</v>
      </c>
      <c r="G139" s="78">
        <f t="shared" si="5"/>
        <v>0</v>
      </c>
    </row>
    <row r="140" spans="2:7" x14ac:dyDescent="0.35">
      <c r="B140">
        <f>'Plan Comptable'!B140</f>
        <v>4090</v>
      </c>
      <c r="C140" t="str">
        <f>'Plan Comptable'!C140</f>
        <v>Fournisseurs débiteurs</v>
      </c>
      <c r="D140" s="83"/>
      <c r="E140" s="83"/>
      <c r="F140" s="78">
        <f t="shared" si="4"/>
        <v>0</v>
      </c>
      <c r="G140" s="78">
        <f t="shared" si="5"/>
        <v>0</v>
      </c>
    </row>
    <row r="141" spans="2:7" x14ac:dyDescent="0.35">
      <c r="B141">
        <f>'Plan Comptable'!B141</f>
        <v>4111</v>
      </c>
      <c r="C141" t="str">
        <f>'Plan Comptable'!C141</f>
        <v>Clients ordinaires</v>
      </c>
      <c r="D141" s="83"/>
      <c r="E141" s="83"/>
      <c r="F141" s="78">
        <f t="shared" si="4"/>
        <v>0</v>
      </c>
      <c r="G141" s="78">
        <f t="shared" si="5"/>
        <v>0</v>
      </c>
    </row>
    <row r="142" spans="2:7" x14ac:dyDescent="0.35">
      <c r="B142">
        <f>'Plan Comptable'!B142</f>
        <v>4112</v>
      </c>
      <c r="C142" t="str">
        <f>'Plan Comptable'!C142</f>
        <v>Clients groupe</v>
      </c>
      <c r="D142" s="83"/>
      <c r="E142" s="83"/>
      <c r="F142" s="78">
        <f t="shared" si="4"/>
        <v>0</v>
      </c>
      <c r="G142" s="78">
        <f t="shared" si="5"/>
        <v>0</v>
      </c>
    </row>
    <row r="143" spans="2:7" x14ac:dyDescent="0.35">
      <c r="B143">
        <f>'Plan Comptable'!B143</f>
        <v>4120</v>
      </c>
      <c r="C143" t="str">
        <f>'Plan Comptable'!C143</f>
        <v>Clients effets à recevoir</v>
      </c>
      <c r="D143" s="83"/>
      <c r="E143" s="83"/>
      <c r="F143" s="78">
        <f t="shared" si="4"/>
        <v>0</v>
      </c>
      <c r="G143" s="78">
        <f t="shared" si="5"/>
        <v>0</v>
      </c>
    </row>
    <row r="144" spans="2:7" x14ac:dyDescent="0.35">
      <c r="B144">
        <f>'Plan Comptable'!B144</f>
        <v>4130</v>
      </c>
      <c r="C144" t="str">
        <f>'Plan Comptable'!C144</f>
        <v>Clients avances versées</v>
      </c>
      <c r="D144" s="83"/>
      <c r="E144" s="83"/>
      <c r="F144" s="78">
        <f t="shared" si="4"/>
        <v>0</v>
      </c>
      <c r="G144" s="78">
        <f t="shared" si="5"/>
        <v>0</v>
      </c>
    </row>
    <row r="145" spans="2:7" x14ac:dyDescent="0.35">
      <c r="B145">
        <f>'Plan Comptable'!B145</f>
        <v>4160</v>
      </c>
      <c r="C145" t="str">
        <f>'Plan Comptable'!C145</f>
        <v>Clients douteux</v>
      </c>
      <c r="D145" s="83"/>
      <c r="E145" s="83"/>
      <c r="F145" s="78">
        <f t="shared" si="4"/>
        <v>0</v>
      </c>
      <c r="G145" s="78">
        <f t="shared" si="5"/>
        <v>0</v>
      </c>
    </row>
    <row r="146" spans="2:7" x14ac:dyDescent="0.35">
      <c r="B146">
        <f>'Plan Comptable'!B146</f>
        <v>4180</v>
      </c>
      <c r="C146" t="str">
        <f>'Plan Comptable'!C146</f>
        <v>Clients produits à recevoir</v>
      </c>
      <c r="D146" s="83"/>
      <c r="E146" s="83"/>
      <c r="F146" s="78">
        <f t="shared" si="4"/>
        <v>0</v>
      </c>
      <c r="G146" s="78">
        <f t="shared" si="5"/>
        <v>0</v>
      </c>
    </row>
    <row r="147" spans="2:7" x14ac:dyDescent="0.35">
      <c r="B147">
        <f>'Plan Comptable'!B147</f>
        <v>4190</v>
      </c>
      <c r="C147" t="str">
        <f>'Plan Comptable'!C147</f>
        <v>Clients créditeurs</v>
      </c>
      <c r="D147" s="83"/>
      <c r="E147" s="83"/>
      <c r="F147" s="78">
        <f t="shared" si="4"/>
        <v>0</v>
      </c>
      <c r="G147" s="78">
        <f t="shared" si="5"/>
        <v>0</v>
      </c>
    </row>
    <row r="148" spans="2:7" x14ac:dyDescent="0.35">
      <c r="B148">
        <f>'Plan Comptable'!B148</f>
        <v>4210</v>
      </c>
      <c r="C148" t="str">
        <f>'Plan Comptable'!C148</f>
        <v>Personnel avances</v>
      </c>
      <c r="D148" s="83"/>
      <c r="E148" s="83"/>
      <c r="F148" s="78">
        <f t="shared" si="4"/>
        <v>0</v>
      </c>
      <c r="G148" s="78">
        <f t="shared" si="5"/>
        <v>0</v>
      </c>
    </row>
    <row r="149" spans="2:7" x14ac:dyDescent="0.35">
      <c r="B149">
        <f>'Plan Comptable'!B149</f>
        <v>4220</v>
      </c>
      <c r="C149" t="str">
        <f>'Plan Comptable'!C149</f>
        <v>Personnel rémunérations dues</v>
      </c>
      <c r="D149" s="83"/>
      <c r="E149" s="83"/>
      <c r="F149" s="78">
        <f t="shared" si="4"/>
        <v>0</v>
      </c>
      <c r="G149" s="78">
        <f t="shared" si="5"/>
        <v>0</v>
      </c>
    </row>
    <row r="150" spans="2:7" x14ac:dyDescent="0.35">
      <c r="B150">
        <f>'Plan Comptable'!B150</f>
        <v>4230</v>
      </c>
      <c r="C150" t="str">
        <f>'Plan Comptable'!C150</f>
        <v>Personnel oppositions salaires</v>
      </c>
      <c r="D150" s="83"/>
      <c r="E150" s="83"/>
      <c r="F150" s="78">
        <f t="shared" si="4"/>
        <v>0</v>
      </c>
      <c r="G150" s="78">
        <f t="shared" si="5"/>
        <v>0</v>
      </c>
    </row>
    <row r="151" spans="2:7" x14ac:dyDescent="0.35">
      <c r="B151">
        <f>'Plan Comptable'!B151</f>
        <v>4280</v>
      </c>
      <c r="C151" t="str">
        <f>'Plan Comptable'!C151</f>
        <v>Personnel autres créances</v>
      </c>
      <c r="D151" s="83"/>
      <c r="E151" s="83"/>
      <c r="F151" s="78">
        <f t="shared" si="4"/>
        <v>0</v>
      </c>
      <c r="G151" s="78">
        <f t="shared" si="5"/>
        <v>0</v>
      </c>
    </row>
    <row r="152" spans="2:7" x14ac:dyDescent="0.35">
      <c r="B152">
        <f>'Plan Comptable'!B152</f>
        <v>4310</v>
      </c>
      <c r="C152" t="str">
        <f>'Plan Comptable'!C152</f>
        <v>Sécurité sociale</v>
      </c>
      <c r="D152" s="83"/>
      <c r="E152" s="83"/>
      <c r="F152" s="78">
        <f t="shared" si="4"/>
        <v>0</v>
      </c>
      <c r="G152" s="78">
        <f t="shared" si="5"/>
        <v>0</v>
      </c>
    </row>
    <row r="153" spans="2:7" x14ac:dyDescent="0.35">
      <c r="B153">
        <f>'Plan Comptable'!B153</f>
        <v>4320</v>
      </c>
      <c r="C153" t="str">
        <f>'Plan Comptable'!C153</f>
        <v>Caisses de retraite</v>
      </c>
      <c r="D153" s="83"/>
      <c r="E153" s="83"/>
      <c r="F153" s="78">
        <f t="shared" si="4"/>
        <v>0</v>
      </c>
      <c r="G153" s="78">
        <f t="shared" si="5"/>
        <v>0</v>
      </c>
    </row>
    <row r="154" spans="2:7" x14ac:dyDescent="0.35">
      <c r="B154">
        <f>'Plan Comptable'!B154</f>
        <v>4330</v>
      </c>
      <c r="C154" t="str">
        <f>'Plan Comptable'!C154</f>
        <v>Autres organismes sociaux</v>
      </c>
      <c r="D154" s="83"/>
      <c r="E154" s="83"/>
      <c r="F154" s="78">
        <f t="shared" si="4"/>
        <v>0</v>
      </c>
      <c r="G154" s="78">
        <f t="shared" si="5"/>
        <v>0</v>
      </c>
    </row>
    <row r="155" spans="2:7" x14ac:dyDescent="0.35">
      <c r="B155">
        <f>'Plan Comptable'!B155</f>
        <v>4380</v>
      </c>
      <c r="C155" t="str">
        <f>'Plan Comptable'!C155</f>
        <v>Organismes sociaux charges à payer</v>
      </c>
      <c r="D155" s="83"/>
      <c r="E155" s="83"/>
      <c r="F155" s="78">
        <f t="shared" si="4"/>
        <v>0</v>
      </c>
      <c r="G155" s="78">
        <f t="shared" si="5"/>
        <v>0</v>
      </c>
    </row>
    <row r="156" spans="2:7" x14ac:dyDescent="0.35">
      <c r="B156">
        <f>'Plan Comptable'!B156</f>
        <v>4410</v>
      </c>
      <c r="C156" t="str">
        <f>'Plan Comptable'!C156</f>
        <v>État impôt bénéfices</v>
      </c>
      <c r="D156" s="83"/>
      <c r="E156" s="83"/>
      <c r="F156" s="78">
        <f t="shared" si="4"/>
        <v>0</v>
      </c>
      <c r="G156" s="78">
        <f t="shared" si="5"/>
        <v>0</v>
      </c>
    </row>
    <row r="157" spans="2:7" x14ac:dyDescent="0.35">
      <c r="B157">
        <f>'Plan Comptable'!B157</f>
        <v>4420</v>
      </c>
      <c r="C157" t="str">
        <f>'Plan Comptable'!C157</f>
        <v>État autres impôts taxes</v>
      </c>
      <c r="D157" s="83"/>
      <c r="E157" s="83"/>
      <c r="F157" s="78">
        <f t="shared" si="4"/>
        <v>0</v>
      </c>
      <c r="G157" s="78">
        <f t="shared" si="5"/>
        <v>0</v>
      </c>
    </row>
    <row r="158" spans="2:7" x14ac:dyDescent="0.35">
      <c r="B158">
        <f>'Plan Comptable'!B158</f>
        <v>4431</v>
      </c>
      <c r="C158" t="str">
        <f>'Plan Comptable'!C158</f>
        <v>État TVA facturée</v>
      </c>
      <c r="D158" s="83"/>
      <c r="E158" s="83"/>
      <c r="F158" s="78">
        <f t="shared" si="4"/>
        <v>0</v>
      </c>
      <c r="G158" s="78">
        <f t="shared" si="5"/>
        <v>0</v>
      </c>
    </row>
    <row r="159" spans="2:7" x14ac:dyDescent="0.35">
      <c r="B159">
        <f>'Plan Comptable'!B159</f>
        <v>4432</v>
      </c>
      <c r="C159" t="str">
        <f>'Plan Comptable'!C159</f>
        <v>État TVA récup immobilisations</v>
      </c>
      <c r="D159" s="83"/>
      <c r="E159" s="83"/>
      <c r="F159" s="78">
        <f t="shared" si="4"/>
        <v>0</v>
      </c>
      <c r="G159" s="78">
        <f t="shared" si="5"/>
        <v>0</v>
      </c>
    </row>
    <row r="160" spans="2:7" x14ac:dyDescent="0.35">
      <c r="B160">
        <f>'Plan Comptable'!B160</f>
        <v>4433</v>
      </c>
      <c r="C160" t="str">
        <f>'Plan Comptable'!C160</f>
        <v>État TVA récup achats</v>
      </c>
      <c r="D160" s="83"/>
      <c r="E160" s="83"/>
      <c r="F160" s="78">
        <f t="shared" si="4"/>
        <v>0</v>
      </c>
      <c r="G160" s="78">
        <f t="shared" si="5"/>
        <v>0</v>
      </c>
    </row>
    <row r="161" spans="2:7" x14ac:dyDescent="0.35">
      <c r="B161">
        <f>'Plan Comptable'!B161</f>
        <v>4436</v>
      </c>
      <c r="C161" t="str">
        <f>'Plan Comptable'!C161</f>
        <v>État crédit TVA</v>
      </c>
      <c r="D161" s="83"/>
      <c r="E161" s="83"/>
      <c r="F161" s="78">
        <f t="shared" si="4"/>
        <v>0</v>
      </c>
      <c r="G161" s="78">
        <f t="shared" si="5"/>
        <v>0</v>
      </c>
    </row>
    <row r="162" spans="2:7" x14ac:dyDescent="0.35">
      <c r="B162">
        <f>'Plan Comptable'!B162</f>
        <v>4441</v>
      </c>
      <c r="C162" t="str">
        <f>'Plan Comptable'!C162</f>
        <v>État impôt sociétés</v>
      </c>
      <c r="D162" s="83"/>
      <c r="E162" s="83"/>
      <c r="F162" s="78">
        <f t="shared" si="4"/>
        <v>0</v>
      </c>
      <c r="G162" s="78">
        <f t="shared" si="5"/>
        <v>0</v>
      </c>
    </row>
    <row r="163" spans="2:7" x14ac:dyDescent="0.35">
      <c r="B163">
        <f>'Plan Comptable'!B163</f>
        <v>4451</v>
      </c>
      <c r="C163" t="str">
        <f>'Plan Comptable'!C163</f>
        <v>État subventions à recevoir</v>
      </c>
      <c r="D163" s="83"/>
      <c r="E163" s="83"/>
      <c r="F163" s="78">
        <f t="shared" si="4"/>
        <v>0</v>
      </c>
      <c r="G163" s="78">
        <f t="shared" si="5"/>
        <v>0</v>
      </c>
    </row>
    <row r="164" spans="2:7" x14ac:dyDescent="0.35">
      <c r="B164">
        <f>'Plan Comptable'!B164</f>
        <v>4460</v>
      </c>
      <c r="C164" t="str">
        <f>'Plan Comptable'!C164</f>
        <v>État charges à payer</v>
      </c>
      <c r="D164" s="83"/>
      <c r="E164" s="83"/>
      <c r="F164" s="78">
        <f t="shared" si="4"/>
        <v>0</v>
      </c>
      <c r="G164" s="78">
        <f t="shared" si="5"/>
        <v>0</v>
      </c>
    </row>
    <row r="165" spans="2:7" x14ac:dyDescent="0.35">
      <c r="B165">
        <f>'Plan Comptable'!B165</f>
        <v>4520</v>
      </c>
      <c r="C165" t="str">
        <f>'Plan Comptable'!C165</f>
        <v>Associés comptes courants</v>
      </c>
      <c r="D165" s="83"/>
      <c r="E165" s="83"/>
      <c r="F165" s="78">
        <f t="shared" si="4"/>
        <v>0</v>
      </c>
      <c r="G165" s="78">
        <f t="shared" si="5"/>
        <v>0</v>
      </c>
    </row>
    <row r="166" spans="2:7" x14ac:dyDescent="0.35">
      <c r="B166">
        <f>'Plan Comptable'!B166</f>
        <v>4530</v>
      </c>
      <c r="C166" t="str">
        <f>'Plan Comptable'!C166</f>
        <v>Associés dividendes à payer</v>
      </c>
      <c r="D166" s="83"/>
      <c r="E166" s="83"/>
      <c r="F166" s="78">
        <f t="shared" si="4"/>
        <v>0</v>
      </c>
      <c r="G166" s="78">
        <f t="shared" si="5"/>
        <v>0</v>
      </c>
    </row>
    <row r="167" spans="2:7" x14ac:dyDescent="0.35">
      <c r="B167">
        <f>'Plan Comptable'!B167</f>
        <v>4710</v>
      </c>
      <c r="C167" t="str">
        <f>'Plan Comptable'!C167</f>
        <v>Débiteurs divers</v>
      </c>
      <c r="D167" s="83"/>
      <c r="E167" s="83"/>
      <c r="F167" s="78">
        <f t="shared" si="4"/>
        <v>0</v>
      </c>
      <c r="G167" s="78">
        <f t="shared" si="5"/>
        <v>0</v>
      </c>
    </row>
    <row r="168" spans="2:7" x14ac:dyDescent="0.35">
      <c r="B168">
        <f>'Plan Comptable'!B168</f>
        <v>4720</v>
      </c>
      <c r="C168" t="str">
        <f>'Plan Comptable'!C168</f>
        <v>Créditeurs divers</v>
      </c>
      <c r="D168" s="83"/>
      <c r="E168" s="83"/>
      <c r="F168" s="78">
        <f t="shared" si="4"/>
        <v>0</v>
      </c>
      <c r="G168" s="78">
        <f t="shared" si="5"/>
        <v>0</v>
      </c>
    </row>
    <row r="169" spans="2:7" x14ac:dyDescent="0.35">
      <c r="B169">
        <f>'Plan Comptable'!B169</f>
        <v>4781</v>
      </c>
      <c r="C169" t="str">
        <f>'Plan Comptable'!C169</f>
        <v>Écarts conversion Actif</v>
      </c>
      <c r="D169" s="83"/>
      <c r="E169" s="83"/>
      <c r="F169" s="78">
        <f t="shared" si="4"/>
        <v>0</v>
      </c>
      <c r="G169" s="78">
        <f t="shared" si="5"/>
        <v>0</v>
      </c>
    </row>
    <row r="170" spans="2:7" x14ac:dyDescent="0.35">
      <c r="B170">
        <f>'Plan Comptable'!B170</f>
        <v>4782</v>
      </c>
      <c r="C170" t="str">
        <f>'Plan Comptable'!C170</f>
        <v>Écarts conversion Passif</v>
      </c>
      <c r="D170" s="83"/>
      <c r="E170" s="83"/>
      <c r="F170" s="78">
        <f t="shared" si="4"/>
        <v>0</v>
      </c>
      <c r="G170" s="78">
        <f t="shared" si="5"/>
        <v>0</v>
      </c>
    </row>
    <row r="171" spans="2:7" x14ac:dyDescent="0.35">
      <c r="B171">
        <f>'Plan Comptable'!B171</f>
        <v>4820</v>
      </c>
      <c r="C171" t="str">
        <f>'Plan Comptable'!C171</f>
        <v>Charges constatées d'avance</v>
      </c>
      <c r="D171" s="83"/>
      <c r="E171" s="83"/>
      <c r="F171" s="78">
        <f t="shared" si="4"/>
        <v>0</v>
      </c>
      <c r="G171" s="78">
        <f t="shared" si="5"/>
        <v>0</v>
      </c>
    </row>
    <row r="172" spans="2:7" x14ac:dyDescent="0.35">
      <c r="B172">
        <f>'Plan Comptable'!B172</f>
        <v>4830</v>
      </c>
      <c r="C172" t="str">
        <f>'Plan Comptable'!C172</f>
        <v>Produits constatés d'avance</v>
      </c>
      <c r="D172" s="83"/>
      <c r="E172" s="83"/>
      <c r="F172" s="78">
        <f t="shared" si="4"/>
        <v>0</v>
      </c>
      <c r="G172" s="78">
        <f t="shared" si="5"/>
        <v>0</v>
      </c>
    </row>
    <row r="173" spans="2:7" x14ac:dyDescent="0.35">
      <c r="B173">
        <f>'Plan Comptable'!B173</f>
        <v>4910</v>
      </c>
      <c r="C173" t="str">
        <f>'Plan Comptable'!C173</f>
        <v>Prov dépréciation clients</v>
      </c>
      <c r="D173" s="83"/>
      <c r="E173" s="83"/>
      <c r="F173" s="78">
        <f t="shared" si="4"/>
        <v>0</v>
      </c>
      <c r="G173" s="78">
        <f t="shared" si="5"/>
        <v>0</v>
      </c>
    </row>
    <row r="174" spans="2:7" x14ac:dyDescent="0.35">
      <c r="B174">
        <f>'Plan Comptable'!B174</f>
        <v>4920</v>
      </c>
      <c r="C174" t="str">
        <f>'Plan Comptable'!C174</f>
        <v>Prov dépréciation autres créances</v>
      </c>
      <c r="D174" s="83"/>
      <c r="E174" s="83"/>
      <c r="F174" s="78">
        <f t="shared" si="4"/>
        <v>0</v>
      </c>
      <c r="G174" s="78">
        <f t="shared" si="5"/>
        <v>0</v>
      </c>
    </row>
    <row r="175" spans="2:7" x14ac:dyDescent="0.35">
      <c r="B175">
        <f>'Plan Comptable'!B175</f>
        <v>5210</v>
      </c>
      <c r="C175" t="str">
        <f>'Plan Comptable'!C175</f>
        <v>Banques comptes en monnaie locale</v>
      </c>
      <c r="D175" s="83"/>
      <c r="E175" s="83"/>
      <c r="F175" s="78">
        <f t="shared" si="4"/>
        <v>0</v>
      </c>
      <c r="G175" s="78">
        <f t="shared" si="5"/>
        <v>0</v>
      </c>
    </row>
    <row r="176" spans="2:7" x14ac:dyDescent="0.35">
      <c r="B176">
        <f>'Plan Comptable'!B176</f>
        <v>5220</v>
      </c>
      <c r="C176" t="str">
        <f>'Plan Comptable'!C176</f>
        <v>Banques comptes en devises</v>
      </c>
      <c r="D176" s="83"/>
      <c r="E176" s="83"/>
      <c r="F176" s="78">
        <f t="shared" si="4"/>
        <v>0</v>
      </c>
      <c r="G176" s="78">
        <f t="shared" si="5"/>
        <v>0</v>
      </c>
    </row>
    <row r="177" spans="2:7" x14ac:dyDescent="0.35">
      <c r="B177">
        <f>'Plan Comptable'!B177</f>
        <v>5230</v>
      </c>
      <c r="C177" t="str">
        <f>'Plan Comptable'!C177</f>
        <v>Établissements financiers</v>
      </c>
      <c r="D177" s="83"/>
      <c r="E177" s="83"/>
      <c r="F177" s="78">
        <f t="shared" si="4"/>
        <v>0</v>
      </c>
      <c r="G177" s="78">
        <f t="shared" si="5"/>
        <v>0</v>
      </c>
    </row>
    <row r="178" spans="2:7" x14ac:dyDescent="0.35">
      <c r="B178">
        <f>'Plan Comptable'!B178</f>
        <v>5240</v>
      </c>
      <c r="C178" t="str">
        <f>'Plan Comptable'!C178</f>
        <v>Banques comptes bloqués</v>
      </c>
      <c r="D178" s="83"/>
      <c r="E178" s="83"/>
      <c r="F178" s="78">
        <f t="shared" si="4"/>
        <v>0</v>
      </c>
      <c r="G178" s="78">
        <f t="shared" si="5"/>
        <v>0</v>
      </c>
    </row>
    <row r="179" spans="2:7" x14ac:dyDescent="0.35">
      <c r="B179">
        <f>'Plan Comptable'!B179</f>
        <v>5310</v>
      </c>
      <c r="C179" t="str">
        <f>'Plan Comptable'!C179</f>
        <v>Chèques postaux</v>
      </c>
      <c r="D179" s="83"/>
      <c r="E179" s="83"/>
      <c r="F179" s="78">
        <f t="shared" si="4"/>
        <v>0</v>
      </c>
      <c r="G179" s="78">
        <f t="shared" si="5"/>
        <v>0</v>
      </c>
    </row>
    <row r="180" spans="2:7" x14ac:dyDescent="0.35">
      <c r="B180">
        <f>'Plan Comptable'!B180</f>
        <v>5320</v>
      </c>
      <c r="C180" t="str">
        <f>'Plan Comptable'!C180</f>
        <v>Trésor public</v>
      </c>
      <c r="D180" s="83"/>
      <c r="E180" s="83"/>
      <c r="F180" s="78">
        <f t="shared" si="4"/>
        <v>0</v>
      </c>
      <c r="G180" s="78">
        <f t="shared" si="5"/>
        <v>0</v>
      </c>
    </row>
    <row r="181" spans="2:7" x14ac:dyDescent="0.35">
      <c r="B181">
        <f>'Plan Comptable'!B181</f>
        <v>5410</v>
      </c>
      <c r="C181" t="str">
        <f>'Plan Comptable'!C181</f>
        <v>Effets à l'encaissement</v>
      </c>
      <c r="D181" s="83"/>
      <c r="E181" s="83"/>
      <c r="F181" s="78">
        <f t="shared" si="4"/>
        <v>0</v>
      </c>
      <c r="G181" s="78">
        <f t="shared" si="5"/>
        <v>0</v>
      </c>
    </row>
    <row r="182" spans="2:7" x14ac:dyDescent="0.35">
      <c r="B182">
        <f>'Plan Comptable'!B182</f>
        <v>5420</v>
      </c>
      <c r="C182" t="str">
        <f>'Plan Comptable'!C182</f>
        <v>Effets à l'escompte</v>
      </c>
      <c r="D182" s="83"/>
      <c r="E182" s="83"/>
      <c r="F182" s="78">
        <f t="shared" si="4"/>
        <v>0</v>
      </c>
      <c r="G182" s="78">
        <f t="shared" si="5"/>
        <v>0</v>
      </c>
    </row>
    <row r="183" spans="2:7" x14ac:dyDescent="0.35">
      <c r="B183">
        <f>'Plan Comptable'!B183</f>
        <v>5510</v>
      </c>
      <c r="C183" t="str">
        <f>'Plan Comptable'!C183</f>
        <v>Titres à court terme</v>
      </c>
      <c r="D183" s="83"/>
      <c r="E183" s="83"/>
      <c r="F183" s="78">
        <f t="shared" si="4"/>
        <v>0</v>
      </c>
      <c r="G183" s="78">
        <f t="shared" si="5"/>
        <v>0</v>
      </c>
    </row>
    <row r="184" spans="2:7" x14ac:dyDescent="0.35">
      <c r="B184">
        <f>'Plan Comptable'!B184</f>
        <v>5610</v>
      </c>
      <c r="C184" t="str">
        <f>'Plan Comptable'!C184</f>
        <v>Caisse centrale</v>
      </c>
      <c r="D184" s="83"/>
      <c r="E184" s="83"/>
      <c r="F184" s="78">
        <f t="shared" si="4"/>
        <v>0</v>
      </c>
      <c r="G184" s="78">
        <f t="shared" si="5"/>
        <v>0</v>
      </c>
    </row>
    <row r="185" spans="2:7" x14ac:dyDescent="0.35">
      <c r="B185">
        <f>'Plan Comptable'!B185</f>
        <v>5620</v>
      </c>
      <c r="C185" t="str">
        <f>'Plan Comptable'!C185</f>
        <v>Caisse annexe</v>
      </c>
      <c r="D185" s="83"/>
      <c r="E185" s="83"/>
      <c r="F185" s="78">
        <f t="shared" si="4"/>
        <v>0</v>
      </c>
      <c r="G185" s="78">
        <f t="shared" si="5"/>
        <v>0</v>
      </c>
    </row>
    <row r="186" spans="2:7" x14ac:dyDescent="0.35">
      <c r="B186">
        <f>'Plan Comptable'!B186</f>
        <v>5710</v>
      </c>
      <c r="C186" t="str">
        <f>'Plan Comptable'!C186</f>
        <v>Régies d'avances</v>
      </c>
      <c r="D186" s="83"/>
      <c r="E186" s="83"/>
      <c r="F186" s="78">
        <f t="shared" si="4"/>
        <v>0</v>
      </c>
      <c r="G186" s="78">
        <f t="shared" si="5"/>
        <v>0</v>
      </c>
    </row>
    <row r="187" spans="2:7" x14ac:dyDescent="0.35">
      <c r="B187">
        <f>'Plan Comptable'!B187</f>
        <v>5720</v>
      </c>
      <c r="C187" t="str">
        <f>'Plan Comptable'!C187</f>
        <v>Accréditifs</v>
      </c>
      <c r="D187" s="83"/>
      <c r="E187" s="83"/>
      <c r="F187" s="78">
        <f t="shared" si="4"/>
        <v>0</v>
      </c>
      <c r="G187" s="78">
        <f t="shared" si="5"/>
        <v>0</v>
      </c>
    </row>
    <row r="188" spans="2:7" x14ac:dyDescent="0.35">
      <c r="B188">
        <f>'Plan Comptable'!B188</f>
        <v>5810</v>
      </c>
      <c r="C188" t="str">
        <f>'Plan Comptable'!C188</f>
        <v>Virements de fonds</v>
      </c>
      <c r="D188" s="83"/>
      <c r="E188" s="83"/>
      <c r="F188" s="78">
        <f t="shared" si="4"/>
        <v>0</v>
      </c>
      <c r="G188" s="78">
        <f t="shared" si="5"/>
        <v>0</v>
      </c>
    </row>
    <row r="189" spans="2:7" x14ac:dyDescent="0.35">
      <c r="B189">
        <f>'Plan Comptable'!B189</f>
        <v>5910</v>
      </c>
      <c r="C189" t="str">
        <f>'Plan Comptable'!C189</f>
        <v>Concours bancaires courants</v>
      </c>
      <c r="D189" s="83"/>
      <c r="E189" s="83"/>
      <c r="F189" s="78">
        <f t="shared" si="4"/>
        <v>0</v>
      </c>
      <c r="G189" s="78">
        <f t="shared" si="5"/>
        <v>0</v>
      </c>
    </row>
    <row r="190" spans="2:7" x14ac:dyDescent="0.35">
      <c r="B190">
        <f>'Plan Comptable'!B190</f>
        <v>5920</v>
      </c>
      <c r="C190" t="str">
        <f>'Plan Comptable'!C190</f>
        <v>Crédits d'escompte</v>
      </c>
      <c r="D190" s="83"/>
      <c r="E190" s="83"/>
      <c r="F190" s="78">
        <f t="shared" si="4"/>
        <v>0</v>
      </c>
      <c r="G190" s="78">
        <f t="shared" si="5"/>
        <v>0</v>
      </c>
    </row>
    <row r="191" spans="2:7" x14ac:dyDescent="0.35">
      <c r="B191">
        <f>'Plan Comptable'!B191</f>
        <v>5930</v>
      </c>
      <c r="C191" t="str">
        <f>'Plan Comptable'!C191</f>
        <v>Crédits de trésorerie</v>
      </c>
      <c r="D191" s="83"/>
      <c r="E191" s="83"/>
      <c r="F191" s="78">
        <f t="shared" si="4"/>
        <v>0</v>
      </c>
      <c r="G191" s="78">
        <f t="shared" si="5"/>
        <v>0</v>
      </c>
    </row>
    <row r="192" spans="2:7" x14ac:dyDescent="0.35">
      <c r="B192">
        <f>'Plan Comptable'!B192</f>
        <v>5940</v>
      </c>
      <c r="C192" t="str">
        <f>'Plan Comptable'!C192</f>
        <v>Découverts bancaires</v>
      </c>
      <c r="D192" s="83"/>
      <c r="E192" s="83"/>
      <c r="F192" s="78">
        <f t="shared" si="4"/>
        <v>0</v>
      </c>
      <c r="G192" s="78">
        <f t="shared" si="5"/>
        <v>0</v>
      </c>
    </row>
    <row r="193" spans="2:7" x14ac:dyDescent="0.35">
      <c r="B193">
        <f>'Plan Comptable'!B193</f>
        <v>5950</v>
      </c>
      <c r="C193" t="str">
        <f>'Plan Comptable'!C193</f>
        <v>Crédits de campagne</v>
      </c>
      <c r="D193" s="83"/>
      <c r="E193" s="83"/>
      <c r="F193" s="78">
        <f t="shared" si="4"/>
        <v>0</v>
      </c>
      <c r="G193" s="78">
        <f t="shared" si="5"/>
        <v>0</v>
      </c>
    </row>
    <row r="194" spans="2:7" x14ac:dyDescent="0.35">
      <c r="B194">
        <f>'Plan Comptable'!B194</f>
        <v>5990</v>
      </c>
      <c r="C194" t="str">
        <f>'Plan Comptable'!C194</f>
        <v>Prov dépréciation titres CT</v>
      </c>
      <c r="D194" s="83"/>
      <c r="E194" s="83"/>
      <c r="F194" s="78">
        <f t="shared" si="4"/>
        <v>0</v>
      </c>
      <c r="G194" s="78">
        <f t="shared" si="5"/>
        <v>0</v>
      </c>
    </row>
    <row r="195" spans="2:7" x14ac:dyDescent="0.35">
      <c r="B195">
        <f>'Plan Comptable'!B195</f>
        <v>6010</v>
      </c>
      <c r="C195" t="str">
        <f>'Plan Comptable'!C195</f>
        <v>Achats de marchandises</v>
      </c>
      <c r="D195" s="83"/>
      <c r="E195" s="83"/>
      <c r="F195" s="78">
        <f t="shared" si="4"/>
        <v>0</v>
      </c>
      <c r="G195" s="78">
        <f t="shared" si="5"/>
        <v>0</v>
      </c>
    </row>
    <row r="196" spans="2:7" x14ac:dyDescent="0.35">
      <c r="B196">
        <f>'Plan Comptable'!B196</f>
        <v>6020</v>
      </c>
      <c r="C196" t="str">
        <f>'Plan Comptable'!C196</f>
        <v>Variation stocks marchandises</v>
      </c>
      <c r="D196" s="83"/>
      <c r="E196" s="83"/>
      <c r="F196" s="78">
        <f t="shared" si="4"/>
        <v>0</v>
      </c>
      <c r="G196" s="78">
        <f t="shared" si="5"/>
        <v>0</v>
      </c>
    </row>
    <row r="197" spans="2:7" x14ac:dyDescent="0.35">
      <c r="B197">
        <f>'Plan Comptable'!B197</f>
        <v>6030</v>
      </c>
      <c r="C197" t="str">
        <f>'Plan Comptable'!C197</f>
        <v>Variations stocks autres approvisionnements</v>
      </c>
      <c r="D197" s="83"/>
      <c r="E197" s="83"/>
      <c r="F197" s="78">
        <f t="shared" si="4"/>
        <v>0</v>
      </c>
      <c r="G197" s="78">
        <f t="shared" si="5"/>
        <v>0</v>
      </c>
    </row>
    <row r="198" spans="2:7" x14ac:dyDescent="0.35">
      <c r="B198">
        <f>'Plan Comptable'!B198</f>
        <v>6040</v>
      </c>
      <c r="C198" t="str">
        <f>'Plan Comptable'!C198</f>
        <v>Achats stockés matières premières</v>
      </c>
      <c r="D198" s="83"/>
      <c r="E198" s="83"/>
      <c r="F198" s="78">
        <f t="shared" ref="F198:F261" si="6">IF(D198-E198&gt;0,D198-E198,0)</f>
        <v>0</v>
      </c>
      <c r="G198" s="78">
        <f t="shared" ref="G198:G261" si="7">IF(E198-D198&gt;0,E198-D198,0)</f>
        <v>0</v>
      </c>
    </row>
    <row r="199" spans="2:7" x14ac:dyDescent="0.35">
      <c r="B199">
        <f>'Plan Comptable'!B199</f>
        <v>6050</v>
      </c>
      <c r="C199" t="str">
        <f>'Plan Comptable'!C199</f>
        <v>Autres achats</v>
      </c>
      <c r="D199" s="83"/>
      <c r="E199" s="83"/>
      <c r="F199" s="78">
        <f t="shared" si="6"/>
        <v>0</v>
      </c>
      <c r="G199" s="78">
        <f t="shared" si="7"/>
        <v>0</v>
      </c>
    </row>
    <row r="200" spans="2:7" x14ac:dyDescent="0.35">
      <c r="B200">
        <f>'Plan Comptable'!B200</f>
        <v>6080</v>
      </c>
      <c r="C200" t="str">
        <f>'Plan Comptable'!C200</f>
        <v>Achats d'emballages</v>
      </c>
      <c r="D200" s="83"/>
      <c r="E200" s="83"/>
      <c r="F200" s="78">
        <f t="shared" si="6"/>
        <v>0</v>
      </c>
      <c r="G200" s="78">
        <f t="shared" si="7"/>
        <v>0</v>
      </c>
    </row>
    <row r="201" spans="2:7" x14ac:dyDescent="0.35">
      <c r="B201">
        <f>'Plan Comptable'!B201</f>
        <v>6110</v>
      </c>
      <c r="C201" t="str">
        <f>'Plan Comptable'!C201</f>
        <v>Transports sur achats</v>
      </c>
      <c r="D201" s="83"/>
      <c r="E201" s="83"/>
      <c r="F201" s="78">
        <f t="shared" si="6"/>
        <v>0</v>
      </c>
      <c r="G201" s="78">
        <f t="shared" si="7"/>
        <v>0</v>
      </c>
    </row>
    <row r="202" spans="2:7" x14ac:dyDescent="0.35">
      <c r="B202">
        <f>'Plan Comptable'!B202</f>
        <v>6120</v>
      </c>
      <c r="C202" t="str">
        <f>'Plan Comptable'!C202</f>
        <v>Transports sur ventes</v>
      </c>
      <c r="D202" s="83"/>
      <c r="E202" s="83"/>
      <c r="F202" s="78">
        <f t="shared" si="6"/>
        <v>0</v>
      </c>
      <c r="G202" s="78">
        <f t="shared" si="7"/>
        <v>0</v>
      </c>
    </row>
    <row r="203" spans="2:7" x14ac:dyDescent="0.35">
      <c r="B203">
        <f>'Plan Comptable'!B203</f>
        <v>6130</v>
      </c>
      <c r="C203" t="str">
        <f>'Plan Comptable'!C203</f>
        <v>Transports pour le compte de tiers</v>
      </c>
      <c r="D203" s="83"/>
      <c r="E203" s="83"/>
      <c r="F203" s="78">
        <f t="shared" si="6"/>
        <v>0</v>
      </c>
      <c r="G203" s="78">
        <f t="shared" si="7"/>
        <v>0</v>
      </c>
    </row>
    <row r="204" spans="2:7" x14ac:dyDescent="0.35">
      <c r="B204">
        <f>'Plan Comptable'!B204</f>
        <v>6140</v>
      </c>
      <c r="C204" t="str">
        <f>'Plan Comptable'!C204</f>
        <v>Transports du personnel</v>
      </c>
      <c r="D204" s="83"/>
      <c r="E204" s="83"/>
      <c r="F204" s="78">
        <f t="shared" si="6"/>
        <v>0</v>
      </c>
      <c r="G204" s="78">
        <f t="shared" si="7"/>
        <v>0</v>
      </c>
    </row>
    <row r="205" spans="2:7" x14ac:dyDescent="0.35">
      <c r="B205">
        <f>'Plan Comptable'!B205</f>
        <v>6210</v>
      </c>
      <c r="C205" t="str">
        <f>'Plan Comptable'!C205</f>
        <v>Sous-traitance générale</v>
      </c>
      <c r="D205" s="83"/>
      <c r="E205" s="83"/>
      <c r="F205" s="78">
        <f t="shared" si="6"/>
        <v>0</v>
      </c>
      <c r="G205" s="78">
        <f t="shared" si="7"/>
        <v>0</v>
      </c>
    </row>
    <row r="206" spans="2:7" x14ac:dyDescent="0.35">
      <c r="B206">
        <f>'Plan Comptable'!B206</f>
        <v>6220</v>
      </c>
      <c r="C206" t="str">
        <f>'Plan Comptable'!C206</f>
        <v>Locations et charges locatives</v>
      </c>
      <c r="D206" s="83"/>
      <c r="E206" s="83"/>
      <c r="F206" s="78">
        <f t="shared" si="6"/>
        <v>0</v>
      </c>
      <c r="G206" s="78">
        <f t="shared" si="7"/>
        <v>0</v>
      </c>
    </row>
    <row r="207" spans="2:7" x14ac:dyDescent="0.35">
      <c r="B207">
        <f>'Plan Comptable'!B207</f>
        <v>6230</v>
      </c>
      <c r="C207" t="str">
        <f>'Plan Comptable'!C207</f>
        <v>Redevances de crédit-bail</v>
      </c>
      <c r="D207" s="83"/>
      <c r="E207" s="83"/>
      <c r="F207" s="78">
        <f t="shared" si="6"/>
        <v>0</v>
      </c>
      <c r="G207" s="78">
        <f t="shared" si="7"/>
        <v>0</v>
      </c>
    </row>
    <row r="208" spans="2:7" x14ac:dyDescent="0.35">
      <c r="B208">
        <f>'Plan Comptable'!B208</f>
        <v>6240</v>
      </c>
      <c r="C208" t="str">
        <f>'Plan Comptable'!C208</f>
        <v>Entretien réparations maintenance</v>
      </c>
      <c r="D208" s="83"/>
      <c r="E208" s="83"/>
      <c r="F208" s="78">
        <f t="shared" si="6"/>
        <v>0</v>
      </c>
      <c r="G208" s="78">
        <f t="shared" si="7"/>
        <v>0</v>
      </c>
    </row>
    <row r="209" spans="2:7" x14ac:dyDescent="0.35">
      <c r="B209">
        <f>'Plan Comptable'!B209</f>
        <v>6250</v>
      </c>
      <c r="C209" t="str">
        <f>'Plan Comptable'!C209</f>
        <v>Primes d'assurance</v>
      </c>
      <c r="D209" s="83"/>
      <c r="E209" s="83"/>
      <c r="F209" s="78">
        <f t="shared" si="6"/>
        <v>0</v>
      </c>
      <c r="G209" s="78">
        <f t="shared" si="7"/>
        <v>0</v>
      </c>
    </row>
    <row r="210" spans="2:7" x14ac:dyDescent="0.35">
      <c r="B210">
        <f>'Plan Comptable'!B210</f>
        <v>6260</v>
      </c>
      <c r="C210" t="str">
        <f>'Plan Comptable'!C210</f>
        <v>Études recherches</v>
      </c>
      <c r="D210" s="83"/>
      <c r="E210" s="83"/>
      <c r="F210" s="78">
        <f t="shared" si="6"/>
        <v>0</v>
      </c>
      <c r="G210" s="78">
        <f t="shared" si="7"/>
        <v>0</v>
      </c>
    </row>
    <row r="211" spans="2:7" x14ac:dyDescent="0.35">
      <c r="B211">
        <f>'Plan Comptable'!B211</f>
        <v>6270</v>
      </c>
      <c r="C211" t="str">
        <f>'Plan Comptable'!C211</f>
        <v>Publicité publications relations publiques</v>
      </c>
      <c r="D211" s="83"/>
      <c r="E211" s="83"/>
      <c r="F211" s="78">
        <f t="shared" si="6"/>
        <v>0</v>
      </c>
      <c r="G211" s="78">
        <f t="shared" si="7"/>
        <v>0</v>
      </c>
    </row>
    <row r="212" spans="2:7" x14ac:dyDescent="0.35">
      <c r="B212">
        <f>'Plan Comptable'!B212</f>
        <v>6280</v>
      </c>
      <c r="C212" t="str">
        <f>'Plan Comptable'!C212</f>
        <v>Frais de télécommunications</v>
      </c>
      <c r="D212" s="83"/>
      <c r="E212" s="83"/>
      <c r="F212" s="78">
        <f t="shared" si="6"/>
        <v>0</v>
      </c>
      <c r="G212" s="78">
        <f t="shared" si="7"/>
        <v>0</v>
      </c>
    </row>
    <row r="213" spans="2:7" x14ac:dyDescent="0.35">
      <c r="B213">
        <f>'Plan Comptable'!B213</f>
        <v>6310</v>
      </c>
      <c r="C213" t="str">
        <f>'Plan Comptable'!C213</f>
        <v>Frais bancaires</v>
      </c>
      <c r="D213" s="83"/>
      <c r="E213" s="83"/>
      <c r="F213" s="78">
        <f t="shared" si="6"/>
        <v>0</v>
      </c>
      <c r="G213" s="78">
        <f t="shared" si="7"/>
        <v>0</v>
      </c>
    </row>
    <row r="214" spans="2:7" x14ac:dyDescent="0.35">
      <c r="B214">
        <f>'Plan Comptable'!B214</f>
        <v>6320</v>
      </c>
      <c r="C214" t="str">
        <f>'Plan Comptable'!C214</f>
        <v>Rémunérations intermédiaires conseils</v>
      </c>
      <c r="D214" s="83"/>
      <c r="E214" s="83"/>
      <c r="F214" s="78">
        <f t="shared" si="6"/>
        <v>0</v>
      </c>
      <c r="G214" s="78">
        <f t="shared" si="7"/>
        <v>0</v>
      </c>
    </row>
    <row r="215" spans="2:7" x14ac:dyDescent="0.35">
      <c r="B215">
        <f>'Plan Comptable'!B215</f>
        <v>6330</v>
      </c>
      <c r="C215" t="str">
        <f>'Plan Comptable'!C215</f>
        <v>Frais de formation du personnel</v>
      </c>
      <c r="D215" s="83"/>
      <c r="E215" s="83"/>
      <c r="F215" s="78">
        <f t="shared" si="6"/>
        <v>0</v>
      </c>
      <c r="G215" s="78">
        <f t="shared" si="7"/>
        <v>0</v>
      </c>
    </row>
    <row r="216" spans="2:7" x14ac:dyDescent="0.35">
      <c r="B216">
        <f>'Plan Comptable'!B216</f>
        <v>6340</v>
      </c>
      <c r="C216" t="str">
        <f>'Plan Comptable'!C216</f>
        <v>Redevances brevets licences</v>
      </c>
      <c r="D216" s="83"/>
      <c r="E216" s="83"/>
      <c r="F216" s="78">
        <f t="shared" si="6"/>
        <v>0</v>
      </c>
      <c r="G216" s="78">
        <f t="shared" si="7"/>
        <v>0</v>
      </c>
    </row>
    <row r="217" spans="2:7" x14ac:dyDescent="0.35">
      <c r="B217">
        <f>'Plan Comptable'!B217</f>
        <v>6350</v>
      </c>
      <c r="C217" t="str">
        <f>'Plan Comptable'!C217</f>
        <v>Cotisations</v>
      </c>
      <c r="D217" s="83"/>
      <c r="E217" s="83"/>
      <c r="F217" s="78">
        <f t="shared" si="6"/>
        <v>0</v>
      </c>
      <c r="G217" s="78">
        <f t="shared" si="7"/>
        <v>0</v>
      </c>
    </row>
    <row r="218" spans="2:7" x14ac:dyDescent="0.35">
      <c r="B218">
        <f>'Plan Comptable'!B218</f>
        <v>6380</v>
      </c>
      <c r="C218" t="str">
        <f>'Plan Comptable'!C218</f>
        <v>Autres charges externes</v>
      </c>
      <c r="D218" s="83"/>
      <c r="E218" s="83"/>
      <c r="F218" s="78">
        <f t="shared" si="6"/>
        <v>0</v>
      </c>
      <c r="G218" s="78">
        <f t="shared" si="7"/>
        <v>0</v>
      </c>
    </row>
    <row r="219" spans="2:7" x14ac:dyDescent="0.35">
      <c r="B219">
        <f>'Plan Comptable'!B219</f>
        <v>6410</v>
      </c>
      <c r="C219" t="str">
        <f>'Plan Comptable'!C219</f>
        <v>Impôts taxes et versements assimilés</v>
      </c>
      <c r="D219" s="83"/>
      <c r="E219" s="83"/>
      <c r="F219" s="78">
        <f t="shared" si="6"/>
        <v>0</v>
      </c>
      <c r="G219" s="78">
        <f t="shared" si="7"/>
        <v>0</v>
      </c>
    </row>
    <row r="220" spans="2:7" x14ac:dyDescent="0.35">
      <c r="B220">
        <f>'Plan Comptable'!B220</f>
        <v>6460</v>
      </c>
      <c r="C220" t="str">
        <f>'Plan Comptable'!C220</f>
        <v>Droits d'enregistrement</v>
      </c>
      <c r="D220" s="83"/>
      <c r="E220" s="83"/>
      <c r="F220" s="78">
        <f t="shared" si="6"/>
        <v>0</v>
      </c>
      <c r="G220" s="78">
        <f t="shared" si="7"/>
        <v>0</v>
      </c>
    </row>
    <row r="221" spans="2:7" x14ac:dyDescent="0.35">
      <c r="B221">
        <f>'Plan Comptable'!B221</f>
        <v>6470</v>
      </c>
      <c r="C221" t="str">
        <f>'Plan Comptable'!C221</f>
        <v>Droits de douane</v>
      </c>
      <c r="D221" s="83"/>
      <c r="E221" s="83"/>
      <c r="F221" s="78">
        <f t="shared" si="6"/>
        <v>0</v>
      </c>
      <c r="G221" s="78">
        <f t="shared" si="7"/>
        <v>0</v>
      </c>
    </row>
    <row r="222" spans="2:7" x14ac:dyDescent="0.35">
      <c r="B222">
        <f>'Plan Comptable'!B222</f>
        <v>6480</v>
      </c>
      <c r="C222" t="str">
        <f>'Plan Comptable'!C222</f>
        <v>Autres impôts taxes et versements</v>
      </c>
      <c r="D222" s="83"/>
      <c r="E222" s="83"/>
      <c r="F222" s="78">
        <f t="shared" si="6"/>
        <v>0</v>
      </c>
      <c r="G222" s="78">
        <f t="shared" si="7"/>
        <v>0</v>
      </c>
    </row>
    <row r="223" spans="2:7" x14ac:dyDescent="0.35">
      <c r="B223">
        <f>'Plan Comptable'!B223</f>
        <v>6510</v>
      </c>
      <c r="C223" t="str">
        <f>'Plan Comptable'!C223</f>
        <v>Personnel temporaire</v>
      </c>
      <c r="D223" s="83"/>
      <c r="E223" s="83"/>
      <c r="F223" s="78">
        <f t="shared" si="6"/>
        <v>0</v>
      </c>
      <c r="G223" s="78">
        <f t="shared" si="7"/>
        <v>0</v>
      </c>
    </row>
    <row r="224" spans="2:7" x14ac:dyDescent="0.35">
      <c r="B224">
        <f>'Plan Comptable'!B224</f>
        <v>6520</v>
      </c>
      <c r="C224" t="str">
        <f>'Plan Comptable'!C224</f>
        <v>Personnel détaché facturé</v>
      </c>
      <c r="D224" s="83"/>
      <c r="E224" s="83"/>
      <c r="F224" s="78">
        <f t="shared" si="6"/>
        <v>0</v>
      </c>
      <c r="G224" s="78">
        <f t="shared" si="7"/>
        <v>0</v>
      </c>
    </row>
    <row r="225" spans="2:7" x14ac:dyDescent="0.35">
      <c r="B225">
        <f>'Plan Comptable'!B225</f>
        <v>6610</v>
      </c>
      <c r="C225" t="str">
        <f>'Plan Comptable'!C225</f>
        <v>Rémunérations directes du personnel national</v>
      </c>
      <c r="D225" s="83"/>
      <c r="E225" s="83"/>
      <c r="F225" s="78">
        <f t="shared" si="6"/>
        <v>0</v>
      </c>
      <c r="G225" s="78">
        <f t="shared" si="7"/>
        <v>0</v>
      </c>
    </row>
    <row r="226" spans="2:7" x14ac:dyDescent="0.35">
      <c r="B226">
        <f>'Plan Comptable'!B226</f>
        <v>6620</v>
      </c>
      <c r="C226" t="str">
        <f>'Plan Comptable'!C226</f>
        <v>Rémunérations directes du personnel non national</v>
      </c>
      <c r="D226" s="83"/>
      <c r="E226" s="83"/>
      <c r="F226" s="78">
        <f t="shared" si="6"/>
        <v>0</v>
      </c>
      <c r="G226" s="78">
        <f t="shared" si="7"/>
        <v>0</v>
      </c>
    </row>
    <row r="227" spans="2:7" x14ac:dyDescent="0.35">
      <c r="B227">
        <f>'Plan Comptable'!B227</f>
        <v>6630</v>
      </c>
      <c r="C227" t="str">
        <f>'Plan Comptable'!C227</f>
        <v>Indemnités forfaitaires versées au personnel</v>
      </c>
      <c r="D227" s="83"/>
      <c r="E227" s="83"/>
      <c r="F227" s="78">
        <f t="shared" si="6"/>
        <v>0</v>
      </c>
      <c r="G227" s="78">
        <f t="shared" si="7"/>
        <v>0</v>
      </c>
    </row>
    <row r="228" spans="2:7" x14ac:dyDescent="0.35">
      <c r="B228">
        <f>'Plan Comptable'!B228</f>
        <v>6640</v>
      </c>
      <c r="C228" t="str">
        <f>'Plan Comptable'!C228</f>
        <v>Commissions au personnel</v>
      </c>
      <c r="D228" s="83"/>
      <c r="E228" s="83"/>
      <c r="F228" s="78">
        <f t="shared" si="6"/>
        <v>0</v>
      </c>
      <c r="G228" s="78">
        <f t="shared" si="7"/>
        <v>0</v>
      </c>
    </row>
    <row r="229" spans="2:7" x14ac:dyDescent="0.35">
      <c r="B229">
        <f>'Plan Comptable'!B229</f>
        <v>6650</v>
      </c>
      <c r="C229" t="str">
        <f>'Plan Comptable'!C229</f>
        <v>Rémunérations des administrateurs</v>
      </c>
      <c r="D229" s="83"/>
      <c r="E229" s="83"/>
      <c r="F229" s="78">
        <f t="shared" si="6"/>
        <v>0</v>
      </c>
      <c r="G229" s="78">
        <f t="shared" si="7"/>
        <v>0</v>
      </c>
    </row>
    <row r="230" spans="2:7" x14ac:dyDescent="0.35">
      <c r="B230">
        <f>'Plan Comptable'!B230</f>
        <v>6660</v>
      </c>
      <c r="C230" t="str">
        <f>'Plan Comptable'!C230</f>
        <v>Rémunérations et charges sociales de l'exploitant</v>
      </c>
      <c r="D230" s="83"/>
      <c r="E230" s="83"/>
      <c r="F230" s="78">
        <f t="shared" si="6"/>
        <v>0</v>
      </c>
      <c r="G230" s="78">
        <f t="shared" si="7"/>
        <v>0</v>
      </c>
    </row>
    <row r="231" spans="2:7" x14ac:dyDescent="0.35">
      <c r="B231">
        <f>'Plan Comptable'!B231</f>
        <v>6710</v>
      </c>
      <c r="C231" t="str">
        <f>'Plan Comptable'!C231</f>
        <v>Charges sociales</v>
      </c>
      <c r="D231" s="83"/>
      <c r="E231" s="83"/>
      <c r="F231" s="78">
        <f t="shared" si="6"/>
        <v>0</v>
      </c>
      <c r="G231" s="78">
        <f t="shared" si="7"/>
        <v>0</v>
      </c>
    </row>
    <row r="232" spans="2:7" x14ac:dyDescent="0.35">
      <c r="B232">
        <f>'Plan Comptable'!B232</f>
        <v>6810</v>
      </c>
      <c r="C232" t="str">
        <f>'Plan Comptable'!C232</f>
        <v>Dotations aux amortissements</v>
      </c>
      <c r="D232" s="83"/>
      <c r="E232" s="83"/>
      <c r="F232" s="78">
        <f t="shared" si="6"/>
        <v>0</v>
      </c>
      <c r="G232" s="78">
        <f t="shared" si="7"/>
        <v>0</v>
      </c>
    </row>
    <row r="233" spans="2:7" x14ac:dyDescent="0.35">
      <c r="B233">
        <f>'Plan Comptable'!B233</f>
        <v>6811</v>
      </c>
      <c r="C233" t="str">
        <f>'Plan Comptable'!C233</f>
        <v>DAP charges immobilisées</v>
      </c>
      <c r="D233" s="83"/>
      <c r="E233" s="83"/>
      <c r="F233" s="78">
        <f t="shared" si="6"/>
        <v>0</v>
      </c>
      <c r="G233" s="78">
        <f t="shared" si="7"/>
        <v>0</v>
      </c>
    </row>
    <row r="234" spans="2:7" x14ac:dyDescent="0.35">
      <c r="B234">
        <f>'Plan Comptable'!B234</f>
        <v>6812</v>
      </c>
      <c r="C234" t="str">
        <f>'Plan Comptable'!C234</f>
        <v>DAP immo incorporelles</v>
      </c>
      <c r="D234" s="83"/>
      <c r="E234" s="83"/>
      <c r="F234" s="78">
        <f t="shared" si="6"/>
        <v>0</v>
      </c>
      <c r="G234" s="78">
        <f t="shared" si="7"/>
        <v>0</v>
      </c>
    </row>
    <row r="235" spans="2:7" x14ac:dyDescent="0.35">
      <c r="B235">
        <f>'Plan Comptable'!B235</f>
        <v>6813</v>
      </c>
      <c r="C235" t="str">
        <f>'Plan Comptable'!C235</f>
        <v>DAP immo corporelles</v>
      </c>
      <c r="D235" s="83"/>
      <c r="E235" s="83"/>
      <c r="F235" s="78">
        <f t="shared" si="6"/>
        <v>0</v>
      </c>
      <c r="G235" s="78">
        <f t="shared" si="7"/>
        <v>0</v>
      </c>
    </row>
    <row r="236" spans="2:7" x14ac:dyDescent="0.35">
      <c r="B236">
        <f>'Plan Comptable'!B236</f>
        <v>6910</v>
      </c>
      <c r="C236" t="str">
        <f>'Plan Comptable'!C236</f>
        <v>DAP risques financiers</v>
      </c>
      <c r="D236" s="83"/>
      <c r="E236" s="83"/>
      <c r="F236" s="78">
        <f t="shared" si="6"/>
        <v>0</v>
      </c>
      <c r="G236" s="78">
        <f t="shared" si="7"/>
        <v>0</v>
      </c>
    </row>
    <row r="237" spans="2:7" x14ac:dyDescent="0.35">
      <c r="B237">
        <f>'Plan Comptable'!B237</f>
        <v>6920</v>
      </c>
      <c r="C237" t="str">
        <f>'Plan Comptable'!C237</f>
        <v>DAP dépréciations financières</v>
      </c>
      <c r="D237" s="83"/>
      <c r="E237" s="83"/>
      <c r="F237" s="78">
        <f t="shared" si="6"/>
        <v>0</v>
      </c>
      <c r="G237" s="78">
        <f t="shared" si="7"/>
        <v>0</v>
      </c>
    </row>
    <row r="238" spans="2:7" x14ac:dyDescent="0.35">
      <c r="B238">
        <f>'Plan Comptable'!B238</f>
        <v>6710</v>
      </c>
      <c r="C238" t="str">
        <f>'Plan Comptable'!C238</f>
        <v>Intérêts emprunts obligations</v>
      </c>
      <c r="D238" s="83"/>
      <c r="E238" s="83"/>
      <c r="F238" s="78">
        <f t="shared" si="6"/>
        <v>0</v>
      </c>
      <c r="G238" s="78">
        <f t="shared" si="7"/>
        <v>0</v>
      </c>
    </row>
    <row r="239" spans="2:7" x14ac:dyDescent="0.35">
      <c r="B239">
        <f>'Plan Comptable'!B239</f>
        <v>6720</v>
      </c>
      <c r="C239" t="str">
        <f>'Plan Comptable'!C239</f>
        <v>Intérêts emprunts et dettes</v>
      </c>
      <c r="D239" s="83"/>
      <c r="E239" s="83"/>
      <c r="F239" s="78">
        <f t="shared" si="6"/>
        <v>0</v>
      </c>
      <c r="G239" s="78">
        <f t="shared" si="7"/>
        <v>0</v>
      </c>
    </row>
    <row r="240" spans="2:7" x14ac:dyDescent="0.35">
      <c r="B240">
        <f>'Plan Comptable'!B240</f>
        <v>6730</v>
      </c>
      <c r="C240" t="str">
        <f>'Plan Comptable'!C240</f>
        <v>Intérêts bancaires</v>
      </c>
      <c r="D240" s="83"/>
      <c r="E240" s="83"/>
      <c r="F240" s="78">
        <f t="shared" si="6"/>
        <v>0</v>
      </c>
      <c r="G240" s="78">
        <f t="shared" si="7"/>
        <v>0</v>
      </c>
    </row>
    <row r="241" spans="2:7" x14ac:dyDescent="0.35">
      <c r="B241">
        <f>'Plan Comptable'!B241</f>
        <v>6740</v>
      </c>
      <c r="C241" t="str">
        <f>'Plan Comptable'!C241</f>
        <v>Intérêts groupe et associés</v>
      </c>
      <c r="D241" s="83"/>
      <c r="E241" s="83"/>
      <c r="F241" s="78">
        <f t="shared" si="6"/>
        <v>0</v>
      </c>
      <c r="G241" s="78">
        <f t="shared" si="7"/>
        <v>0</v>
      </c>
    </row>
    <row r="242" spans="2:7" x14ac:dyDescent="0.35">
      <c r="B242">
        <f>'Plan Comptable'!B242</f>
        <v>6750</v>
      </c>
      <c r="C242" t="str">
        <f>'Plan Comptable'!C242</f>
        <v>Escomptes accordés</v>
      </c>
      <c r="D242" s="83"/>
      <c r="E242" s="83"/>
      <c r="F242" s="78">
        <f t="shared" si="6"/>
        <v>0</v>
      </c>
      <c r="G242" s="78">
        <f t="shared" si="7"/>
        <v>0</v>
      </c>
    </row>
    <row r="243" spans="2:7" x14ac:dyDescent="0.35">
      <c r="B243">
        <f>'Plan Comptable'!B243</f>
        <v>6760</v>
      </c>
      <c r="C243" t="str">
        <f>'Plan Comptable'!C243</f>
        <v>Pertes de change</v>
      </c>
      <c r="D243" s="83"/>
      <c r="E243" s="83"/>
      <c r="F243" s="78">
        <f t="shared" si="6"/>
        <v>0</v>
      </c>
      <c r="G243" s="78">
        <f t="shared" si="7"/>
        <v>0</v>
      </c>
    </row>
    <row r="244" spans="2:7" x14ac:dyDescent="0.35">
      <c r="B244">
        <f>'Plan Comptable'!B244</f>
        <v>6770</v>
      </c>
      <c r="C244" t="str">
        <f>'Plan Comptable'!C244</f>
        <v>Pertes sur cessions titres placement</v>
      </c>
      <c r="D244" s="83"/>
      <c r="E244" s="83"/>
      <c r="F244" s="78">
        <f t="shared" si="6"/>
        <v>0</v>
      </c>
      <c r="G244" s="78">
        <f t="shared" si="7"/>
        <v>0</v>
      </c>
    </row>
    <row r="245" spans="2:7" x14ac:dyDescent="0.35">
      <c r="B245">
        <f>'Plan Comptable'!B245</f>
        <v>6780</v>
      </c>
      <c r="C245" t="str">
        <f>'Plan Comptable'!C245</f>
        <v>Charges financières diverses</v>
      </c>
      <c r="D245" s="83"/>
      <c r="E245" s="83"/>
      <c r="F245" s="78">
        <f t="shared" si="6"/>
        <v>0</v>
      </c>
      <c r="G245" s="78">
        <f t="shared" si="7"/>
        <v>0</v>
      </c>
    </row>
    <row r="246" spans="2:7" x14ac:dyDescent="0.35">
      <c r="B246">
        <f>'Plan Comptable'!B246</f>
        <v>8310</v>
      </c>
      <c r="C246" t="str">
        <f>'Plan Comptable'!C246</f>
        <v>Charges HAO</v>
      </c>
      <c r="D246" s="83"/>
      <c r="E246" s="83"/>
      <c r="F246" s="78">
        <f t="shared" si="6"/>
        <v>0</v>
      </c>
      <c r="G246" s="78">
        <f t="shared" si="7"/>
        <v>0</v>
      </c>
    </row>
    <row r="247" spans="2:7" x14ac:dyDescent="0.35">
      <c r="B247">
        <f>'Plan Comptable'!B247</f>
        <v>8510</v>
      </c>
      <c r="C247" t="str">
        <f>'Plan Comptable'!C247</f>
        <v>Dotations HAO</v>
      </c>
      <c r="D247" s="83"/>
      <c r="E247" s="83"/>
      <c r="F247" s="78">
        <f t="shared" si="6"/>
        <v>0</v>
      </c>
      <c r="G247" s="78">
        <f t="shared" si="7"/>
        <v>0</v>
      </c>
    </row>
    <row r="248" spans="2:7" x14ac:dyDescent="0.35">
      <c r="B248">
        <f>'Plan Comptable'!B248</f>
        <v>8910</v>
      </c>
      <c r="C248" t="str">
        <f>'Plan Comptable'!C248</f>
        <v>Impôts sur les bénéfices</v>
      </c>
      <c r="D248" s="83"/>
      <c r="E248" s="83"/>
      <c r="F248" s="78">
        <f t="shared" si="6"/>
        <v>0</v>
      </c>
      <c r="G248" s="78">
        <f t="shared" si="7"/>
        <v>0</v>
      </c>
    </row>
    <row r="249" spans="2:7" x14ac:dyDescent="0.35">
      <c r="B249">
        <f>'Plan Comptable'!B249</f>
        <v>7010</v>
      </c>
      <c r="C249" t="str">
        <f>'Plan Comptable'!C249</f>
        <v>Ventes de marchandises</v>
      </c>
      <c r="D249" s="83"/>
      <c r="E249" s="83"/>
      <c r="F249" s="78">
        <f t="shared" si="6"/>
        <v>0</v>
      </c>
      <c r="G249" s="78">
        <f t="shared" si="7"/>
        <v>0</v>
      </c>
    </row>
    <row r="250" spans="2:7" x14ac:dyDescent="0.35">
      <c r="B250">
        <f>'Plan Comptable'!B250</f>
        <v>7020</v>
      </c>
      <c r="C250" t="str">
        <f>'Plan Comptable'!C250</f>
        <v>Ventes de produits finis</v>
      </c>
      <c r="D250" s="83"/>
      <c r="E250" s="83"/>
      <c r="F250" s="78">
        <f t="shared" si="6"/>
        <v>0</v>
      </c>
      <c r="G250" s="78">
        <f t="shared" si="7"/>
        <v>0</v>
      </c>
    </row>
    <row r="251" spans="2:7" x14ac:dyDescent="0.35">
      <c r="B251">
        <f>'Plan Comptable'!B251</f>
        <v>7030</v>
      </c>
      <c r="C251" t="str">
        <f>'Plan Comptable'!C251</f>
        <v>Ventes de produits intermédiaires</v>
      </c>
      <c r="D251" s="83"/>
      <c r="E251" s="83"/>
      <c r="F251" s="78">
        <f t="shared" si="6"/>
        <v>0</v>
      </c>
      <c r="G251" s="78">
        <f t="shared" si="7"/>
        <v>0</v>
      </c>
    </row>
    <row r="252" spans="2:7" x14ac:dyDescent="0.35">
      <c r="B252">
        <f>'Plan Comptable'!B252</f>
        <v>7040</v>
      </c>
      <c r="C252" t="str">
        <f>'Plan Comptable'!C252</f>
        <v>Ventes de produits résiduels</v>
      </c>
      <c r="D252" s="83"/>
      <c r="E252" s="83"/>
      <c r="F252" s="78">
        <f t="shared" si="6"/>
        <v>0</v>
      </c>
      <c r="G252" s="78">
        <f t="shared" si="7"/>
        <v>0</v>
      </c>
    </row>
    <row r="253" spans="2:7" x14ac:dyDescent="0.35">
      <c r="B253">
        <f>'Plan Comptable'!B253</f>
        <v>7050</v>
      </c>
      <c r="C253" t="str">
        <f>'Plan Comptable'!C253</f>
        <v>Travaux facturés</v>
      </c>
      <c r="D253" s="83"/>
      <c r="E253" s="83"/>
      <c r="F253" s="78">
        <f t="shared" si="6"/>
        <v>0</v>
      </c>
      <c r="G253" s="78">
        <f t="shared" si="7"/>
        <v>0</v>
      </c>
    </row>
    <row r="254" spans="2:7" x14ac:dyDescent="0.35">
      <c r="B254">
        <f>'Plan Comptable'!B254</f>
        <v>7060</v>
      </c>
      <c r="C254" t="str">
        <f>'Plan Comptable'!C254</f>
        <v>Services vendus</v>
      </c>
      <c r="D254" s="83"/>
      <c r="E254" s="83"/>
      <c r="F254" s="78">
        <f t="shared" si="6"/>
        <v>0</v>
      </c>
      <c r="G254" s="78">
        <f t="shared" si="7"/>
        <v>0</v>
      </c>
    </row>
    <row r="255" spans="2:7" x14ac:dyDescent="0.35">
      <c r="B255">
        <f>'Plan Comptable'!B255</f>
        <v>7070</v>
      </c>
      <c r="C255" t="str">
        <f>'Plan Comptable'!C255</f>
        <v>Produits accessoires</v>
      </c>
      <c r="D255" s="83"/>
      <c r="E255" s="83"/>
      <c r="F255" s="78">
        <f t="shared" si="6"/>
        <v>0</v>
      </c>
      <c r="G255" s="78">
        <f t="shared" si="7"/>
        <v>0</v>
      </c>
    </row>
    <row r="256" spans="2:7" x14ac:dyDescent="0.35">
      <c r="B256">
        <f>'Plan Comptable'!B256</f>
        <v>7110</v>
      </c>
      <c r="C256" t="str">
        <f>'Plan Comptable'!C256</f>
        <v>Subventions d'exploitation</v>
      </c>
      <c r="D256" s="83"/>
      <c r="E256" s="83"/>
      <c r="F256" s="78">
        <f t="shared" si="6"/>
        <v>0</v>
      </c>
      <c r="G256" s="78">
        <f t="shared" si="7"/>
        <v>0</v>
      </c>
    </row>
    <row r="257" spans="2:7" x14ac:dyDescent="0.35">
      <c r="B257">
        <f>'Plan Comptable'!B257</f>
        <v>7120</v>
      </c>
      <c r="C257" t="str">
        <f>'Plan Comptable'!C257</f>
        <v>Autres produits</v>
      </c>
      <c r="D257" s="83"/>
      <c r="E257" s="83"/>
      <c r="F257" s="78">
        <f t="shared" si="6"/>
        <v>0</v>
      </c>
      <c r="G257" s="78">
        <f t="shared" si="7"/>
        <v>0</v>
      </c>
    </row>
    <row r="258" spans="2:7" x14ac:dyDescent="0.35">
      <c r="B258">
        <f>'Plan Comptable'!B258</f>
        <v>7130</v>
      </c>
      <c r="C258" t="str">
        <f>'Plan Comptable'!C258</f>
        <v>Variation stocks produits en cours</v>
      </c>
      <c r="D258" s="83"/>
      <c r="E258" s="83"/>
      <c r="F258" s="78">
        <f t="shared" si="6"/>
        <v>0</v>
      </c>
      <c r="G258" s="78">
        <f t="shared" si="7"/>
        <v>0</v>
      </c>
    </row>
    <row r="259" spans="2:7" x14ac:dyDescent="0.35">
      <c r="B259">
        <f>'Plan Comptable'!B259</f>
        <v>7140</v>
      </c>
      <c r="C259" t="str">
        <f>'Plan Comptable'!C259</f>
        <v>Variation stocks produits finis</v>
      </c>
      <c r="D259" s="83"/>
      <c r="E259" s="83"/>
      <c r="F259" s="78">
        <f t="shared" si="6"/>
        <v>0</v>
      </c>
      <c r="G259" s="78">
        <f t="shared" si="7"/>
        <v>0</v>
      </c>
    </row>
    <row r="260" spans="2:7" x14ac:dyDescent="0.35">
      <c r="B260">
        <f>'Plan Comptable'!B260</f>
        <v>7210</v>
      </c>
      <c r="C260" t="str">
        <f>'Plan Comptable'!C260</f>
        <v>Production immobilisée incorporelle</v>
      </c>
      <c r="D260" s="83"/>
      <c r="E260" s="83"/>
      <c r="F260" s="78">
        <f t="shared" si="6"/>
        <v>0</v>
      </c>
      <c r="G260" s="78">
        <f t="shared" si="7"/>
        <v>0</v>
      </c>
    </row>
    <row r="261" spans="2:7" x14ac:dyDescent="0.35">
      <c r="B261">
        <f>'Plan Comptable'!B261</f>
        <v>7220</v>
      </c>
      <c r="C261" t="str">
        <f>'Plan Comptable'!C261</f>
        <v>Production immobilisée corporelle</v>
      </c>
      <c r="D261" s="83"/>
      <c r="E261" s="83"/>
      <c r="F261" s="78">
        <f t="shared" si="6"/>
        <v>0</v>
      </c>
      <c r="G261" s="78">
        <f t="shared" si="7"/>
        <v>0</v>
      </c>
    </row>
    <row r="262" spans="2:7" x14ac:dyDescent="0.35">
      <c r="B262">
        <f>'Plan Comptable'!B262</f>
        <v>7310</v>
      </c>
      <c r="C262" t="str">
        <f>'Plan Comptable'!C262</f>
        <v>Reprises provisions exploitation</v>
      </c>
      <c r="D262" s="83"/>
      <c r="E262" s="83"/>
      <c r="F262" s="78">
        <f t="shared" ref="F262:F304" si="8">IF(D262-E262&gt;0,D262-E262,0)</f>
        <v>0</v>
      </c>
      <c r="G262" s="78">
        <f t="shared" ref="G262:G304" si="9">IF(E262-D262&gt;0,E262-D262,0)</f>
        <v>0</v>
      </c>
    </row>
    <row r="263" spans="2:7" x14ac:dyDescent="0.35">
      <c r="B263">
        <f>'Plan Comptable'!B263</f>
        <v>7320</v>
      </c>
      <c r="C263" t="str">
        <f>'Plan Comptable'!C263</f>
        <v>Reprises dépréciations exploitation</v>
      </c>
      <c r="D263" s="83"/>
      <c r="E263" s="83"/>
      <c r="F263" s="78">
        <f t="shared" si="8"/>
        <v>0</v>
      </c>
      <c r="G263" s="78">
        <f t="shared" si="9"/>
        <v>0</v>
      </c>
    </row>
    <row r="264" spans="2:7" x14ac:dyDescent="0.35">
      <c r="B264">
        <f>'Plan Comptable'!B264</f>
        <v>7410</v>
      </c>
      <c r="C264" t="str">
        <f>'Plan Comptable'!C264</f>
        <v>Transferts charges exploitation</v>
      </c>
      <c r="D264" s="83"/>
      <c r="E264" s="83"/>
      <c r="F264" s="78">
        <f t="shared" si="8"/>
        <v>0</v>
      </c>
      <c r="G264" s="78">
        <f t="shared" si="9"/>
        <v>0</v>
      </c>
    </row>
    <row r="265" spans="2:7" x14ac:dyDescent="0.35">
      <c r="B265">
        <f>'Plan Comptable'!B265</f>
        <v>7510</v>
      </c>
      <c r="C265" t="str">
        <f>'Plan Comptable'!C265</f>
        <v>Revenus titres participation</v>
      </c>
      <c r="D265" s="83"/>
      <c r="E265" s="83"/>
      <c r="F265" s="78">
        <f t="shared" si="8"/>
        <v>0</v>
      </c>
      <c r="G265" s="78">
        <f t="shared" si="9"/>
        <v>0</v>
      </c>
    </row>
    <row r="266" spans="2:7" x14ac:dyDescent="0.35">
      <c r="B266">
        <f>'Plan Comptable'!B266</f>
        <v>7520</v>
      </c>
      <c r="C266" t="str">
        <f>'Plan Comptable'!C266</f>
        <v>Revenus autres immob financières</v>
      </c>
      <c r="D266" s="83"/>
      <c r="E266" s="83"/>
      <c r="F266" s="78">
        <f t="shared" si="8"/>
        <v>0</v>
      </c>
      <c r="G266" s="78">
        <f t="shared" si="9"/>
        <v>0</v>
      </c>
    </row>
    <row r="267" spans="2:7" x14ac:dyDescent="0.35">
      <c r="B267">
        <f>'Plan Comptable'!B267</f>
        <v>7530</v>
      </c>
      <c r="C267" t="str">
        <f>'Plan Comptable'!C267</f>
        <v>Intérêts créances diverses</v>
      </c>
      <c r="D267" s="83"/>
      <c r="E267" s="83"/>
      <c r="F267" s="78">
        <f t="shared" si="8"/>
        <v>0</v>
      </c>
      <c r="G267" s="78">
        <f t="shared" si="9"/>
        <v>0</v>
      </c>
    </row>
    <row r="268" spans="2:7" x14ac:dyDescent="0.35">
      <c r="B268">
        <f>'Plan Comptable'!B268</f>
        <v>7540</v>
      </c>
      <c r="C268" t="str">
        <f>'Plan Comptable'!C268</f>
        <v>Revenus titres placement</v>
      </c>
      <c r="D268" s="83"/>
      <c r="E268" s="83"/>
      <c r="F268" s="78">
        <f t="shared" si="8"/>
        <v>0</v>
      </c>
      <c r="G268" s="78">
        <f t="shared" si="9"/>
        <v>0</v>
      </c>
    </row>
    <row r="269" spans="2:7" x14ac:dyDescent="0.35">
      <c r="B269">
        <f>'Plan Comptable'!B269</f>
        <v>7550</v>
      </c>
      <c r="C269" t="str">
        <f>'Plan Comptable'!C269</f>
        <v>Escomptes obtenus</v>
      </c>
      <c r="D269" s="83"/>
      <c r="E269" s="83"/>
      <c r="F269" s="78">
        <f t="shared" si="8"/>
        <v>0</v>
      </c>
      <c r="G269" s="78">
        <f t="shared" si="9"/>
        <v>0</v>
      </c>
    </row>
    <row r="270" spans="2:7" x14ac:dyDescent="0.35">
      <c r="B270">
        <f>'Plan Comptable'!B270</f>
        <v>7560</v>
      </c>
      <c r="C270" t="str">
        <f>'Plan Comptable'!C270</f>
        <v>Gains de change</v>
      </c>
      <c r="D270" s="83"/>
      <c r="E270" s="83"/>
      <c r="F270" s="78">
        <f t="shared" si="8"/>
        <v>0</v>
      </c>
      <c r="G270" s="78">
        <f t="shared" si="9"/>
        <v>0</v>
      </c>
    </row>
    <row r="271" spans="2:7" x14ac:dyDescent="0.35">
      <c r="B271">
        <f>'Plan Comptable'!B271</f>
        <v>7570</v>
      </c>
      <c r="C271" t="str">
        <f>'Plan Comptable'!C271</f>
        <v>Gains sur cessions titres placement</v>
      </c>
      <c r="D271" s="83"/>
      <c r="E271" s="83"/>
      <c r="F271" s="78">
        <f t="shared" si="8"/>
        <v>0</v>
      </c>
      <c r="G271" s="78">
        <f t="shared" si="9"/>
        <v>0</v>
      </c>
    </row>
    <row r="272" spans="2:7" x14ac:dyDescent="0.35">
      <c r="B272">
        <f>'Plan Comptable'!B272</f>
        <v>7580</v>
      </c>
      <c r="C272" t="str">
        <f>'Plan Comptable'!C272</f>
        <v>Produits financiers divers</v>
      </c>
      <c r="D272" s="83"/>
      <c r="E272" s="83"/>
      <c r="F272" s="78">
        <f t="shared" si="8"/>
        <v>0</v>
      </c>
      <c r="G272" s="78">
        <f t="shared" si="9"/>
        <v>0</v>
      </c>
    </row>
    <row r="273" spans="2:7" x14ac:dyDescent="0.35">
      <c r="B273">
        <f>'Plan Comptable'!B273</f>
        <v>7710</v>
      </c>
      <c r="C273" t="str">
        <f>'Plan Comptable'!C273</f>
        <v>Reprises provisions risques financiers</v>
      </c>
      <c r="D273" s="83"/>
      <c r="E273" s="83"/>
      <c r="F273" s="78">
        <f t="shared" si="8"/>
        <v>0</v>
      </c>
      <c r="G273" s="78">
        <f t="shared" si="9"/>
        <v>0</v>
      </c>
    </row>
    <row r="274" spans="2:7" x14ac:dyDescent="0.35">
      <c r="B274">
        <f>'Plan Comptable'!B274</f>
        <v>7720</v>
      </c>
      <c r="C274" t="str">
        <f>'Plan Comptable'!C274</f>
        <v>Reprises dépréciations financières</v>
      </c>
      <c r="D274" s="83"/>
      <c r="E274" s="83"/>
      <c r="F274" s="78">
        <f t="shared" si="8"/>
        <v>0</v>
      </c>
      <c r="G274" s="78">
        <f t="shared" si="9"/>
        <v>0</v>
      </c>
    </row>
    <row r="275" spans="2:7" x14ac:dyDescent="0.35">
      <c r="B275">
        <f>'Plan Comptable'!B275</f>
        <v>7810</v>
      </c>
      <c r="C275" t="str">
        <f>'Plan Comptable'!C275</f>
        <v>Transferts charges financières</v>
      </c>
      <c r="D275" s="83"/>
      <c r="E275" s="83"/>
      <c r="F275" s="78">
        <f t="shared" si="8"/>
        <v>0</v>
      </c>
      <c r="G275" s="78">
        <f t="shared" si="9"/>
        <v>0</v>
      </c>
    </row>
    <row r="276" spans="2:7" x14ac:dyDescent="0.35">
      <c r="B276">
        <f>'Plan Comptable'!B276</f>
        <v>8210</v>
      </c>
      <c r="C276" t="str">
        <f>'Plan Comptable'!C276</f>
        <v>Produits cessions immobilisations</v>
      </c>
      <c r="D276" s="83"/>
      <c r="E276" s="83"/>
      <c r="F276" s="78">
        <f t="shared" si="8"/>
        <v>0</v>
      </c>
      <c r="G276" s="78">
        <f t="shared" si="9"/>
        <v>0</v>
      </c>
    </row>
    <row r="277" spans="2:7" x14ac:dyDescent="0.35">
      <c r="B277">
        <f>'Plan Comptable'!B277</f>
        <v>8410</v>
      </c>
      <c r="C277" t="str">
        <f>'Plan Comptable'!C277</f>
        <v>Produits HAO</v>
      </c>
      <c r="D277" s="83"/>
      <c r="E277" s="83"/>
      <c r="F277" s="78">
        <f t="shared" si="8"/>
        <v>0</v>
      </c>
      <c r="G277" s="78">
        <f t="shared" si="9"/>
        <v>0</v>
      </c>
    </row>
    <row r="278" spans="2:7" x14ac:dyDescent="0.35">
      <c r="B278">
        <f>'Plan Comptable'!B278</f>
        <v>8610</v>
      </c>
      <c r="C278" t="str">
        <f>'Plan Comptable'!C278</f>
        <v>Reprises HAO</v>
      </c>
      <c r="D278" s="83"/>
      <c r="E278" s="83"/>
      <c r="F278" s="78">
        <f t="shared" si="8"/>
        <v>0</v>
      </c>
      <c r="G278" s="78">
        <f t="shared" si="9"/>
        <v>0</v>
      </c>
    </row>
    <row r="279" spans="2:7" x14ac:dyDescent="0.35">
      <c r="B279">
        <f>'Plan Comptable'!B279</f>
        <v>8310</v>
      </c>
      <c r="C279" t="str">
        <f>'Plan Comptable'!C279</f>
        <v>Valeurs comptables cessions immobilisations</v>
      </c>
      <c r="D279" s="83"/>
      <c r="E279" s="83"/>
      <c r="F279" s="78">
        <f t="shared" si="8"/>
        <v>0</v>
      </c>
      <c r="G279" s="78">
        <f t="shared" si="9"/>
        <v>0</v>
      </c>
    </row>
    <row r="280" spans="2:7" x14ac:dyDescent="0.35">
      <c r="B280">
        <f>'Plan Comptable'!B280</f>
        <v>8510</v>
      </c>
      <c r="C280" t="str">
        <f>'Plan Comptable'!C280</f>
        <v>Charges HAO</v>
      </c>
      <c r="D280" s="83"/>
      <c r="E280" s="83"/>
      <c r="F280" s="78">
        <f t="shared" si="8"/>
        <v>0</v>
      </c>
      <c r="G280" s="78">
        <f t="shared" si="9"/>
        <v>0</v>
      </c>
    </row>
    <row r="281" spans="2:7" x14ac:dyDescent="0.35">
      <c r="B281">
        <f>'Plan Comptable'!B281</f>
        <v>8910</v>
      </c>
      <c r="C281" t="str">
        <f>'Plan Comptable'!C281</f>
        <v>Impôts sur le résultat</v>
      </c>
      <c r="D281" s="83"/>
      <c r="E281" s="83"/>
      <c r="F281" s="78">
        <f t="shared" si="8"/>
        <v>0</v>
      </c>
      <c r="G281" s="78">
        <f t="shared" si="9"/>
        <v>0</v>
      </c>
    </row>
    <row r="282" spans="2:7" x14ac:dyDescent="0.35">
      <c r="B282">
        <f>'Plan Comptable'!B282</f>
        <v>0</v>
      </c>
      <c r="C282">
        <f>'Plan Comptable'!C282</f>
        <v>0</v>
      </c>
      <c r="D282" s="83"/>
      <c r="E282" s="83"/>
      <c r="F282" s="78">
        <f t="shared" si="8"/>
        <v>0</v>
      </c>
      <c r="G282" s="78">
        <f t="shared" si="9"/>
        <v>0</v>
      </c>
    </row>
    <row r="283" spans="2:7" x14ac:dyDescent="0.35">
      <c r="B283">
        <f>'Plan Comptable'!B283</f>
        <v>0</v>
      </c>
      <c r="C283">
        <f>'Plan Comptable'!C283</f>
        <v>0</v>
      </c>
      <c r="D283" s="83"/>
      <c r="E283" s="83"/>
      <c r="F283" s="78">
        <f t="shared" si="8"/>
        <v>0</v>
      </c>
      <c r="G283" s="78">
        <f t="shared" si="9"/>
        <v>0</v>
      </c>
    </row>
    <row r="284" spans="2:7" x14ac:dyDescent="0.35">
      <c r="B284">
        <f>'Plan Comptable'!B284</f>
        <v>0</v>
      </c>
      <c r="C284">
        <f>'Plan Comptable'!C284</f>
        <v>0</v>
      </c>
      <c r="D284" s="83"/>
      <c r="E284" s="83"/>
      <c r="F284" s="78">
        <f t="shared" si="8"/>
        <v>0</v>
      </c>
      <c r="G284" s="78">
        <f t="shared" si="9"/>
        <v>0</v>
      </c>
    </row>
    <row r="285" spans="2:7" x14ac:dyDescent="0.35">
      <c r="B285">
        <f>'Plan Comptable'!B285</f>
        <v>0</v>
      </c>
      <c r="C285">
        <f>'Plan Comptable'!C285</f>
        <v>0</v>
      </c>
      <c r="D285" s="83"/>
      <c r="E285" s="83"/>
      <c r="F285" s="78">
        <f t="shared" si="8"/>
        <v>0</v>
      </c>
      <c r="G285" s="78">
        <f t="shared" si="9"/>
        <v>0</v>
      </c>
    </row>
    <row r="286" spans="2:7" x14ac:dyDescent="0.35">
      <c r="B286">
        <f>'Plan Comptable'!B286</f>
        <v>0</v>
      </c>
      <c r="C286">
        <f>'Plan Comptable'!C286</f>
        <v>0</v>
      </c>
      <c r="D286" s="83"/>
      <c r="E286" s="83"/>
      <c r="F286" s="78">
        <f t="shared" si="8"/>
        <v>0</v>
      </c>
      <c r="G286" s="78">
        <f t="shared" si="9"/>
        <v>0</v>
      </c>
    </row>
    <row r="287" spans="2:7" x14ac:dyDescent="0.35">
      <c r="B287">
        <f>'Plan Comptable'!B287</f>
        <v>0</v>
      </c>
      <c r="C287">
        <f>'Plan Comptable'!C287</f>
        <v>0</v>
      </c>
      <c r="D287" s="83"/>
      <c r="E287" s="83"/>
      <c r="F287" s="78">
        <f t="shared" si="8"/>
        <v>0</v>
      </c>
      <c r="G287" s="78">
        <f t="shared" si="9"/>
        <v>0</v>
      </c>
    </row>
    <row r="288" spans="2:7" x14ac:dyDescent="0.35">
      <c r="B288">
        <f>'Plan Comptable'!B288</f>
        <v>0</v>
      </c>
      <c r="C288">
        <f>'Plan Comptable'!C288</f>
        <v>0</v>
      </c>
      <c r="D288" s="83"/>
      <c r="E288" s="83"/>
      <c r="F288" s="78">
        <f t="shared" si="8"/>
        <v>0</v>
      </c>
      <c r="G288" s="78">
        <f t="shared" si="9"/>
        <v>0</v>
      </c>
    </row>
    <row r="289" spans="2:7" x14ac:dyDescent="0.35">
      <c r="B289">
        <f>'Plan Comptable'!B289</f>
        <v>0</v>
      </c>
      <c r="C289">
        <f>'Plan Comptable'!C289</f>
        <v>0</v>
      </c>
      <c r="D289" s="83"/>
      <c r="E289" s="83"/>
      <c r="F289" s="78">
        <f t="shared" si="8"/>
        <v>0</v>
      </c>
      <c r="G289" s="78">
        <f t="shared" si="9"/>
        <v>0</v>
      </c>
    </row>
    <row r="290" spans="2:7" x14ac:dyDescent="0.35">
      <c r="B290">
        <f>'Plan Comptable'!B290</f>
        <v>0</v>
      </c>
      <c r="C290">
        <f>'Plan Comptable'!C290</f>
        <v>0</v>
      </c>
      <c r="D290" s="83"/>
      <c r="E290" s="83"/>
      <c r="F290" s="78">
        <f t="shared" si="8"/>
        <v>0</v>
      </c>
      <c r="G290" s="78">
        <f t="shared" si="9"/>
        <v>0</v>
      </c>
    </row>
    <row r="291" spans="2:7" x14ac:dyDescent="0.35">
      <c r="B291">
        <f>'Plan Comptable'!B291</f>
        <v>0</v>
      </c>
      <c r="C291">
        <f>'Plan Comptable'!C291</f>
        <v>0</v>
      </c>
      <c r="D291" s="83"/>
      <c r="E291" s="83"/>
      <c r="F291" s="78">
        <f t="shared" si="8"/>
        <v>0</v>
      </c>
      <c r="G291" s="78">
        <f t="shared" si="9"/>
        <v>0</v>
      </c>
    </row>
    <row r="292" spans="2:7" x14ac:dyDescent="0.35">
      <c r="B292">
        <f>'Plan Comptable'!B292</f>
        <v>0</v>
      </c>
      <c r="C292">
        <f>'Plan Comptable'!C292</f>
        <v>0</v>
      </c>
      <c r="D292" s="83"/>
      <c r="E292" s="83"/>
      <c r="F292" s="78">
        <f t="shared" si="8"/>
        <v>0</v>
      </c>
      <c r="G292" s="78">
        <f t="shared" si="9"/>
        <v>0</v>
      </c>
    </row>
    <row r="293" spans="2:7" x14ac:dyDescent="0.35">
      <c r="B293">
        <f>'Plan Comptable'!B293</f>
        <v>0</v>
      </c>
      <c r="C293">
        <f>'Plan Comptable'!C293</f>
        <v>0</v>
      </c>
      <c r="D293" s="83"/>
      <c r="E293" s="83"/>
      <c r="F293" s="78">
        <f t="shared" si="8"/>
        <v>0</v>
      </c>
      <c r="G293" s="78">
        <f t="shared" si="9"/>
        <v>0</v>
      </c>
    </row>
    <row r="294" spans="2:7" x14ac:dyDescent="0.35">
      <c r="B294">
        <f>'Plan Comptable'!B294</f>
        <v>0</v>
      </c>
      <c r="C294">
        <f>'Plan Comptable'!C294</f>
        <v>0</v>
      </c>
      <c r="D294" s="83"/>
      <c r="E294" s="83"/>
      <c r="F294" s="78">
        <f t="shared" si="8"/>
        <v>0</v>
      </c>
      <c r="G294" s="78">
        <f t="shared" si="9"/>
        <v>0</v>
      </c>
    </row>
    <row r="295" spans="2:7" x14ac:dyDescent="0.35">
      <c r="B295">
        <f>'Plan Comptable'!B295</f>
        <v>0</v>
      </c>
      <c r="C295">
        <f>'Plan Comptable'!C295</f>
        <v>0</v>
      </c>
      <c r="D295" s="83"/>
      <c r="E295" s="83"/>
      <c r="F295" s="78">
        <f t="shared" si="8"/>
        <v>0</v>
      </c>
      <c r="G295" s="78">
        <f t="shared" si="9"/>
        <v>0</v>
      </c>
    </row>
    <row r="296" spans="2:7" x14ac:dyDescent="0.35">
      <c r="B296">
        <f>'Plan Comptable'!B296</f>
        <v>0</v>
      </c>
      <c r="C296">
        <f>'Plan Comptable'!C296</f>
        <v>0</v>
      </c>
      <c r="D296" s="83"/>
      <c r="E296" s="83"/>
      <c r="F296" s="78">
        <f t="shared" si="8"/>
        <v>0</v>
      </c>
      <c r="G296" s="78">
        <f t="shared" si="9"/>
        <v>0</v>
      </c>
    </row>
    <row r="297" spans="2:7" x14ac:dyDescent="0.35">
      <c r="B297">
        <f>'Plan Comptable'!B297</f>
        <v>0</v>
      </c>
      <c r="C297">
        <f>'Plan Comptable'!C297</f>
        <v>0</v>
      </c>
      <c r="D297" s="83"/>
      <c r="E297" s="83"/>
      <c r="F297" s="78">
        <f t="shared" si="8"/>
        <v>0</v>
      </c>
      <c r="G297" s="78">
        <f t="shared" si="9"/>
        <v>0</v>
      </c>
    </row>
    <row r="298" spans="2:7" x14ac:dyDescent="0.35">
      <c r="B298">
        <f>'Plan Comptable'!B298</f>
        <v>0</v>
      </c>
      <c r="C298">
        <f>'Plan Comptable'!C298</f>
        <v>0</v>
      </c>
      <c r="D298" s="83"/>
      <c r="E298" s="83"/>
      <c r="F298" s="78">
        <f t="shared" si="8"/>
        <v>0</v>
      </c>
      <c r="G298" s="78">
        <f t="shared" si="9"/>
        <v>0</v>
      </c>
    </row>
    <row r="299" spans="2:7" x14ac:dyDescent="0.35">
      <c r="B299">
        <f>'Plan Comptable'!B299</f>
        <v>0</v>
      </c>
      <c r="C299">
        <f>'Plan Comptable'!C299</f>
        <v>0</v>
      </c>
      <c r="D299" s="83"/>
      <c r="E299" s="83"/>
      <c r="F299" s="78">
        <f t="shared" si="8"/>
        <v>0</v>
      </c>
      <c r="G299" s="78">
        <f t="shared" si="9"/>
        <v>0</v>
      </c>
    </row>
    <row r="300" spans="2:7" x14ac:dyDescent="0.35">
      <c r="B300">
        <f>'Plan Comptable'!B300</f>
        <v>0</v>
      </c>
      <c r="C300">
        <f>'Plan Comptable'!C300</f>
        <v>0</v>
      </c>
      <c r="D300" s="83"/>
      <c r="E300" s="83"/>
      <c r="F300" s="78">
        <f t="shared" si="8"/>
        <v>0</v>
      </c>
      <c r="G300" s="78">
        <f t="shared" si="9"/>
        <v>0</v>
      </c>
    </row>
    <row r="301" spans="2:7" x14ac:dyDescent="0.35">
      <c r="B301">
        <f>'Plan Comptable'!B301</f>
        <v>0</v>
      </c>
      <c r="C301">
        <f>'Plan Comptable'!C301</f>
        <v>0</v>
      </c>
      <c r="D301" s="83"/>
      <c r="E301" s="83"/>
      <c r="F301" s="78">
        <f t="shared" si="8"/>
        <v>0</v>
      </c>
      <c r="G301" s="78">
        <f t="shared" si="9"/>
        <v>0</v>
      </c>
    </row>
    <row r="302" spans="2:7" x14ac:dyDescent="0.35">
      <c r="B302">
        <f>'Plan Comptable'!B302</f>
        <v>0</v>
      </c>
      <c r="C302">
        <f>'Plan Comptable'!C302</f>
        <v>0</v>
      </c>
      <c r="D302" s="83"/>
      <c r="E302" s="83"/>
      <c r="F302" s="78">
        <f t="shared" si="8"/>
        <v>0</v>
      </c>
      <c r="G302" s="78">
        <f t="shared" si="9"/>
        <v>0</v>
      </c>
    </row>
    <row r="303" spans="2:7" x14ac:dyDescent="0.35">
      <c r="B303">
        <f>'Plan Comptable'!B303</f>
        <v>0</v>
      </c>
      <c r="C303">
        <f>'Plan Comptable'!C303</f>
        <v>0</v>
      </c>
      <c r="D303" s="83"/>
      <c r="E303" s="83"/>
      <c r="F303" s="78">
        <f t="shared" si="8"/>
        <v>0</v>
      </c>
      <c r="G303" s="78">
        <f t="shared" si="9"/>
        <v>0</v>
      </c>
    </row>
    <row r="304" spans="2:7" x14ac:dyDescent="0.35">
      <c r="B304">
        <f>'Plan Comptable'!B304</f>
        <v>0</v>
      </c>
      <c r="C304">
        <f>'Plan Comptable'!C304</f>
        <v>0</v>
      </c>
      <c r="D304" s="83"/>
      <c r="E304" s="83"/>
      <c r="F304" s="78">
        <f t="shared" si="8"/>
        <v>0</v>
      </c>
      <c r="G304" s="78">
        <f t="shared" si="9"/>
        <v>0</v>
      </c>
    </row>
    <row r="306" spans="3:7" x14ac:dyDescent="0.35">
      <c r="C306" s="80" t="s">
        <v>291</v>
      </c>
      <c r="D306" s="80">
        <f>SUM(D5:D304)</f>
        <v>0</v>
      </c>
      <c r="E306" s="80">
        <f>SUM(E5:E304)</f>
        <v>0</v>
      </c>
      <c r="F306" s="92">
        <f>SUM(F5:F304)</f>
        <v>0</v>
      </c>
      <c r="G306" s="92">
        <f>SUM(G5:G304)</f>
        <v>0</v>
      </c>
    </row>
  </sheetData>
  <sheetProtection sheet="1" objects="1" scenarios="1" sort="0" autoFilter="0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B7EAF-54ED-42FD-9A33-DD0E25C74D8F}">
  <dimension ref="A1:S72"/>
  <sheetViews>
    <sheetView workbookViewId="0"/>
  </sheetViews>
  <sheetFormatPr baseColWidth="10" defaultRowHeight="14.5" x14ac:dyDescent="0.35"/>
  <cols>
    <col min="2" max="2" width="70" bestFit="1" customWidth="1"/>
    <col min="3" max="3" width="13.1796875" bestFit="1" customWidth="1"/>
    <col min="4" max="4" width="13.7265625" bestFit="1" customWidth="1"/>
    <col min="5" max="5" width="5.1796875" bestFit="1" customWidth="1"/>
    <col min="6" max="6" width="5.7265625" bestFit="1" customWidth="1"/>
    <col min="7" max="7" width="7.26953125" bestFit="1" customWidth="1"/>
    <col min="9" max="9" width="32.453125" bestFit="1" customWidth="1"/>
    <col min="10" max="10" width="4.54296875" bestFit="1" customWidth="1"/>
    <col min="11" max="11" width="6.453125" bestFit="1" customWidth="1"/>
    <col min="12" max="12" width="5.1796875" bestFit="1" customWidth="1"/>
    <col min="13" max="13" width="5.7265625" bestFit="1" customWidth="1"/>
    <col min="14" max="14" width="7.26953125" bestFit="1" customWidth="1"/>
    <col min="16" max="16" width="32.453125" bestFit="1" customWidth="1"/>
    <col min="19" max="19" width="5.54296875" bestFit="1" customWidth="1"/>
  </cols>
  <sheetData>
    <row r="1" spans="1:19" x14ac:dyDescent="0.35">
      <c r="A1" s="15" t="str">
        <f>HYPERLINK("#'PAGE DE GARDE'!A1","⬅ Menu")</f>
        <v>⬅ Menu</v>
      </c>
    </row>
    <row r="2" spans="1:19" ht="21" x14ac:dyDescent="0.35">
      <c r="B2" s="85" t="s">
        <v>1034</v>
      </c>
      <c r="C2" s="85"/>
      <c r="D2" s="85"/>
      <c r="E2" s="85"/>
      <c r="F2" s="85"/>
      <c r="G2" s="85"/>
      <c r="H2" s="85"/>
      <c r="I2" s="85"/>
      <c r="J2" s="85"/>
      <c r="K2" s="85"/>
      <c r="L2" s="85"/>
    </row>
    <row r="3" spans="1:19" x14ac:dyDescent="0.35">
      <c r="B3" s="86" t="s">
        <v>1035</v>
      </c>
      <c r="C3" s="86"/>
      <c r="D3" s="86"/>
      <c r="E3" s="86"/>
      <c r="F3" s="86"/>
      <c r="G3" s="86"/>
      <c r="H3" s="86"/>
      <c r="I3" s="86"/>
      <c r="J3" s="86"/>
      <c r="K3" s="86"/>
      <c r="L3" s="86"/>
    </row>
    <row r="5" spans="1:19" ht="16" x14ac:dyDescent="0.4">
      <c r="B5" s="87" t="s">
        <v>984</v>
      </c>
      <c r="C5" s="87"/>
      <c r="D5" s="87"/>
      <c r="I5" s="87" t="s">
        <v>1045</v>
      </c>
      <c r="J5" s="87"/>
      <c r="K5" s="87"/>
      <c r="L5" s="87"/>
      <c r="P5" s="87" t="s">
        <v>1045</v>
      </c>
      <c r="Q5" s="87"/>
      <c r="R5" s="87"/>
      <c r="S5" s="87"/>
    </row>
    <row r="6" spans="1:19" x14ac:dyDescent="0.35">
      <c r="B6" s="88" t="s">
        <v>1036</v>
      </c>
      <c r="C6" s="107">
        <v>5211</v>
      </c>
      <c r="D6" s="108" t="str">
        <f>IFERROR(VLOOKUP(C6,'Plan Comptable'!B:C,2,FALSE),"")</f>
        <v/>
      </c>
      <c r="E6" s="108"/>
      <c r="I6" s="88" t="s">
        <v>1046</v>
      </c>
      <c r="J6" s="88"/>
      <c r="K6" s="88"/>
      <c r="P6" s="48" t="s">
        <v>1049</v>
      </c>
      <c r="Q6" s="48"/>
      <c r="R6" s="48"/>
      <c r="S6" s="94">
        <f>F61-E61</f>
        <v>0</v>
      </c>
    </row>
    <row r="7" spans="1:19" x14ac:dyDescent="0.35">
      <c r="B7" s="88" t="s">
        <v>1037</v>
      </c>
      <c r="C7" s="109"/>
      <c r="D7" s="110" t="s">
        <v>313</v>
      </c>
      <c r="E7" s="109"/>
      <c r="I7" s="88" t="s">
        <v>1047</v>
      </c>
      <c r="J7" s="88"/>
      <c r="K7" s="88"/>
      <c r="P7" s="48" t="s">
        <v>1050</v>
      </c>
      <c r="Q7" s="48"/>
      <c r="R7" s="48"/>
      <c r="S7" s="94">
        <f>L61-M61</f>
        <v>0</v>
      </c>
    </row>
    <row r="8" spans="1:19" x14ac:dyDescent="0.35">
      <c r="I8" s="77" t="s">
        <v>1048</v>
      </c>
      <c r="J8" s="77"/>
      <c r="K8" s="77"/>
      <c r="P8" s="26" t="s">
        <v>1048</v>
      </c>
      <c r="Q8" s="26"/>
      <c r="R8" s="26"/>
      <c r="S8" s="95">
        <f>S6-S7</f>
        <v>0</v>
      </c>
    </row>
    <row r="9" spans="1:19" ht="16" x14ac:dyDescent="0.4">
      <c r="B9" s="96" t="s">
        <v>1038</v>
      </c>
      <c r="C9" s="96"/>
      <c r="D9" s="96"/>
      <c r="E9" s="96"/>
      <c r="F9" s="96"/>
      <c r="G9" s="96"/>
      <c r="I9" s="96" t="s">
        <v>1040</v>
      </c>
      <c r="J9" s="96"/>
      <c r="K9" s="96"/>
      <c r="L9" s="96"/>
      <c r="M9" s="96"/>
      <c r="N9" s="96"/>
    </row>
    <row r="10" spans="1:19" x14ac:dyDescent="0.35">
      <c r="B10" s="97" t="s">
        <v>845</v>
      </c>
      <c r="C10" s="97" t="s">
        <v>284</v>
      </c>
      <c r="D10" s="97" t="s">
        <v>2</v>
      </c>
      <c r="E10" s="97" t="s">
        <v>288</v>
      </c>
      <c r="F10" s="97" t="s">
        <v>289</v>
      </c>
      <c r="G10" s="97" t="s">
        <v>1039</v>
      </c>
      <c r="I10" s="97" t="s">
        <v>845</v>
      </c>
      <c r="J10" s="97" t="s">
        <v>284</v>
      </c>
      <c r="K10" s="97" t="s">
        <v>2</v>
      </c>
      <c r="L10" s="97" t="s">
        <v>288</v>
      </c>
      <c r="M10" s="97" t="s">
        <v>289</v>
      </c>
      <c r="N10" s="97" t="s">
        <v>1039</v>
      </c>
      <c r="P10" s="98" t="s">
        <v>1051</v>
      </c>
      <c r="Q10" s="99"/>
      <c r="R10" s="99"/>
      <c r="S10" s="99"/>
    </row>
    <row r="11" spans="1:19" x14ac:dyDescent="0.35">
      <c r="B11" s="39" t="str">
        <f>IF(C11="","",ROW()-10)</f>
        <v/>
      </c>
      <c r="C11" s="111"/>
      <c r="D11" s="112"/>
      <c r="E11" s="113"/>
      <c r="F11" s="113"/>
      <c r="G11" s="114"/>
      <c r="I11" s="39" t="str" cm="1">
        <f t="array" ref="I11">IF($C$6="","",IFERROR(SMALL(IF(Journal!$G$6:$G$507=$C$6,ROW(Journal!$G$6:$G$507)-4),ROW()-10),""))</f>
        <v/>
      </c>
      <c r="J11" s="100" t="str" cm="1">
        <f t="array" ref="J11">IF(I11="","",INDEX(Journal!$B$6:$B$507,I11))</f>
        <v/>
      </c>
      <c r="K11" s="26" t="str" cm="1">
        <f t="array" ref="K11">IF(I11="","",INDEX(Journal!$J$6:$J$507,I11))</f>
        <v/>
      </c>
      <c r="L11" s="95" t="str" cm="1">
        <f t="array" ref="L11">IF(I11="","",INDEX(Journal!$K$6:$K$507,I11))</f>
        <v/>
      </c>
      <c r="M11" s="95" t="str" cm="1">
        <f t="array" ref="M11">IF(I11="","",INDEX(Journal!$L$6:$L$507,I11))</f>
        <v/>
      </c>
      <c r="N11" s="114"/>
      <c r="P11" t="s">
        <v>1052</v>
      </c>
      <c r="S11" s="95">
        <f>SUMIF($G$11:$G$60,"",$F$11:$F$60)-SUMIF($G$11:$G$60,"",$E$11:$E$60)</f>
        <v>0</v>
      </c>
    </row>
    <row r="12" spans="1:19" x14ac:dyDescent="0.35">
      <c r="B12" s="39" t="str">
        <f t="shared" ref="B12:B60" si="0">IF(C12="","",ROW()-10)</f>
        <v/>
      </c>
      <c r="C12" s="111"/>
      <c r="D12" s="112"/>
      <c r="E12" s="113"/>
      <c r="F12" s="113"/>
      <c r="G12" s="114"/>
      <c r="I12" s="39" t="str" cm="1">
        <f t="array" ref="I12">IF($C$6="","",IFERROR(SMALL(IF(Journal!$G$6:$G$507=$C$6,ROW(Journal!$G$6:$G$507)-4),ROW()-10),""))</f>
        <v/>
      </c>
      <c r="J12" s="100" t="str" cm="1">
        <f t="array" ref="J12">IF(I12="","",INDEX(Journal!$B$6:$B$507,I12))</f>
        <v/>
      </c>
      <c r="K12" s="26" t="str" cm="1">
        <f t="array" ref="K12">IF(I12="","",INDEX(Journal!$J$6:$J$507,I12))</f>
        <v/>
      </c>
      <c r="L12" s="95" t="str" cm="1">
        <f t="array" ref="L12">IF(I12="","",INDEX(Journal!$K$6:$K$507,I12))</f>
        <v/>
      </c>
      <c r="M12" s="95" t="str" cm="1">
        <f t="array" ref="M12">IF(I12="","",INDEX(Journal!$L$6:$L$507,I12))</f>
        <v/>
      </c>
      <c r="N12" s="114"/>
      <c r="P12" t="s">
        <v>1053</v>
      </c>
      <c r="S12" s="95">
        <f>SUMIF($N$11:$N$60,"",$L$11:$L$60)-SUMIF($N$11:$N$60,"",$M$11:$M$60)</f>
        <v>0</v>
      </c>
    </row>
    <row r="13" spans="1:19" x14ac:dyDescent="0.35">
      <c r="B13" s="39" t="str">
        <f t="shared" si="0"/>
        <v/>
      </c>
      <c r="C13" s="111"/>
      <c r="D13" s="112"/>
      <c r="E13" s="113"/>
      <c r="F13" s="113"/>
      <c r="G13" s="114"/>
      <c r="I13" s="39" t="str" cm="1">
        <f t="array" ref="I13">IF($C$6="","",IFERROR(SMALL(IF(Journal!$G$6:$G$507=$C$6,ROW(Journal!$G$6:$G$507)-4),ROW()-10),""))</f>
        <v/>
      </c>
      <c r="J13" s="100" t="str" cm="1">
        <f t="array" ref="J13">IF(I13="","",INDEX(Journal!$B$6:$B$507,I13))</f>
        <v/>
      </c>
      <c r="K13" s="26" t="str" cm="1">
        <f t="array" ref="K13">IF(I13="","",INDEX(Journal!$J$6:$J$507,I13))</f>
        <v/>
      </c>
      <c r="L13" s="95" t="str" cm="1">
        <f t="array" ref="L13">IF(I13="","",INDEX(Journal!$K$6:$K$507,I13))</f>
        <v/>
      </c>
      <c r="M13" s="95" t="str" cm="1">
        <f t="array" ref="M13">IF(I13="","",INDEX(Journal!$L$6:$L$507,I13))</f>
        <v/>
      </c>
      <c r="N13" s="114"/>
    </row>
    <row r="14" spans="1:19" x14ac:dyDescent="0.35">
      <c r="B14" s="39" t="str">
        <f t="shared" si="0"/>
        <v/>
      </c>
      <c r="C14" s="111"/>
      <c r="D14" s="112"/>
      <c r="E14" s="113"/>
      <c r="F14" s="113"/>
      <c r="G14" s="114"/>
      <c r="I14" s="39" t="str" cm="1">
        <f t="array" ref="I14">IF($C$6="","",IFERROR(SMALL(IF(Journal!$G$6:$G$507=$C$6,ROW(Journal!$G$6:$G$507)-4),ROW()-10),""))</f>
        <v/>
      </c>
      <c r="J14" s="100" t="str" cm="1">
        <f t="array" ref="J14">IF(I14="","",INDEX(Journal!$B$6:$B$507,I14))</f>
        <v/>
      </c>
      <c r="K14" s="26" t="str" cm="1">
        <f t="array" ref="K14">IF(I14="","",INDEX(Journal!$J$6:$J$507,I14))</f>
        <v/>
      </c>
      <c r="L14" s="95" t="str" cm="1">
        <f t="array" ref="L14">IF(I14="","",INDEX(Journal!$K$6:$K$507,I14))</f>
        <v/>
      </c>
      <c r="M14" s="95" t="str" cm="1">
        <f t="array" ref="M14">IF(I14="","",INDEX(Journal!$L$6:$L$507,I14))</f>
        <v/>
      </c>
      <c r="N14" s="114"/>
      <c r="P14" s="101" t="s">
        <v>1054</v>
      </c>
      <c r="Q14" s="101"/>
      <c r="R14" s="101"/>
      <c r="S14" s="101"/>
    </row>
    <row r="15" spans="1:19" x14ac:dyDescent="0.35">
      <c r="B15" s="39" t="str">
        <f t="shared" si="0"/>
        <v/>
      </c>
      <c r="C15" s="111"/>
      <c r="D15" s="112"/>
      <c r="E15" s="113"/>
      <c r="F15" s="113"/>
      <c r="G15" s="114"/>
      <c r="I15" s="39" t="str" cm="1">
        <f t="array" ref="I15">IF($C$6="","",IFERROR(SMALL(IF(Journal!$G$6:$G$507=$C$6,ROW(Journal!$G$6:$G$507)-4),ROW()-10),""))</f>
        <v/>
      </c>
      <c r="J15" s="100" t="str" cm="1">
        <f t="array" ref="J15">IF(I15="","",INDEX(Journal!$B$6:$B$507,I15))</f>
        <v/>
      </c>
      <c r="K15" s="26" t="str" cm="1">
        <f t="array" ref="K15">IF(I15="","",INDEX(Journal!$J$6:$J$507,I15))</f>
        <v/>
      </c>
      <c r="L15" s="95" t="str" cm="1">
        <f t="array" ref="L15">IF(I15="","",INDEX(Journal!$K$6:$K$507,I15))</f>
        <v/>
      </c>
      <c r="M15" s="95" t="str" cm="1">
        <f t="array" ref="M15">IF(I15="","",INDEX(Journal!$L$6:$L$507,I15))</f>
        <v/>
      </c>
      <c r="N15" s="114"/>
      <c r="P15" s="48" t="s">
        <v>1055</v>
      </c>
      <c r="Q15" s="48"/>
      <c r="R15" s="48"/>
      <c r="S15" s="102">
        <f>S8-S11+S12</f>
        <v>0</v>
      </c>
    </row>
    <row r="16" spans="1:19" x14ac:dyDescent="0.35">
      <c r="B16" s="39" t="str">
        <f t="shared" si="0"/>
        <v/>
      </c>
      <c r="C16" s="111"/>
      <c r="D16" s="112"/>
      <c r="E16" s="113"/>
      <c r="F16" s="113"/>
      <c r="G16" s="114"/>
      <c r="I16" s="39" t="str" cm="1">
        <f t="array" ref="I16">IF($C$6="","",IFERROR(SMALL(IF(Journal!$G$6:$G$507=$C$6,ROW(Journal!$G$6:$G$507)-4),ROW()-10),""))</f>
        <v/>
      </c>
      <c r="J16" s="100" t="str" cm="1">
        <f t="array" ref="J16">IF(I16="","",INDEX(Journal!$B$6:$B$507,I16))</f>
        <v/>
      </c>
      <c r="K16" s="26" t="str" cm="1">
        <f t="array" ref="K16">IF(I16="","",INDEX(Journal!$J$6:$J$507,I16))</f>
        <v/>
      </c>
      <c r="L16" s="95" t="str" cm="1">
        <f t="array" ref="L16">IF(I16="","",INDEX(Journal!$K$6:$K$507,I16))</f>
        <v/>
      </c>
      <c r="M16" s="95" t="str" cm="1">
        <f t="array" ref="M16">IF(I16="","",INDEX(Journal!$L$6:$L$507,I16))</f>
        <v/>
      </c>
      <c r="N16" s="114"/>
      <c r="P16" s="48" t="s">
        <v>1032</v>
      </c>
      <c r="Q16" s="48"/>
      <c r="R16" s="48"/>
      <c r="S16" s="88" t="str">
        <f>IF(ABS(S15)&lt;1,"✓ OK","⚠ ÉCART")</f>
        <v>✓ OK</v>
      </c>
    </row>
    <row r="17" spans="2:14" x14ac:dyDescent="0.35">
      <c r="B17" s="39" t="str">
        <f t="shared" si="0"/>
        <v/>
      </c>
      <c r="C17" s="111"/>
      <c r="D17" s="112"/>
      <c r="E17" s="113"/>
      <c r="F17" s="113"/>
      <c r="G17" s="114"/>
      <c r="I17" s="39" t="str" cm="1">
        <f t="array" ref="I17">IF($C$6="","",IFERROR(SMALL(IF(Journal!$G$6:$G$507=$C$6,ROW(Journal!$G$6:$G$507)-4),ROW()-10),""))</f>
        <v/>
      </c>
      <c r="J17" s="100" t="str" cm="1">
        <f t="array" ref="J17">IF(I17="","",INDEX(Journal!$B$6:$B$507,I17))</f>
        <v/>
      </c>
      <c r="K17" s="26" t="str" cm="1">
        <f t="array" ref="K17">IF(I17="","",INDEX(Journal!$J$6:$J$507,I17))</f>
        <v/>
      </c>
      <c r="L17" s="95" t="str" cm="1">
        <f t="array" ref="L17">IF(I17="","",INDEX(Journal!$K$6:$K$507,I17))</f>
        <v/>
      </c>
      <c r="M17" s="95" t="str" cm="1">
        <f t="array" ref="M17">IF(I17="","",INDEX(Journal!$L$6:$L$507,I17))</f>
        <v/>
      </c>
      <c r="N17" s="114"/>
    </row>
    <row r="18" spans="2:14" x14ac:dyDescent="0.35">
      <c r="B18" s="39" t="str">
        <f t="shared" si="0"/>
        <v/>
      </c>
      <c r="C18" s="111"/>
      <c r="D18" s="112"/>
      <c r="E18" s="113"/>
      <c r="F18" s="113"/>
      <c r="G18" s="114"/>
      <c r="I18" s="39" t="str" cm="1">
        <f t="array" ref="I18">IF($C$6="","",IFERROR(SMALL(IF(Journal!$G$6:$G$507=$C$6,ROW(Journal!$G$6:$G$507)-4),ROW()-10),""))</f>
        <v/>
      </c>
      <c r="J18" s="100" t="str" cm="1">
        <f t="array" ref="J18">IF(I18="","",INDEX(Journal!$B$6:$B$507,I18))</f>
        <v/>
      </c>
      <c r="K18" s="26" t="str" cm="1">
        <f t="array" ref="K18">IF(I18="","",INDEX(Journal!$J$6:$J$507,I18))</f>
        <v/>
      </c>
      <c r="L18" s="95" t="str" cm="1">
        <f t="array" ref="L18">IF(I18="","",INDEX(Journal!$K$6:$K$507,I18))</f>
        <v/>
      </c>
      <c r="M18" s="95" t="str" cm="1">
        <f t="array" ref="M18">IF(I18="","",INDEX(Journal!$L$6:$L$507,I18))</f>
        <v/>
      </c>
      <c r="N18" s="114"/>
    </row>
    <row r="19" spans="2:14" x14ac:dyDescent="0.35">
      <c r="B19" s="39" t="str">
        <f t="shared" si="0"/>
        <v/>
      </c>
      <c r="C19" s="111"/>
      <c r="D19" s="112"/>
      <c r="E19" s="113"/>
      <c r="F19" s="113"/>
      <c r="G19" s="114"/>
      <c r="I19" s="39" t="str" cm="1">
        <f t="array" ref="I19">IF($C$6="","",IFERROR(SMALL(IF(Journal!$G$6:$G$507=$C$6,ROW(Journal!$G$6:$G$507)-4),ROW()-10),""))</f>
        <v/>
      </c>
      <c r="J19" s="100" t="str" cm="1">
        <f t="array" ref="J19">IF(I19="","",INDEX(Journal!$B$6:$B$507,I19))</f>
        <v/>
      </c>
      <c r="K19" s="26" t="str" cm="1">
        <f t="array" ref="K19">IF(I19="","",INDEX(Journal!$J$6:$J$507,I19))</f>
        <v/>
      </c>
      <c r="L19" s="95" t="str" cm="1">
        <f t="array" ref="L19">IF(I19="","",INDEX(Journal!$K$6:$K$507,I19))</f>
        <v/>
      </c>
      <c r="M19" s="95" t="str" cm="1">
        <f t="array" ref="M19">IF(I19="","",INDEX(Journal!$L$6:$L$507,I19))</f>
        <v/>
      </c>
      <c r="N19" s="114"/>
    </row>
    <row r="20" spans="2:14" x14ac:dyDescent="0.35">
      <c r="B20" s="39" t="str">
        <f t="shared" si="0"/>
        <v/>
      </c>
      <c r="C20" s="111"/>
      <c r="D20" s="112"/>
      <c r="E20" s="113"/>
      <c r="F20" s="113"/>
      <c r="G20" s="114"/>
      <c r="I20" s="39" t="str" cm="1">
        <f t="array" ref="I20">IF($C$6="","",IFERROR(SMALL(IF(Journal!$G$6:$G$507=$C$6,ROW(Journal!$G$6:$G$507)-4),ROW()-10),""))</f>
        <v/>
      </c>
      <c r="J20" s="100" t="str" cm="1">
        <f t="array" ref="J20">IF(I20="","",INDEX(Journal!$B$6:$B$507,I20))</f>
        <v/>
      </c>
      <c r="K20" s="26" t="str" cm="1">
        <f t="array" ref="K20">IF(I20="","",INDEX(Journal!$J$6:$J$507,I20))</f>
        <v/>
      </c>
      <c r="L20" s="95" t="str" cm="1">
        <f t="array" ref="L20">IF(I20="","",INDEX(Journal!$K$6:$K$507,I20))</f>
        <v/>
      </c>
      <c r="M20" s="95" t="str" cm="1">
        <f t="array" ref="M20">IF(I20="","",INDEX(Journal!$L$6:$L$507,I20))</f>
        <v/>
      </c>
      <c r="N20" s="114"/>
    </row>
    <row r="21" spans="2:14" x14ac:dyDescent="0.35">
      <c r="B21" s="39" t="str">
        <f t="shared" si="0"/>
        <v/>
      </c>
      <c r="C21" s="111"/>
      <c r="D21" s="112"/>
      <c r="E21" s="113"/>
      <c r="F21" s="113"/>
      <c r="G21" s="114"/>
      <c r="I21" s="39" t="str" cm="1">
        <f t="array" ref="I21">IF($C$6="","",IFERROR(SMALL(IF(Journal!$G$6:$G$507=$C$6,ROW(Journal!$G$6:$G$507)-4),ROW()-10),""))</f>
        <v/>
      </c>
      <c r="J21" s="100" t="str" cm="1">
        <f t="array" ref="J21">IF(I21="","",INDEX(Journal!$B$6:$B$507,I21))</f>
        <v/>
      </c>
      <c r="K21" s="26" t="str" cm="1">
        <f t="array" ref="K21">IF(I21="","",INDEX(Journal!$J$6:$J$507,I21))</f>
        <v/>
      </c>
      <c r="L21" s="95" t="str" cm="1">
        <f t="array" ref="L21">IF(I21="","",INDEX(Journal!$K$6:$K$507,I21))</f>
        <v/>
      </c>
      <c r="M21" s="95" t="str" cm="1">
        <f t="array" ref="M21">IF(I21="","",INDEX(Journal!$L$6:$L$507,I21))</f>
        <v/>
      </c>
      <c r="N21" s="114"/>
    </row>
    <row r="22" spans="2:14" x14ac:dyDescent="0.35">
      <c r="B22" s="39" t="str">
        <f t="shared" si="0"/>
        <v/>
      </c>
      <c r="C22" s="111"/>
      <c r="D22" s="112"/>
      <c r="E22" s="113"/>
      <c r="F22" s="113"/>
      <c r="G22" s="114"/>
      <c r="I22" s="39" t="str" cm="1">
        <f t="array" ref="I22">IF($C$6="","",IFERROR(SMALL(IF(Journal!$G$6:$G$507=$C$6,ROW(Journal!$G$6:$G$507)-4),ROW()-10),""))</f>
        <v/>
      </c>
      <c r="J22" s="100" t="str" cm="1">
        <f t="array" ref="J22">IF(I22="","",INDEX(Journal!$B$6:$B$507,I22))</f>
        <v/>
      </c>
      <c r="K22" s="26" t="str" cm="1">
        <f t="array" ref="K22">IF(I22="","",INDEX(Journal!$J$6:$J$507,I22))</f>
        <v/>
      </c>
      <c r="L22" s="95" t="str" cm="1">
        <f t="array" ref="L22">IF(I22="","",INDEX(Journal!$K$6:$K$507,I22))</f>
        <v/>
      </c>
      <c r="M22" s="95" t="str" cm="1">
        <f t="array" ref="M22">IF(I22="","",INDEX(Journal!$L$6:$L$507,I22))</f>
        <v/>
      </c>
      <c r="N22" s="114"/>
    </row>
    <row r="23" spans="2:14" x14ac:dyDescent="0.35">
      <c r="B23" s="39" t="str">
        <f t="shared" si="0"/>
        <v/>
      </c>
      <c r="C23" s="111"/>
      <c r="D23" s="112"/>
      <c r="E23" s="113"/>
      <c r="F23" s="113"/>
      <c r="G23" s="114"/>
      <c r="I23" s="39" t="str" cm="1">
        <f t="array" ref="I23">IF($C$6="","",IFERROR(SMALL(IF(Journal!$G$6:$G$507=$C$6,ROW(Journal!$G$6:$G$507)-4),ROW()-10),""))</f>
        <v/>
      </c>
      <c r="J23" s="100" t="str" cm="1">
        <f t="array" ref="J23">IF(I23="","",INDEX(Journal!$B$6:$B$507,I23))</f>
        <v/>
      </c>
      <c r="K23" s="26" t="str" cm="1">
        <f t="array" ref="K23">IF(I23="","",INDEX(Journal!$J$6:$J$507,I23))</f>
        <v/>
      </c>
      <c r="L23" s="95" t="str" cm="1">
        <f t="array" ref="L23">IF(I23="","",INDEX(Journal!$K$6:$K$507,I23))</f>
        <v/>
      </c>
      <c r="M23" s="95" t="str" cm="1">
        <f t="array" ref="M23">IF(I23="","",INDEX(Journal!$L$6:$L$507,I23))</f>
        <v/>
      </c>
      <c r="N23" s="114"/>
    </row>
    <row r="24" spans="2:14" x14ac:dyDescent="0.35">
      <c r="B24" s="39" t="str">
        <f t="shared" si="0"/>
        <v/>
      </c>
      <c r="C24" s="111"/>
      <c r="D24" s="112"/>
      <c r="E24" s="113"/>
      <c r="F24" s="113"/>
      <c r="G24" s="114"/>
      <c r="I24" s="39" t="str" cm="1">
        <f t="array" ref="I24">IF($C$6="","",IFERROR(SMALL(IF(Journal!$G$6:$G$507=$C$6,ROW(Journal!$G$6:$G$507)-4),ROW()-10),""))</f>
        <v/>
      </c>
      <c r="J24" s="100" t="str" cm="1">
        <f t="array" ref="J24">IF(I24="","",INDEX(Journal!$B$6:$B$507,I24))</f>
        <v/>
      </c>
      <c r="K24" s="26" t="str" cm="1">
        <f t="array" ref="K24">IF(I24="","",INDEX(Journal!$J$6:$J$507,I24))</f>
        <v/>
      </c>
      <c r="L24" s="95" t="str" cm="1">
        <f t="array" ref="L24">IF(I24="","",INDEX(Journal!$K$6:$K$507,I24))</f>
        <v/>
      </c>
      <c r="M24" s="95" t="str" cm="1">
        <f t="array" ref="M24">IF(I24="","",INDEX(Journal!$L$6:$L$507,I24))</f>
        <v/>
      </c>
      <c r="N24" s="114"/>
    </row>
    <row r="25" spans="2:14" x14ac:dyDescent="0.35">
      <c r="B25" s="39" t="str">
        <f t="shared" si="0"/>
        <v/>
      </c>
      <c r="C25" s="111"/>
      <c r="D25" s="112"/>
      <c r="E25" s="113"/>
      <c r="F25" s="113"/>
      <c r="G25" s="114"/>
      <c r="I25" s="39" t="str" cm="1">
        <f t="array" ref="I25">IF($C$6="","",IFERROR(SMALL(IF(Journal!$G$6:$G$507=$C$6,ROW(Journal!$G$6:$G$507)-4),ROW()-10),""))</f>
        <v/>
      </c>
      <c r="J25" s="100" t="str" cm="1">
        <f t="array" ref="J25">IF(I25="","",INDEX(Journal!$B$6:$B$507,I25))</f>
        <v/>
      </c>
      <c r="K25" s="26" t="str" cm="1">
        <f t="array" ref="K25">IF(I25="","",INDEX(Journal!$J$6:$J$507,I25))</f>
        <v/>
      </c>
      <c r="L25" s="95" t="str" cm="1">
        <f t="array" ref="L25">IF(I25="","",INDEX(Journal!$K$6:$K$507,I25))</f>
        <v/>
      </c>
      <c r="M25" s="95" t="str" cm="1">
        <f t="array" ref="M25">IF(I25="","",INDEX(Journal!$L$6:$L$507,I25))</f>
        <v/>
      </c>
      <c r="N25" s="114"/>
    </row>
    <row r="26" spans="2:14" x14ac:dyDescent="0.35">
      <c r="B26" s="39" t="str">
        <f t="shared" si="0"/>
        <v/>
      </c>
      <c r="C26" s="111"/>
      <c r="D26" s="112"/>
      <c r="E26" s="113"/>
      <c r="F26" s="113"/>
      <c r="G26" s="114"/>
      <c r="I26" s="39" t="str" cm="1">
        <f t="array" ref="I26">IF($C$6="","",IFERROR(SMALL(IF(Journal!$G$6:$G$507=$C$6,ROW(Journal!$G$6:$G$507)-4),ROW()-10),""))</f>
        <v/>
      </c>
      <c r="J26" s="100" t="str" cm="1">
        <f t="array" ref="J26">IF(I26="","",INDEX(Journal!$B$6:$B$507,I26))</f>
        <v/>
      </c>
      <c r="K26" s="26" t="str" cm="1">
        <f t="array" ref="K26">IF(I26="","",INDEX(Journal!$J$6:$J$507,I26))</f>
        <v/>
      </c>
      <c r="L26" s="95" t="str" cm="1">
        <f t="array" ref="L26">IF(I26="","",INDEX(Journal!$K$6:$K$507,I26))</f>
        <v/>
      </c>
      <c r="M26" s="95" t="str" cm="1">
        <f t="array" ref="M26">IF(I26="","",INDEX(Journal!$L$6:$L$507,I26))</f>
        <v/>
      </c>
      <c r="N26" s="114"/>
    </row>
    <row r="27" spans="2:14" x14ac:dyDescent="0.35">
      <c r="B27" s="39" t="str">
        <f t="shared" si="0"/>
        <v/>
      </c>
      <c r="C27" s="111"/>
      <c r="D27" s="112"/>
      <c r="E27" s="113"/>
      <c r="F27" s="113"/>
      <c r="G27" s="114"/>
      <c r="I27" s="39" t="str" cm="1">
        <f t="array" ref="I27">IF($C$6="","",IFERROR(SMALL(IF(Journal!$G$6:$G$507=$C$6,ROW(Journal!$G$6:$G$507)-4),ROW()-10),""))</f>
        <v/>
      </c>
      <c r="J27" s="100" t="str" cm="1">
        <f t="array" ref="J27">IF(I27="","",INDEX(Journal!$B$6:$B$507,I27))</f>
        <v/>
      </c>
      <c r="K27" s="26" t="str" cm="1">
        <f t="array" ref="K27">IF(I27="","",INDEX(Journal!$J$6:$J$507,I27))</f>
        <v/>
      </c>
      <c r="L27" s="95" t="str" cm="1">
        <f t="array" ref="L27">IF(I27="","",INDEX(Journal!$K$6:$K$507,I27))</f>
        <v/>
      </c>
      <c r="M27" s="95" t="str" cm="1">
        <f t="array" ref="M27">IF(I27="","",INDEX(Journal!$L$6:$L$507,I27))</f>
        <v/>
      </c>
      <c r="N27" s="114"/>
    </row>
    <row r="28" spans="2:14" x14ac:dyDescent="0.35">
      <c r="B28" s="39" t="str">
        <f t="shared" si="0"/>
        <v/>
      </c>
      <c r="C28" s="111"/>
      <c r="D28" s="112"/>
      <c r="E28" s="113"/>
      <c r="F28" s="113"/>
      <c r="G28" s="114"/>
      <c r="I28" s="39" t="str" cm="1">
        <f t="array" ref="I28">IF($C$6="","",IFERROR(SMALL(IF(Journal!$G$6:$G$507=$C$6,ROW(Journal!$G$6:$G$507)-4),ROW()-10),""))</f>
        <v/>
      </c>
      <c r="J28" s="100" t="str" cm="1">
        <f t="array" ref="J28">IF(I28="","",INDEX(Journal!$B$6:$B$507,I28))</f>
        <v/>
      </c>
      <c r="K28" s="26" t="str" cm="1">
        <f t="array" ref="K28">IF(I28="","",INDEX(Journal!$J$6:$J$507,I28))</f>
        <v/>
      </c>
      <c r="L28" s="95" t="str" cm="1">
        <f t="array" ref="L28">IF(I28="","",INDEX(Journal!$K$6:$K$507,I28))</f>
        <v/>
      </c>
      <c r="M28" s="95" t="str" cm="1">
        <f t="array" ref="M28">IF(I28="","",INDEX(Journal!$L$6:$L$507,I28))</f>
        <v/>
      </c>
      <c r="N28" s="114"/>
    </row>
    <row r="29" spans="2:14" x14ac:dyDescent="0.35">
      <c r="B29" s="39" t="str">
        <f t="shared" si="0"/>
        <v/>
      </c>
      <c r="C29" s="111"/>
      <c r="D29" s="112"/>
      <c r="E29" s="113"/>
      <c r="F29" s="113"/>
      <c r="G29" s="114"/>
      <c r="I29" s="39" t="str" cm="1">
        <f t="array" ref="I29">IF($C$6="","",IFERROR(SMALL(IF(Journal!$G$6:$G$507=$C$6,ROW(Journal!$G$6:$G$507)-4),ROW()-10),""))</f>
        <v/>
      </c>
      <c r="J29" s="100" t="str" cm="1">
        <f t="array" ref="J29">IF(I29="","",INDEX(Journal!$B$6:$B$507,I29))</f>
        <v/>
      </c>
      <c r="K29" s="26" t="str" cm="1">
        <f t="array" ref="K29">IF(I29="","",INDEX(Journal!$J$6:$J$507,I29))</f>
        <v/>
      </c>
      <c r="L29" s="95" t="str" cm="1">
        <f t="array" ref="L29">IF(I29="","",INDEX(Journal!$K$6:$K$507,I29))</f>
        <v/>
      </c>
      <c r="M29" s="95" t="str" cm="1">
        <f t="array" ref="M29">IF(I29="","",INDEX(Journal!$L$6:$L$507,I29))</f>
        <v/>
      </c>
      <c r="N29" s="114"/>
    </row>
    <row r="30" spans="2:14" x14ac:dyDescent="0.35">
      <c r="B30" s="39" t="str">
        <f t="shared" si="0"/>
        <v/>
      </c>
      <c r="C30" s="111"/>
      <c r="D30" s="112"/>
      <c r="E30" s="113"/>
      <c r="F30" s="113"/>
      <c r="G30" s="114"/>
      <c r="I30" s="39" t="str" cm="1">
        <f t="array" ref="I30">IF($C$6="","",IFERROR(SMALL(IF(Journal!$G$6:$G$507=$C$6,ROW(Journal!$G$6:$G$507)-4),ROW()-10),""))</f>
        <v/>
      </c>
      <c r="J30" s="100" t="str" cm="1">
        <f t="array" ref="J30">IF(I30="","",INDEX(Journal!$B$6:$B$507,I30))</f>
        <v/>
      </c>
      <c r="K30" s="26" t="str" cm="1">
        <f t="array" ref="K30">IF(I30="","",INDEX(Journal!$J$6:$J$507,I30))</f>
        <v/>
      </c>
      <c r="L30" s="95" t="str" cm="1">
        <f t="array" ref="L30">IF(I30="","",INDEX(Journal!$K$6:$K$507,I30))</f>
        <v/>
      </c>
      <c r="M30" s="95" t="str" cm="1">
        <f t="array" ref="M30">IF(I30="","",INDEX(Journal!$L$6:$L$507,I30))</f>
        <v/>
      </c>
      <c r="N30" s="114"/>
    </row>
    <row r="31" spans="2:14" x14ac:dyDescent="0.35">
      <c r="B31" s="39" t="str">
        <f t="shared" si="0"/>
        <v/>
      </c>
      <c r="C31" s="111"/>
      <c r="D31" s="112"/>
      <c r="E31" s="113"/>
      <c r="F31" s="113"/>
      <c r="G31" s="114"/>
      <c r="I31" s="39" t="str" cm="1">
        <f t="array" ref="I31">IF($C$6="","",IFERROR(SMALL(IF(Journal!$G$6:$G$507=$C$6,ROW(Journal!$G$6:$G$507)-4),ROW()-10),""))</f>
        <v/>
      </c>
      <c r="J31" s="100" t="str" cm="1">
        <f t="array" ref="J31">IF(I31="","",INDEX(Journal!$B$6:$B$507,I31))</f>
        <v/>
      </c>
      <c r="K31" s="26" t="str" cm="1">
        <f t="array" ref="K31">IF(I31="","",INDEX(Journal!$J$6:$J$507,I31))</f>
        <v/>
      </c>
      <c r="L31" s="95" t="str" cm="1">
        <f t="array" ref="L31">IF(I31="","",INDEX(Journal!$K$6:$K$507,I31))</f>
        <v/>
      </c>
      <c r="M31" s="95" t="str" cm="1">
        <f t="array" ref="M31">IF(I31="","",INDEX(Journal!$L$6:$L$507,I31))</f>
        <v/>
      </c>
      <c r="N31" s="114"/>
    </row>
    <row r="32" spans="2:14" x14ac:dyDescent="0.35">
      <c r="B32" s="39" t="str">
        <f t="shared" si="0"/>
        <v/>
      </c>
      <c r="C32" s="111"/>
      <c r="D32" s="112"/>
      <c r="E32" s="113"/>
      <c r="F32" s="113"/>
      <c r="G32" s="114"/>
      <c r="I32" s="39" t="str" cm="1">
        <f t="array" ref="I32">IF($C$6="","",IFERROR(SMALL(IF(Journal!$G$6:$G$507=$C$6,ROW(Journal!$G$6:$G$507)-4),ROW()-10),""))</f>
        <v/>
      </c>
      <c r="J32" s="100" t="str" cm="1">
        <f t="array" ref="J32">IF(I32="","",INDEX(Journal!$B$6:$B$507,I32))</f>
        <v/>
      </c>
      <c r="K32" s="26" t="str" cm="1">
        <f t="array" ref="K32">IF(I32="","",INDEX(Journal!$J$6:$J$507,I32))</f>
        <v/>
      </c>
      <c r="L32" s="95" t="str" cm="1">
        <f t="array" ref="L32">IF(I32="","",INDEX(Journal!$K$6:$K$507,I32))</f>
        <v/>
      </c>
      <c r="M32" s="95" t="str" cm="1">
        <f t="array" ref="M32">IF(I32="","",INDEX(Journal!$L$6:$L$507,I32))</f>
        <v/>
      </c>
      <c r="N32" s="114"/>
    </row>
    <row r="33" spans="2:14" x14ac:dyDescent="0.35">
      <c r="B33" s="39" t="str">
        <f t="shared" si="0"/>
        <v/>
      </c>
      <c r="C33" s="111"/>
      <c r="D33" s="112"/>
      <c r="E33" s="113"/>
      <c r="F33" s="113"/>
      <c r="G33" s="114"/>
      <c r="I33" s="39" t="str" cm="1">
        <f t="array" ref="I33">IF($C$6="","",IFERROR(SMALL(IF(Journal!$G$6:$G$507=$C$6,ROW(Journal!$G$6:$G$507)-4),ROW()-10),""))</f>
        <v/>
      </c>
      <c r="J33" s="100" t="str" cm="1">
        <f t="array" ref="J33">IF(I33="","",INDEX(Journal!$B$6:$B$507,I33))</f>
        <v/>
      </c>
      <c r="K33" s="26" t="str" cm="1">
        <f t="array" ref="K33">IF(I33="","",INDEX(Journal!$J$6:$J$507,I33))</f>
        <v/>
      </c>
      <c r="L33" s="95" t="str" cm="1">
        <f t="array" ref="L33">IF(I33="","",INDEX(Journal!$K$6:$K$507,I33))</f>
        <v/>
      </c>
      <c r="M33" s="95" t="str" cm="1">
        <f t="array" ref="M33">IF(I33="","",INDEX(Journal!$L$6:$L$507,I33))</f>
        <v/>
      </c>
      <c r="N33" s="114"/>
    </row>
    <row r="34" spans="2:14" x14ac:dyDescent="0.35">
      <c r="B34" s="39" t="str">
        <f t="shared" si="0"/>
        <v/>
      </c>
      <c r="C34" s="111"/>
      <c r="D34" s="112"/>
      <c r="E34" s="113"/>
      <c r="F34" s="113"/>
      <c r="G34" s="114"/>
      <c r="I34" s="39" t="str" cm="1">
        <f t="array" ref="I34">IF($C$6="","",IFERROR(SMALL(IF(Journal!$G$6:$G$507=$C$6,ROW(Journal!$G$6:$G$507)-4),ROW()-10),""))</f>
        <v/>
      </c>
      <c r="J34" s="100" t="str" cm="1">
        <f t="array" ref="J34">IF(I34="","",INDEX(Journal!$B$6:$B$507,I34))</f>
        <v/>
      </c>
      <c r="K34" s="26" t="str" cm="1">
        <f t="array" ref="K34">IF(I34="","",INDEX(Journal!$J$6:$J$507,I34))</f>
        <v/>
      </c>
      <c r="L34" s="95" t="str" cm="1">
        <f t="array" ref="L34">IF(I34="","",INDEX(Journal!$K$6:$K$507,I34))</f>
        <v/>
      </c>
      <c r="M34" s="95" t="str" cm="1">
        <f t="array" ref="M34">IF(I34="","",INDEX(Journal!$L$6:$L$507,I34))</f>
        <v/>
      </c>
      <c r="N34" s="114"/>
    </row>
    <row r="35" spans="2:14" x14ac:dyDescent="0.35">
      <c r="B35" s="39" t="str">
        <f t="shared" si="0"/>
        <v/>
      </c>
      <c r="C35" s="111"/>
      <c r="D35" s="112"/>
      <c r="E35" s="113"/>
      <c r="F35" s="113"/>
      <c r="G35" s="114"/>
      <c r="I35" s="39" t="str" cm="1">
        <f t="array" ref="I35">IF($C$6="","",IFERROR(SMALL(IF(Journal!$G$6:$G$507=$C$6,ROW(Journal!$G$6:$G$507)-4),ROW()-10),""))</f>
        <v/>
      </c>
      <c r="J35" s="100" t="str" cm="1">
        <f t="array" ref="J35">IF(I35="","",INDEX(Journal!$B$6:$B$507,I35))</f>
        <v/>
      </c>
      <c r="K35" s="26" t="str" cm="1">
        <f t="array" ref="K35">IF(I35="","",INDEX(Journal!$J$6:$J$507,I35))</f>
        <v/>
      </c>
      <c r="L35" s="95" t="str" cm="1">
        <f t="array" ref="L35">IF(I35="","",INDEX(Journal!$K$6:$K$507,I35))</f>
        <v/>
      </c>
      <c r="M35" s="95" t="str" cm="1">
        <f t="array" ref="M35">IF(I35="","",INDEX(Journal!$L$6:$L$507,I35))</f>
        <v/>
      </c>
      <c r="N35" s="114"/>
    </row>
    <row r="36" spans="2:14" x14ac:dyDescent="0.35">
      <c r="B36" s="39" t="str">
        <f t="shared" si="0"/>
        <v/>
      </c>
      <c r="C36" s="111"/>
      <c r="D36" s="112"/>
      <c r="E36" s="113"/>
      <c r="F36" s="113"/>
      <c r="G36" s="114"/>
      <c r="I36" s="39" t="str" cm="1">
        <f t="array" ref="I36">IF($C$6="","",IFERROR(SMALL(IF(Journal!$G$6:$G$507=$C$6,ROW(Journal!$G$6:$G$507)-4),ROW()-10),""))</f>
        <v/>
      </c>
      <c r="J36" s="100" t="str" cm="1">
        <f t="array" ref="J36">IF(I36="","",INDEX(Journal!$B$6:$B$507,I36))</f>
        <v/>
      </c>
      <c r="K36" s="26" t="str" cm="1">
        <f t="array" ref="K36">IF(I36="","",INDEX(Journal!$J$6:$J$507,I36))</f>
        <v/>
      </c>
      <c r="L36" s="95" t="str" cm="1">
        <f t="array" ref="L36">IF(I36="","",INDEX(Journal!$K$6:$K$507,I36))</f>
        <v/>
      </c>
      <c r="M36" s="95" t="str" cm="1">
        <f t="array" ref="M36">IF(I36="","",INDEX(Journal!$L$6:$L$507,I36))</f>
        <v/>
      </c>
      <c r="N36" s="114"/>
    </row>
    <row r="37" spans="2:14" x14ac:dyDescent="0.35">
      <c r="B37" s="39" t="str">
        <f t="shared" si="0"/>
        <v/>
      </c>
      <c r="C37" s="111"/>
      <c r="D37" s="112"/>
      <c r="E37" s="113"/>
      <c r="F37" s="113"/>
      <c r="G37" s="114"/>
      <c r="I37" s="39" t="str" cm="1">
        <f t="array" ref="I37">IF($C$6="","",IFERROR(SMALL(IF(Journal!$G$6:$G$507=$C$6,ROW(Journal!$G$6:$G$507)-4),ROW()-10),""))</f>
        <v/>
      </c>
      <c r="J37" s="100" t="str" cm="1">
        <f t="array" ref="J37">IF(I37="","",INDEX(Journal!$B$6:$B$507,I37))</f>
        <v/>
      </c>
      <c r="K37" s="26" t="str" cm="1">
        <f t="array" ref="K37">IF(I37="","",INDEX(Journal!$J$6:$J$507,I37))</f>
        <v/>
      </c>
      <c r="L37" s="95" t="str" cm="1">
        <f t="array" ref="L37">IF(I37="","",INDEX(Journal!$K$6:$K$507,I37))</f>
        <v/>
      </c>
      <c r="M37" s="95" t="str" cm="1">
        <f t="array" ref="M37">IF(I37="","",INDEX(Journal!$L$6:$L$507,I37))</f>
        <v/>
      </c>
      <c r="N37" s="114"/>
    </row>
    <row r="38" spans="2:14" x14ac:dyDescent="0.35">
      <c r="B38" s="39" t="str">
        <f t="shared" si="0"/>
        <v/>
      </c>
      <c r="C38" s="111"/>
      <c r="D38" s="112"/>
      <c r="E38" s="113"/>
      <c r="F38" s="113"/>
      <c r="G38" s="114"/>
      <c r="I38" s="39" t="str" cm="1">
        <f t="array" ref="I38">IF($C$6="","",IFERROR(SMALL(IF(Journal!$G$6:$G$507=$C$6,ROW(Journal!$G$6:$G$507)-4),ROW()-10),""))</f>
        <v/>
      </c>
      <c r="J38" s="100" t="str" cm="1">
        <f t="array" ref="J38">IF(I38="","",INDEX(Journal!$B$6:$B$507,I38))</f>
        <v/>
      </c>
      <c r="K38" s="26" t="str" cm="1">
        <f t="array" ref="K38">IF(I38="","",INDEX(Journal!$J$6:$J$507,I38))</f>
        <v/>
      </c>
      <c r="L38" s="95" t="str" cm="1">
        <f t="array" ref="L38">IF(I38="","",INDEX(Journal!$K$6:$K$507,I38))</f>
        <v/>
      </c>
      <c r="M38" s="95" t="str" cm="1">
        <f t="array" ref="M38">IF(I38="","",INDEX(Journal!$L$6:$L$507,I38))</f>
        <v/>
      </c>
      <c r="N38" s="114"/>
    </row>
    <row r="39" spans="2:14" x14ac:dyDescent="0.35">
      <c r="B39" s="39" t="str">
        <f t="shared" si="0"/>
        <v/>
      </c>
      <c r="C39" s="111"/>
      <c r="D39" s="112"/>
      <c r="E39" s="113"/>
      <c r="F39" s="113"/>
      <c r="G39" s="114"/>
      <c r="I39" s="39" t="str" cm="1">
        <f t="array" ref="I39">IF($C$6="","",IFERROR(SMALL(IF(Journal!$G$6:$G$507=$C$6,ROW(Journal!$G$6:$G$507)-4),ROW()-10),""))</f>
        <v/>
      </c>
      <c r="J39" s="100" t="str" cm="1">
        <f t="array" ref="J39">IF(I39="","",INDEX(Journal!$B$6:$B$507,I39))</f>
        <v/>
      </c>
      <c r="K39" s="26" t="str" cm="1">
        <f t="array" ref="K39">IF(I39="","",INDEX(Journal!$J$6:$J$507,I39))</f>
        <v/>
      </c>
      <c r="L39" s="95" t="str" cm="1">
        <f t="array" ref="L39">IF(I39="","",INDEX(Journal!$K$6:$K$507,I39))</f>
        <v/>
      </c>
      <c r="M39" s="95" t="str" cm="1">
        <f t="array" ref="M39">IF(I39="","",INDEX(Journal!$L$6:$L$507,I39))</f>
        <v/>
      </c>
      <c r="N39" s="114"/>
    </row>
    <row r="40" spans="2:14" x14ac:dyDescent="0.35">
      <c r="B40" s="39" t="str">
        <f t="shared" si="0"/>
        <v/>
      </c>
      <c r="C40" s="111"/>
      <c r="D40" s="112"/>
      <c r="E40" s="113"/>
      <c r="F40" s="113"/>
      <c r="G40" s="114"/>
      <c r="I40" s="39" t="str" cm="1">
        <f t="array" ref="I40">IF($C$6="","",IFERROR(SMALL(IF(Journal!$G$6:$G$507=$C$6,ROW(Journal!$G$6:$G$507)-4),ROW()-10),""))</f>
        <v/>
      </c>
      <c r="J40" s="100" t="str" cm="1">
        <f t="array" ref="J40">IF(I40="","",INDEX(Journal!$B$6:$B$507,I40))</f>
        <v/>
      </c>
      <c r="K40" s="26" t="str" cm="1">
        <f t="array" ref="K40">IF(I40="","",INDEX(Journal!$J$6:$J$507,I40))</f>
        <v/>
      </c>
      <c r="L40" s="95" t="str" cm="1">
        <f t="array" ref="L40">IF(I40="","",INDEX(Journal!$K$6:$K$507,I40))</f>
        <v/>
      </c>
      <c r="M40" s="95" t="str" cm="1">
        <f t="array" ref="M40">IF(I40="","",INDEX(Journal!$L$6:$L$507,I40))</f>
        <v/>
      </c>
      <c r="N40" s="114"/>
    </row>
    <row r="41" spans="2:14" x14ac:dyDescent="0.35">
      <c r="B41" s="39" t="str">
        <f t="shared" si="0"/>
        <v/>
      </c>
      <c r="C41" s="111"/>
      <c r="D41" s="112"/>
      <c r="E41" s="113"/>
      <c r="F41" s="113"/>
      <c r="G41" s="114"/>
      <c r="I41" s="39" t="str" cm="1">
        <f t="array" ref="I41">IF($C$6="","",IFERROR(SMALL(IF(Journal!$G$6:$G$507=$C$6,ROW(Journal!$G$6:$G$507)-4),ROW()-10),""))</f>
        <v/>
      </c>
      <c r="J41" s="100" t="str" cm="1">
        <f t="array" ref="J41">IF(I41="","",INDEX(Journal!$B$6:$B$507,I41))</f>
        <v/>
      </c>
      <c r="K41" s="26" t="str" cm="1">
        <f t="array" ref="K41">IF(I41="","",INDEX(Journal!$J$6:$J$507,I41))</f>
        <v/>
      </c>
      <c r="L41" s="95" t="str" cm="1">
        <f t="array" ref="L41">IF(I41="","",INDEX(Journal!$K$6:$K$507,I41))</f>
        <v/>
      </c>
      <c r="M41" s="95" t="str" cm="1">
        <f t="array" ref="M41">IF(I41="","",INDEX(Journal!$L$6:$L$507,I41))</f>
        <v/>
      </c>
      <c r="N41" s="114"/>
    </row>
    <row r="42" spans="2:14" x14ac:dyDescent="0.35">
      <c r="B42" s="39" t="str">
        <f t="shared" si="0"/>
        <v/>
      </c>
      <c r="C42" s="111"/>
      <c r="D42" s="112"/>
      <c r="E42" s="113"/>
      <c r="F42" s="113"/>
      <c r="G42" s="114"/>
      <c r="I42" s="39" t="str" cm="1">
        <f t="array" ref="I42">IF($C$6="","",IFERROR(SMALL(IF(Journal!$G$6:$G$507=$C$6,ROW(Journal!$G$6:$G$507)-4),ROW()-10),""))</f>
        <v/>
      </c>
      <c r="J42" s="100" t="str" cm="1">
        <f t="array" ref="J42">IF(I42="","",INDEX(Journal!$B$6:$B$507,I42))</f>
        <v/>
      </c>
      <c r="K42" s="26" t="str" cm="1">
        <f t="array" ref="K42">IF(I42="","",INDEX(Journal!$J$6:$J$507,I42))</f>
        <v/>
      </c>
      <c r="L42" s="95" t="str" cm="1">
        <f t="array" ref="L42">IF(I42="","",INDEX(Journal!$K$6:$K$507,I42))</f>
        <v/>
      </c>
      <c r="M42" s="95" t="str" cm="1">
        <f t="array" ref="M42">IF(I42="","",INDEX(Journal!$L$6:$L$507,I42))</f>
        <v/>
      </c>
      <c r="N42" s="114"/>
    </row>
    <row r="43" spans="2:14" x14ac:dyDescent="0.35">
      <c r="B43" s="39" t="str">
        <f t="shared" si="0"/>
        <v/>
      </c>
      <c r="C43" s="111"/>
      <c r="D43" s="112"/>
      <c r="E43" s="113"/>
      <c r="F43" s="113"/>
      <c r="G43" s="114"/>
      <c r="I43" s="39" t="str" cm="1">
        <f t="array" ref="I43">IF($C$6="","",IFERROR(SMALL(IF(Journal!$G$6:$G$507=$C$6,ROW(Journal!$G$6:$G$507)-4),ROW()-10),""))</f>
        <v/>
      </c>
      <c r="J43" s="100" t="str" cm="1">
        <f t="array" ref="J43">IF(I43="","",INDEX(Journal!$B$6:$B$507,I43))</f>
        <v/>
      </c>
      <c r="K43" s="26" t="str" cm="1">
        <f t="array" ref="K43">IF(I43="","",INDEX(Journal!$J$6:$J$507,I43))</f>
        <v/>
      </c>
      <c r="L43" s="95" t="str" cm="1">
        <f t="array" ref="L43">IF(I43="","",INDEX(Journal!$K$6:$K$507,I43))</f>
        <v/>
      </c>
      <c r="M43" s="95" t="str" cm="1">
        <f t="array" ref="M43">IF(I43="","",INDEX(Journal!$L$6:$L$507,I43))</f>
        <v/>
      </c>
      <c r="N43" s="114"/>
    </row>
    <row r="44" spans="2:14" x14ac:dyDescent="0.35">
      <c r="B44" s="39" t="str">
        <f t="shared" si="0"/>
        <v/>
      </c>
      <c r="C44" s="111"/>
      <c r="D44" s="112"/>
      <c r="E44" s="113"/>
      <c r="F44" s="113"/>
      <c r="G44" s="114"/>
      <c r="I44" s="39" t="str" cm="1">
        <f t="array" ref="I44">IF($C$6="","",IFERROR(SMALL(IF(Journal!$G$6:$G$507=$C$6,ROW(Journal!$G$6:$G$507)-4),ROW()-10),""))</f>
        <v/>
      </c>
      <c r="J44" s="100" t="str" cm="1">
        <f t="array" ref="J44">IF(I44="","",INDEX(Journal!$B$6:$B$507,I44))</f>
        <v/>
      </c>
      <c r="K44" s="26" t="str" cm="1">
        <f t="array" ref="K44">IF(I44="","",INDEX(Journal!$J$6:$J$507,I44))</f>
        <v/>
      </c>
      <c r="L44" s="95" t="str" cm="1">
        <f t="array" ref="L44">IF(I44="","",INDEX(Journal!$K$6:$K$507,I44))</f>
        <v/>
      </c>
      <c r="M44" s="95" t="str" cm="1">
        <f t="array" ref="M44">IF(I44="","",INDEX(Journal!$L$6:$L$507,I44))</f>
        <v/>
      </c>
      <c r="N44" s="114"/>
    </row>
    <row r="45" spans="2:14" x14ac:dyDescent="0.35">
      <c r="B45" s="39" t="str">
        <f t="shared" si="0"/>
        <v/>
      </c>
      <c r="C45" s="111"/>
      <c r="D45" s="112"/>
      <c r="E45" s="113"/>
      <c r="F45" s="113"/>
      <c r="G45" s="114"/>
      <c r="I45" s="39" t="str" cm="1">
        <f t="array" ref="I45">IF($C$6="","",IFERROR(SMALL(IF(Journal!$G$6:$G$507=$C$6,ROW(Journal!$G$6:$G$507)-4),ROW()-10),""))</f>
        <v/>
      </c>
      <c r="J45" s="100" t="str" cm="1">
        <f t="array" ref="J45">IF(I45="","",INDEX(Journal!$B$6:$B$507,I45))</f>
        <v/>
      </c>
      <c r="K45" s="26" t="str" cm="1">
        <f t="array" ref="K45">IF(I45="","",INDEX(Journal!$J$6:$J$507,I45))</f>
        <v/>
      </c>
      <c r="L45" s="95" t="str" cm="1">
        <f t="array" ref="L45">IF(I45="","",INDEX(Journal!$K$6:$K$507,I45))</f>
        <v/>
      </c>
      <c r="M45" s="95" t="str" cm="1">
        <f t="array" ref="M45">IF(I45="","",INDEX(Journal!$L$6:$L$507,I45))</f>
        <v/>
      </c>
      <c r="N45" s="114"/>
    </row>
    <row r="46" spans="2:14" x14ac:dyDescent="0.35">
      <c r="B46" s="39" t="str">
        <f t="shared" si="0"/>
        <v/>
      </c>
      <c r="C46" s="111"/>
      <c r="D46" s="112"/>
      <c r="E46" s="113"/>
      <c r="F46" s="113"/>
      <c r="G46" s="114"/>
      <c r="I46" s="39" t="str" cm="1">
        <f t="array" ref="I46">IF($C$6="","",IFERROR(SMALL(IF(Journal!$G$6:$G$507=$C$6,ROW(Journal!$G$6:$G$507)-4),ROW()-10),""))</f>
        <v/>
      </c>
      <c r="J46" s="100" t="str" cm="1">
        <f t="array" ref="J46">IF(I46="","",INDEX(Journal!$B$6:$B$507,I46))</f>
        <v/>
      </c>
      <c r="K46" s="26" t="str" cm="1">
        <f t="array" ref="K46">IF(I46="","",INDEX(Journal!$J$6:$J$507,I46))</f>
        <v/>
      </c>
      <c r="L46" s="95" t="str" cm="1">
        <f t="array" ref="L46">IF(I46="","",INDEX(Journal!$K$6:$K$507,I46))</f>
        <v/>
      </c>
      <c r="M46" s="95" t="str" cm="1">
        <f t="array" ref="M46">IF(I46="","",INDEX(Journal!$L$6:$L$507,I46))</f>
        <v/>
      </c>
      <c r="N46" s="114"/>
    </row>
    <row r="47" spans="2:14" x14ac:dyDescent="0.35">
      <c r="B47" s="39" t="str">
        <f t="shared" si="0"/>
        <v/>
      </c>
      <c r="C47" s="111"/>
      <c r="D47" s="112"/>
      <c r="E47" s="113"/>
      <c r="F47" s="113"/>
      <c r="G47" s="114"/>
      <c r="I47" s="39" t="str" cm="1">
        <f t="array" ref="I47">IF($C$6="","",IFERROR(SMALL(IF(Journal!$G$6:$G$507=$C$6,ROW(Journal!$G$6:$G$507)-4),ROW()-10),""))</f>
        <v/>
      </c>
      <c r="J47" s="100" t="str" cm="1">
        <f t="array" ref="J47">IF(I47="","",INDEX(Journal!$B$6:$B$507,I47))</f>
        <v/>
      </c>
      <c r="K47" s="26" t="str" cm="1">
        <f t="array" ref="K47">IF(I47="","",INDEX(Journal!$J$6:$J$507,I47))</f>
        <v/>
      </c>
      <c r="L47" s="95" t="str" cm="1">
        <f t="array" ref="L47">IF(I47="","",INDEX(Journal!$K$6:$K$507,I47))</f>
        <v/>
      </c>
      <c r="M47" s="95" t="str" cm="1">
        <f t="array" ref="M47">IF(I47="","",INDEX(Journal!$L$6:$L$507,I47))</f>
        <v/>
      </c>
      <c r="N47" s="114"/>
    </row>
    <row r="48" spans="2:14" x14ac:dyDescent="0.35">
      <c r="B48" s="39" t="str">
        <f t="shared" si="0"/>
        <v/>
      </c>
      <c r="C48" s="111"/>
      <c r="D48" s="112"/>
      <c r="E48" s="113"/>
      <c r="F48" s="113"/>
      <c r="G48" s="114"/>
      <c r="I48" s="39" t="str" cm="1">
        <f t="array" ref="I48">IF($C$6="","",IFERROR(SMALL(IF(Journal!$G$6:$G$507=$C$6,ROW(Journal!$G$6:$G$507)-4),ROW()-10),""))</f>
        <v/>
      </c>
      <c r="J48" s="100" t="str" cm="1">
        <f t="array" ref="J48">IF(I48="","",INDEX(Journal!$B$6:$B$507,I48))</f>
        <v/>
      </c>
      <c r="K48" s="26" t="str" cm="1">
        <f t="array" ref="K48">IF(I48="","",INDEX(Journal!$J$6:$J$507,I48))</f>
        <v/>
      </c>
      <c r="L48" s="95" t="str" cm="1">
        <f t="array" ref="L48">IF(I48="","",INDEX(Journal!$K$6:$K$507,I48))</f>
        <v/>
      </c>
      <c r="M48" s="95" t="str" cm="1">
        <f t="array" ref="M48">IF(I48="","",INDEX(Journal!$L$6:$L$507,I48))</f>
        <v/>
      </c>
      <c r="N48" s="114"/>
    </row>
    <row r="49" spans="2:14" x14ac:dyDescent="0.35">
      <c r="B49" s="39" t="str">
        <f t="shared" si="0"/>
        <v/>
      </c>
      <c r="C49" s="111"/>
      <c r="D49" s="112"/>
      <c r="E49" s="113"/>
      <c r="F49" s="113"/>
      <c r="G49" s="114"/>
      <c r="I49" s="39" t="str" cm="1">
        <f t="array" ref="I49">IF($C$6="","",IFERROR(SMALL(IF(Journal!$G$6:$G$507=$C$6,ROW(Journal!$G$6:$G$507)-4),ROW()-10),""))</f>
        <v/>
      </c>
      <c r="J49" s="100" t="str" cm="1">
        <f t="array" ref="J49">IF(I49="","",INDEX(Journal!$B$6:$B$507,I49))</f>
        <v/>
      </c>
      <c r="K49" s="26" t="str" cm="1">
        <f t="array" ref="K49">IF(I49="","",INDEX(Journal!$J$6:$J$507,I49))</f>
        <v/>
      </c>
      <c r="L49" s="95" t="str" cm="1">
        <f t="array" ref="L49">IF(I49="","",INDEX(Journal!$K$6:$K$507,I49))</f>
        <v/>
      </c>
      <c r="M49" s="95" t="str" cm="1">
        <f t="array" ref="M49">IF(I49="","",INDEX(Journal!$L$6:$L$507,I49))</f>
        <v/>
      </c>
      <c r="N49" s="114"/>
    </row>
    <row r="50" spans="2:14" x14ac:dyDescent="0.35">
      <c r="B50" s="39" t="str">
        <f t="shared" si="0"/>
        <v/>
      </c>
      <c r="C50" s="111"/>
      <c r="D50" s="112"/>
      <c r="E50" s="113"/>
      <c r="F50" s="113"/>
      <c r="G50" s="114"/>
      <c r="I50" s="39" t="str" cm="1">
        <f t="array" ref="I50">IF($C$6="","",IFERROR(SMALL(IF(Journal!$G$6:$G$507=$C$6,ROW(Journal!$G$6:$G$507)-4),ROW()-10),""))</f>
        <v/>
      </c>
      <c r="J50" s="100" t="str" cm="1">
        <f t="array" ref="J50">IF(I50="","",INDEX(Journal!$B$6:$B$507,I50))</f>
        <v/>
      </c>
      <c r="K50" s="26" t="str" cm="1">
        <f t="array" ref="K50">IF(I50="","",INDEX(Journal!$J$6:$J$507,I50))</f>
        <v/>
      </c>
      <c r="L50" s="95" t="str" cm="1">
        <f t="array" ref="L50">IF(I50="","",INDEX(Journal!$K$6:$K$507,I50))</f>
        <v/>
      </c>
      <c r="M50" s="95" t="str" cm="1">
        <f t="array" ref="M50">IF(I50="","",INDEX(Journal!$L$6:$L$507,I50))</f>
        <v/>
      </c>
      <c r="N50" s="114"/>
    </row>
    <row r="51" spans="2:14" x14ac:dyDescent="0.35">
      <c r="B51" s="39" t="str">
        <f t="shared" si="0"/>
        <v/>
      </c>
      <c r="C51" s="111"/>
      <c r="D51" s="112"/>
      <c r="E51" s="113"/>
      <c r="F51" s="113"/>
      <c r="G51" s="114"/>
      <c r="I51" s="39" t="str" cm="1">
        <f t="array" ref="I51">IF($C$6="","",IFERROR(SMALL(IF(Journal!$G$6:$G$507=$C$6,ROW(Journal!$G$6:$G$507)-4),ROW()-10),""))</f>
        <v/>
      </c>
      <c r="J51" s="100" t="str" cm="1">
        <f t="array" ref="J51">IF(I51="","",INDEX(Journal!$B$6:$B$507,I51))</f>
        <v/>
      </c>
      <c r="K51" s="26" t="str" cm="1">
        <f t="array" ref="K51">IF(I51="","",INDEX(Journal!$J$6:$J$507,I51))</f>
        <v/>
      </c>
      <c r="L51" s="95" t="str" cm="1">
        <f t="array" ref="L51">IF(I51="","",INDEX(Journal!$K$6:$K$507,I51))</f>
        <v/>
      </c>
      <c r="M51" s="95" t="str" cm="1">
        <f t="array" ref="M51">IF(I51="","",INDEX(Journal!$L$6:$L$507,I51))</f>
        <v/>
      </c>
      <c r="N51" s="114"/>
    </row>
    <row r="52" spans="2:14" x14ac:dyDescent="0.35">
      <c r="B52" s="39" t="str">
        <f t="shared" si="0"/>
        <v/>
      </c>
      <c r="C52" s="111"/>
      <c r="D52" s="112"/>
      <c r="E52" s="113"/>
      <c r="F52" s="113"/>
      <c r="G52" s="114"/>
      <c r="I52" s="39" t="str" cm="1">
        <f t="array" ref="I52">IF($C$6="","",IFERROR(SMALL(IF(Journal!$G$6:$G$507=$C$6,ROW(Journal!$G$6:$G$507)-4),ROW()-10),""))</f>
        <v/>
      </c>
      <c r="J52" s="100" t="str" cm="1">
        <f t="array" ref="J52">IF(I52="","",INDEX(Journal!$B$6:$B$507,I52))</f>
        <v/>
      </c>
      <c r="K52" s="26" t="str" cm="1">
        <f t="array" ref="K52">IF(I52="","",INDEX(Journal!$J$6:$J$507,I52))</f>
        <v/>
      </c>
      <c r="L52" s="95" t="str" cm="1">
        <f t="array" ref="L52">IF(I52="","",INDEX(Journal!$K$6:$K$507,I52))</f>
        <v/>
      </c>
      <c r="M52" s="95" t="str" cm="1">
        <f t="array" ref="M52">IF(I52="","",INDEX(Journal!$L$6:$L$507,I52))</f>
        <v/>
      </c>
      <c r="N52" s="114"/>
    </row>
    <row r="53" spans="2:14" x14ac:dyDescent="0.35">
      <c r="B53" s="39" t="str">
        <f t="shared" si="0"/>
        <v/>
      </c>
      <c r="C53" s="111"/>
      <c r="D53" s="112"/>
      <c r="E53" s="113"/>
      <c r="F53" s="113"/>
      <c r="G53" s="114"/>
      <c r="I53" s="39" t="str" cm="1">
        <f t="array" ref="I53">IF($C$6="","",IFERROR(SMALL(IF(Journal!$G$6:$G$507=$C$6,ROW(Journal!$G$6:$G$507)-4),ROW()-10),""))</f>
        <v/>
      </c>
      <c r="J53" s="100" t="str" cm="1">
        <f t="array" ref="J53">IF(I53="","",INDEX(Journal!$B$6:$B$507,I53))</f>
        <v/>
      </c>
      <c r="K53" s="26" t="str" cm="1">
        <f t="array" ref="K53">IF(I53="","",INDEX(Journal!$J$6:$J$507,I53))</f>
        <v/>
      </c>
      <c r="L53" s="95" t="str" cm="1">
        <f t="array" ref="L53">IF(I53="","",INDEX(Journal!$K$6:$K$507,I53))</f>
        <v/>
      </c>
      <c r="M53" s="95" t="str" cm="1">
        <f t="array" ref="M53">IF(I53="","",INDEX(Journal!$L$6:$L$507,I53))</f>
        <v/>
      </c>
      <c r="N53" s="114"/>
    </row>
    <row r="54" spans="2:14" x14ac:dyDescent="0.35">
      <c r="B54" s="39" t="str">
        <f t="shared" si="0"/>
        <v/>
      </c>
      <c r="C54" s="111"/>
      <c r="D54" s="112"/>
      <c r="E54" s="113"/>
      <c r="F54" s="113"/>
      <c r="G54" s="114"/>
      <c r="I54" s="39" t="str" cm="1">
        <f t="array" ref="I54">IF($C$6="","",IFERROR(SMALL(IF(Journal!$G$6:$G$507=$C$6,ROW(Journal!$G$6:$G$507)-4),ROW()-10),""))</f>
        <v/>
      </c>
      <c r="J54" s="100" t="str" cm="1">
        <f t="array" ref="J54">IF(I54="","",INDEX(Journal!$B$6:$B$507,I54))</f>
        <v/>
      </c>
      <c r="K54" s="26" t="str" cm="1">
        <f t="array" ref="K54">IF(I54="","",INDEX(Journal!$J$6:$J$507,I54))</f>
        <v/>
      </c>
      <c r="L54" s="95" t="str" cm="1">
        <f t="array" ref="L54">IF(I54="","",INDEX(Journal!$K$6:$K$507,I54))</f>
        <v/>
      </c>
      <c r="M54" s="95" t="str" cm="1">
        <f t="array" ref="M54">IF(I54="","",INDEX(Journal!$L$6:$L$507,I54))</f>
        <v/>
      </c>
      <c r="N54" s="114"/>
    </row>
    <row r="55" spans="2:14" x14ac:dyDescent="0.35">
      <c r="B55" s="39" t="str">
        <f t="shared" si="0"/>
        <v/>
      </c>
      <c r="C55" s="111"/>
      <c r="D55" s="112"/>
      <c r="E55" s="113"/>
      <c r="F55" s="113"/>
      <c r="G55" s="114"/>
      <c r="I55" s="39" t="str" cm="1">
        <f t="array" ref="I55">IF($C$6="","",IFERROR(SMALL(IF(Journal!$G$6:$G$507=$C$6,ROW(Journal!$G$6:$G$507)-4),ROW()-10),""))</f>
        <v/>
      </c>
      <c r="J55" s="100" t="str" cm="1">
        <f t="array" ref="J55">IF(I55="","",INDEX(Journal!$B$6:$B$507,I55))</f>
        <v/>
      </c>
      <c r="K55" s="26" t="str" cm="1">
        <f t="array" ref="K55">IF(I55="","",INDEX(Journal!$J$6:$J$507,I55))</f>
        <v/>
      </c>
      <c r="L55" s="95" t="str" cm="1">
        <f t="array" ref="L55">IF(I55="","",INDEX(Journal!$K$6:$K$507,I55))</f>
        <v/>
      </c>
      <c r="M55" s="95" t="str" cm="1">
        <f t="array" ref="M55">IF(I55="","",INDEX(Journal!$L$6:$L$507,I55))</f>
        <v/>
      </c>
      <c r="N55" s="114"/>
    </row>
    <row r="56" spans="2:14" x14ac:dyDescent="0.35">
      <c r="B56" s="39" t="str">
        <f t="shared" si="0"/>
        <v/>
      </c>
      <c r="C56" s="111"/>
      <c r="D56" s="112"/>
      <c r="E56" s="113"/>
      <c r="F56" s="113"/>
      <c r="G56" s="114"/>
      <c r="I56" s="39" t="str" cm="1">
        <f t="array" ref="I56">IF($C$6="","",IFERROR(SMALL(IF(Journal!$G$6:$G$507=$C$6,ROW(Journal!$G$6:$G$507)-4),ROW()-10),""))</f>
        <v/>
      </c>
      <c r="J56" s="100" t="str" cm="1">
        <f t="array" ref="J56">IF(I56="","",INDEX(Journal!$B$6:$B$507,I56))</f>
        <v/>
      </c>
      <c r="K56" s="26" t="str" cm="1">
        <f t="array" ref="K56">IF(I56="","",INDEX(Journal!$J$6:$J$507,I56))</f>
        <v/>
      </c>
      <c r="L56" s="95" t="str" cm="1">
        <f t="array" ref="L56">IF(I56="","",INDEX(Journal!$K$6:$K$507,I56))</f>
        <v/>
      </c>
      <c r="M56" s="95" t="str" cm="1">
        <f t="array" ref="M56">IF(I56="","",INDEX(Journal!$L$6:$L$507,I56))</f>
        <v/>
      </c>
      <c r="N56" s="114"/>
    </row>
    <row r="57" spans="2:14" x14ac:dyDescent="0.35">
      <c r="B57" s="39" t="str">
        <f t="shared" si="0"/>
        <v/>
      </c>
      <c r="C57" s="111"/>
      <c r="D57" s="112"/>
      <c r="E57" s="113"/>
      <c r="F57" s="113"/>
      <c r="G57" s="114"/>
      <c r="I57" s="39" t="str" cm="1">
        <f t="array" ref="I57">IF($C$6="","",IFERROR(SMALL(IF(Journal!$G$6:$G$507=$C$6,ROW(Journal!$G$6:$G$507)-4),ROW()-10),""))</f>
        <v/>
      </c>
      <c r="J57" s="100" t="str" cm="1">
        <f t="array" ref="J57">IF(I57="","",INDEX(Journal!$B$6:$B$507,I57))</f>
        <v/>
      </c>
      <c r="K57" s="26" t="str" cm="1">
        <f t="array" ref="K57">IF(I57="","",INDEX(Journal!$J$6:$J$507,I57))</f>
        <v/>
      </c>
      <c r="L57" s="95" t="str" cm="1">
        <f t="array" ref="L57">IF(I57="","",INDEX(Journal!$K$6:$K$507,I57))</f>
        <v/>
      </c>
      <c r="M57" s="95" t="str" cm="1">
        <f t="array" ref="M57">IF(I57="","",INDEX(Journal!$L$6:$L$507,I57))</f>
        <v/>
      </c>
      <c r="N57" s="114"/>
    </row>
    <row r="58" spans="2:14" x14ac:dyDescent="0.35">
      <c r="B58" s="39" t="str">
        <f t="shared" si="0"/>
        <v/>
      </c>
      <c r="C58" s="111"/>
      <c r="D58" s="112"/>
      <c r="E58" s="113"/>
      <c r="F58" s="113"/>
      <c r="G58" s="114"/>
      <c r="I58" s="39" t="str" cm="1">
        <f t="array" ref="I58">IF($C$6="","",IFERROR(SMALL(IF(Journal!$G$6:$G$507=$C$6,ROW(Journal!$G$6:$G$507)-4),ROW()-10),""))</f>
        <v/>
      </c>
      <c r="J58" s="100" t="str" cm="1">
        <f t="array" ref="J58">IF(I58="","",INDEX(Journal!$B$6:$B$507,I58))</f>
        <v/>
      </c>
      <c r="K58" s="26" t="str" cm="1">
        <f t="array" ref="K58">IF(I58="","",INDEX(Journal!$J$6:$J$507,I58))</f>
        <v/>
      </c>
      <c r="L58" s="95" t="str" cm="1">
        <f t="array" ref="L58">IF(I58="","",INDEX(Journal!$K$6:$K$507,I58))</f>
        <v/>
      </c>
      <c r="M58" s="95" t="str" cm="1">
        <f t="array" ref="M58">IF(I58="","",INDEX(Journal!$L$6:$L$507,I58))</f>
        <v/>
      </c>
      <c r="N58" s="114"/>
    </row>
    <row r="59" spans="2:14" x14ac:dyDescent="0.35">
      <c r="B59" s="39" t="str">
        <f t="shared" si="0"/>
        <v/>
      </c>
      <c r="C59" s="111"/>
      <c r="D59" s="112"/>
      <c r="E59" s="113"/>
      <c r="F59" s="113"/>
      <c r="G59" s="114"/>
      <c r="I59" s="39" t="str" cm="1">
        <f t="array" ref="I59">IF($C$6="","",IFERROR(SMALL(IF(Journal!$G$6:$G$507=$C$6,ROW(Journal!$G$6:$G$507)-4),ROW()-10),""))</f>
        <v/>
      </c>
      <c r="J59" s="100" t="str" cm="1">
        <f t="array" ref="J59">IF(I59="","",INDEX(Journal!$B$6:$B$507,I59))</f>
        <v/>
      </c>
      <c r="K59" s="26" t="str" cm="1">
        <f t="array" ref="K59">IF(I59="","",INDEX(Journal!$J$6:$J$507,I59))</f>
        <v/>
      </c>
      <c r="L59" s="95" t="str" cm="1">
        <f t="array" ref="L59">IF(I59="","",INDEX(Journal!$K$6:$K$507,I59))</f>
        <v/>
      </c>
      <c r="M59" s="95" t="str" cm="1">
        <f t="array" ref="M59">IF(I59="","",INDEX(Journal!$L$6:$L$507,I59))</f>
        <v/>
      </c>
      <c r="N59" s="114"/>
    </row>
    <row r="60" spans="2:14" x14ac:dyDescent="0.35">
      <c r="B60" s="39" t="str">
        <f t="shared" si="0"/>
        <v/>
      </c>
      <c r="C60" s="111"/>
      <c r="D60" s="112"/>
      <c r="E60" s="113"/>
      <c r="F60" s="113"/>
      <c r="G60" s="114"/>
      <c r="I60" s="39" t="str" cm="1">
        <f t="array" ref="I60">IF($C$6="","",IFERROR(SMALL(IF(Journal!$G$6:$G$507=$C$6,ROW(Journal!$G$6:$G$507)-4),ROW()-10),""))</f>
        <v/>
      </c>
      <c r="J60" s="100" t="str" cm="1">
        <f t="array" ref="J60">IF(I60="","",INDEX(Journal!$B$6:$B$507,I60))</f>
        <v/>
      </c>
      <c r="K60" s="26" t="str" cm="1">
        <f t="array" ref="K60">IF(I60="","",INDEX(Journal!$J$6:$J$507,I60))</f>
        <v/>
      </c>
      <c r="L60" s="95" t="str" cm="1">
        <f t="array" ref="L60">IF(I60="","",INDEX(Journal!$K$6:$K$507,I60))</f>
        <v/>
      </c>
      <c r="M60" s="95" t="str" cm="1">
        <f t="array" ref="M60">IF(I60="","",INDEX(Journal!$L$6:$L$507,I60))</f>
        <v/>
      </c>
      <c r="N60" s="114"/>
    </row>
    <row r="61" spans="2:14" x14ac:dyDescent="0.35">
      <c r="B61" s="103" t="s">
        <v>291</v>
      </c>
      <c r="C61" s="103"/>
      <c r="D61" s="103"/>
      <c r="E61" s="104">
        <f>SUM(E11:E60)</f>
        <v>0</v>
      </c>
      <c r="F61" s="104">
        <f>SUM(F11:F60)</f>
        <v>0</v>
      </c>
      <c r="G61" s="103"/>
      <c r="I61" s="103" t="s">
        <v>291</v>
      </c>
      <c r="J61" s="103"/>
      <c r="K61" s="103"/>
      <c r="L61" s="104">
        <f>SUMIF(I11:I60,"&lt;&gt;",L11:L60)</f>
        <v>0</v>
      </c>
      <c r="M61" s="104">
        <f>SUMIF(I11:I60,"&lt;&gt;",M11:M60)</f>
        <v>0</v>
      </c>
      <c r="N61" s="103"/>
    </row>
    <row r="63" spans="2:14" ht="16" x14ac:dyDescent="0.4">
      <c r="B63" s="87" t="s">
        <v>1041</v>
      </c>
      <c r="C63" s="87"/>
      <c r="D63" s="87"/>
      <c r="E63" s="87"/>
      <c r="F63" s="87"/>
      <c r="G63" s="87"/>
    </row>
    <row r="64" spans="2:14" x14ac:dyDescent="0.35">
      <c r="B64" s="20" t="s">
        <v>1044</v>
      </c>
      <c r="C64" s="20"/>
      <c r="D64" s="20"/>
      <c r="E64" s="20"/>
      <c r="F64" s="20"/>
      <c r="G64" s="20"/>
    </row>
    <row r="66" spans="2:6" x14ac:dyDescent="0.35">
      <c r="B66" s="105" t="s">
        <v>659</v>
      </c>
      <c r="C66" s="105" t="s">
        <v>1042</v>
      </c>
      <c r="D66" s="105" t="s">
        <v>1043</v>
      </c>
      <c r="E66" s="105" t="s">
        <v>733</v>
      </c>
      <c r="F66" s="105" t="s">
        <v>734</v>
      </c>
    </row>
    <row r="67" spans="2:6" x14ac:dyDescent="0.35">
      <c r="B67" s="106" t="s">
        <v>343</v>
      </c>
      <c r="C67" s="95">
        <f t="shared" ref="C67:C72" si="1">SUMIF($G$11:$G$60,B67,$E$11:$E$60)+SUMIF($G$11:$G$60,B67,$F$11:$F$60)</f>
        <v>0</v>
      </c>
      <c r="D67" s="95">
        <f t="shared" ref="D67:D72" si="2">SUMIF($N$11:$N$60,B67,$L$11:$L$60)+SUMIF($N$11:$N$60,B67,$M$11:$M$60)</f>
        <v>0</v>
      </c>
      <c r="E67" s="95">
        <f t="shared" ref="E67:E72" si="3">C67-D67</f>
        <v>0</v>
      </c>
      <c r="F67" s="39" t="str">
        <f t="shared" ref="F67:F72" si="4">IF(AND(C67=0,D67=0),"",IF(ABS(E67)&lt;0.01,"✓","⚠"))</f>
        <v/>
      </c>
    </row>
    <row r="68" spans="2:6" x14ac:dyDescent="0.35">
      <c r="B68" s="106" t="s">
        <v>345</v>
      </c>
      <c r="C68" s="95">
        <f t="shared" si="1"/>
        <v>0</v>
      </c>
      <c r="D68" s="95">
        <f t="shared" si="2"/>
        <v>0</v>
      </c>
      <c r="E68" s="95">
        <f t="shared" si="3"/>
        <v>0</v>
      </c>
      <c r="F68" s="39" t="str">
        <f t="shared" si="4"/>
        <v/>
      </c>
    </row>
    <row r="69" spans="2:6" x14ac:dyDescent="0.35">
      <c r="B69" s="106" t="s">
        <v>347</v>
      </c>
      <c r="C69" s="95">
        <f t="shared" si="1"/>
        <v>0</v>
      </c>
      <c r="D69" s="95">
        <f t="shared" si="2"/>
        <v>0</v>
      </c>
      <c r="E69" s="95">
        <f t="shared" si="3"/>
        <v>0</v>
      </c>
      <c r="F69" s="39" t="str">
        <f t="shared" si="4"/>
        <v/>
      </c>
    </row>
    <row r="70" spans="2:6" x14ac:dyDescent="0.35">
      <c r="B70" s="106" t="s">
        <v>349</v>
      </c>
      <c r="C70" s="95">
        <f t="shared" si="1"/>
        <v>0</v>
      </c>
      <c r="D70" s="95">
        <f t="shared" si="2"/>
        <v>0</v>
      </c>
      <c r="E70" s="95">
        <f t="shared" si="3"/>
        <v>0</v>
      </c>
      <c r="F70" s="39" t="str">
        <f t="shared" si="4"/>
        <v/>
      </c>
    </row>
    <row r="71" spans="2:6" x14ac:dyDescent="0.35">
      <c r="B71" s="106" t="s">
        <v>351</v>
      </c>
      <c r="C71" s="95">
        <f t="shared" si="1"/>
        <v>0</v>
      </c>
      <c r="D71" s="95">
        <f t="shared" si="2"/>
        <v>0</v>
      </c>
      <c r="E71" s="95">
        <f t="shared" si="3"/>
        <v>0</v>
      </c>
      <c r="F71" s="39" t="str">
        <f t="shared" si="4"/>
        <v/>
      </c>
    </row>
    <row r="72" spans="2:6" x14ac:dyDescent="0.35">
      <c r="B72" s="106" t="s">
        <v>353</v>
      </c>
      <c r="C72" s="95">
        <f t="shared" si="1"/>
        <v>0</v>
      </c>
      <c r="D72" s="95">
        <f t="shared" si="2"/>
        <v>0</v>
      </c>
      <c r="E72" s="95">
        <f t="shared" si="3"/>
        <v>0</v>
      </c>
      <c r="F72" s="39" t="str">
        <f t="shared" si="4"/>
        <v/>
      </c>
    </row>
  </sheetData>
  <sheetProtection sheet="1" objects="1" scenarios="1" sort="0" autoFilter="0"/>
  <conditionalFormatting sqref="G11:G60">
    <cfRule type="cellIs" priority="1" operator="between"/>
  </conditionalFormatting>
  <conditionalFormatting sqref="F67:F72">
    <cfRule type="containsText" dxfId="3" priority="2" operator="containsText" text="✓">
      <formula>NOT(ISERROR(SEARCH("✓",F67)))</formula>
    </cfRule>
  </conditionalFormatting>
  <conditionalFormatting sqref="F67:F72">
    <cfRule type="containsText" dxfId="2" priority="3" operator="containsText" text="⚠">
      <formula>NOT(ISERROR(SEARCH("⚠",F67)))</formula>
    </cfRule>
  </conditionalFormatting>
  <conditionalFormatting sqref="S16">
    <cfRule type="containsText" dxfId="1" priority="4" operator="containsText" text="OK">
      <formula>NOT(ISERROR(SEARCH("OK",S16)))</formula>
    </cfRule>
  </conditionalFormatting>
  <conditionalFormatting sqref="S16">
    <cfRule type="containsText" dxfId="0" priority="5" operator="containsText" text="ÉCART">
      <formula>NOT(ISERROR(SEARCH("ÉCART",S16)))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97EB-ADA4-4FD5-9CCC-4F50F14A6929}">
  <sheetPr codeName="Feuil57"/>
  <dimension ref="A1:F19"/>
  <sheetViews>
    <sheetView showGridLines="0" workbookViewId="0"/>
  </sheetViews>
  <sheetFormatPr baseColWidth="10" defaultRowHeight="14.5" x14ac:dyDescent="0.35"/>
  <cols>
    <col min="2" max="2" width="54.54296875" bestFit="1" customWidth="1"/>
    <col min="3" max="4" width="8.1796875" bestFit="1" customWidth="1"/>
    <col min="5" max="5" width="5.54296875" bestFit="1" customWidth="1"/>
    <col min="6" max="6" width="6.453125" bestFit="1" customWidth="1"/>
  </cols>
  <sheetData>
    <row r="1" spans="1:6" x14ac:dyDescent="0.35">
      <c r="A1" s="15" t="str">
        <f>HYPERLINK("#'PAGE DE GARDE'!A1","⬅ Menu")</f>
        <v>⬅ Menu</v>
      </c>
      <c r="B1" s="33" t="s">
        <v>1201</v>
      </c>
    </row>
    <row r="2" spans="1:6" ht="18.5" x14ac:dyDescent="0.45">
      <c r="B2" s="18" t="s">
        <v>729</v>
      </c>
      <c r="C2" s="18"/>
      <c r="D2" s="18"/>
      <c r="E2" s="18"/>
      <c r="F2" s="18"/>
    </row>
    <row r="4" spans="1:6" x14ac:dyDescent="0.35">
      <c r="B4" s="31" t="s">
        <v>730</v>
      </c>
      <c r="C4" s="31" t="s">
        <v>731</v>
      </c>
      <c r="D4" s="31" t="s">
        <v>732</v>
      </c>
      <c r="E4" s="31" t="s">
        <v>733</v>
      </c>
      <c r="F4" s="31" t="s">
        <v>734</v>
      </c>
    </row>
    <row r="6" spans="1:6" x14ac:dyDescent="0.35">
      <c r="B6" t="s">
        <v>735</v>
      </c>
      <c r="C6" s="78">
        <f>Journal!J508</f>
        <v>0</v>
      </c>
      <c r="D6" s="78">
        <f>Journal!K508</f>
        <v>0</v>
      </c>
      <c r="E6" s="78">
        <f t="shared" ref="E6:E11" si="0">C6-D6</f>
        <v>0</v>
      </c>
      <c r="F6" t="str">
        <f t="shared" ref="F6:F11" si="1">IF(ABS(E6)&lt;1,"OK","ERREUR")</f>
        <v>OK</v>
      </c>
    </row>
    <row r="7" spans="1:6" x14ac:dyDescent="0.35">
      <c r="B7" t="s">
        <v>736</v>
      </c>
      <c r="C7" s="78">
        <f>ACTIF!G42</f>
        <v>0</v>
      </c>
      <c r="D7" s="78">
        <f>PASSIF!E38</f>
        <v>0</v>
      </c>
      <c r="E7" s="78">
        <f t="shared" si="0"/>
        <v>0</v>
      </c>
      <c r="F7" t="str">
        <f t="shared" si="1"/>
        <v>OK</v>
      </c>
    </row>
    <row r="8" spans="1:6" x14ac:dyDescent="0.35">
      <c r="B8" t="s">
        <v>737</v>
      </c>
      <c r="C8" s="78">
        <f>'Compte de Résultat'!E44</f>
        <v>0</v>
      </c>
      <c r="D8" s="78">
        <f>PASSIF!E14</f>
        <v>0</v>
      </c>
      <c r="E8" s="78">
        <f t="shared" si="0"/>
        <v>0</v>
      </c>
      <c r="F8" t="str">
        <f t="shared" si="1"/>
        <v>OK</v>
      </c>
    </row>
    <row r="9" spans="1:6" x14ac:dyDescent="0.35">
      <c r="B9" t="s">
        <v>738</v>
      </c>
      <c r="C9" s="78">
        <f>'Balance Générale'!G306</f>
        <v>0</v>
      </c>
      <c r="D9" s="78">
        <f>'Balance Générale'!H306</f>
        <v>0</v>
      </c>
      <c r="E9" s="78">
        <f t="shared" si="0"/>
        <v>0</v>
      </c>
      <c r="F9" t="str">
        <f t="shared" si="1"/>
        <v>OK</v>
      </c>
    </row>
    <row r="10" spans="1:6" x14ac:dyDescent="0.35">
      <c r="B10" t="s">
        <v>739</v>
      </c>
      <c r="C10" s="78">
        <f>ACTIF!E25-ACTIF!F25</f>
        <v>0</v>
      </c>
      <c r="D10" s="78">
        <f>ACTIF!G25</f>
        <v>0</v>
      </c>
      <c r="E10" s="78">
        <f t="shared" si="0"/>
        <v>0</v>
      </c>
      <c r="F10" t="str">
        <f t="shared" si="1"/>
        <v>OK</v>
      </c>
    </row>
    <row r="11" spans="1:6" x14ac:dyDescent="0.35">
      <c r="B11" t="s">
        <v>740</v>
      </c>
      <c r="C11" s="78">
        <f>PASSIF!E17</f>
        <v>0</v>
      </c>
      <c r="D11" s="78">
        <f>SUM(PASSIF!E6:E16)</f>
        <v>0</v>
      </c>
      <c r="E11" s="78">
        <f t="shared" si="0"/>
        <v>0</v>
      </c>
      <c r="F11" t="str">
        <f t="shared" si="1"/>
        <v>OK</v>
      </c>
    </row>
    <row r="13" spans="1:6" x14ac:dyDescent="0.35">
      <c r="B13" s="115" t="s">
        <v>741</v>
      </c>
      <c r="C13" s="115"/>
      <c r="D13" s="115"/>
      <c r="E13" s="115"/>
      <c r="F13" s="115"/>
    </row>
    <row r="14" spans="1:6" x14ac:dyDescent="0.35">
      <c r="B14" t="s">
        <v>742</v>
      </c>
      <c r="C14">
        <f>COUNTIF(F6:F11,"ERREUR")</f>
        <v>0</v>
      </c>
    </row>
    <row r="15" spans="1:6" x14ac:dyDescent="0.35">
      <c r="B15" t="s">
        <v>743</v>
      </c>
      <c r="C15" s="4" t="str">
        <f>IF(C14=0,"LIASSE VALIDE","ANOMALIES DÉTECTÉES")</f>
        <v>LIASSE VALIDE</v>
      </c>
    </row>
    <row r="17" spans="2:2" x14ac:dyDescent="0.35">
      <c r="B17" t="s">
        <v>744</v>
      </c>
    </row>
    <row r="18" spans="2:2" x14ac:dyDescent="0.35">
      <c r="B18" s="116" t="s">
        <v>745</v>
      </c>
    </row>
    <row r="19" spans="2:2" x14ac:dyDescent="0.35">
      <c r="B19" s="117" t="s">
        <v>746</v>
      </c>
    </row>
  </sheetData>
  <sheetProtection sheet="1" objects="1" scenarios="1" sort="0" autoFilter="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3B4E2-F26B-4B6B-8AB5-724503DD8329}">
  <dimension ref="A1:G54"/>
  <sheetViews>
    <sheetView zoomScale="78" workbookViewId="0"/>
  </sheetViews>
  <sheetFormatPr baseColWidth="10" defaultRowHeight="14.5" x14ac:dyDescent="0.35"/>
  <cols>
    <col min="2" max="2" width="72" bestFit="1" customWidth="1"/>
    <col min="3" max="3" width="21" bestFit="1" customWidth="1"/>
    <col min="4" max="4" width="16.81640625" bestFit="1" customWidth="1"/>
    <col min="5" max="5" width="14" bestFit="1" customWidth="1"/>
    <col min="6" max="6" width="16.81640625" bestFit="1" customWidth="1"/>
    <col min="7" max="7" width="40" bestFit="1" customWidth="1"/>
  </cols>
  <sheetData>
    <row r="1" spans="1:7" x14ac:dyDescent="0.35">
      <c r="A1" s="15" t="str">
        <f>HYPERLINK("#'PAGE DE GARDE'!A1","⬅ Menu")</f>
        <v>⬅ Menu</v>
      </c>
      <c r="B1" s="33" t="s">
        <v>1201</v>
      </c>
    </row>
    <row r="2" spans="1:7" ht="21" x14ac:dyDescent="0.5">
      <c r="B2" s="118" t="s">
        <v>842</v>
      </c>
      <c r="C2" s="118"/>
      <c r="D2" s="118"/>
      <c r="E2" s="118"/>
      <c r="F2" s="118"/>
      <c r="G2" s="118"/>
    </row>
    <row r="3" spans="1:7" x14ac:dyDescent="0.35">
      <c r="B3" s="86" t="s">
        <v>843</v>
      </c>
      <c r="C3" s="86"/>
      <c r="D3" s="86"/>
      <c r="E3" s="86"/>
      <c r="F3" s="86"/>
      <c r="G3" s="86"/>
    </row>
    <row r="5" spans="1:7" ht="16" x14ac:dyDescent="0.4">
      <c r="B5" s="87" t="s">
        <v>844</v>
      </c>
      <c r="C5" s="87"/>
      <c r="D5" s="87"/>
      <c r="E5" s="87"/>
      <c r="F5" s="87"/>
      <c r="G5" s="87"/>
    </row>
    <row r="6" spans="1:7" x14ac:dyDescent="0.35">
      <c r="B6" s="105" t="s">
        <v>845</v>
      </c>
      <c r="C6" s="105" t="s">
        <v>846</v>
      </c>
      <c r="D6" s="105" t="s">
        <v>847</v>
      </c>
      <c r="E6" s="105" t="s">
        <v>848</v>
      </c>
      <c r="F6" s="105" t="s">
        <v>849</v>
      </c>
      <c r="G6" s="105" t="s">
        <v>850</v>
      </c>
    </row>
    <row r="7" spans="1:7" ht="26.5" x14ac:dyDescent="0.35">
      <c r="B7" s="75">
        <v>1</v>
      </c>
      <c r="C7" s="119" t="s">
        <v>851</v>
      </c>
      <c r="D7" s="119" t="s">
        <v>852</v>
      </c>
      <c r="E7" s="119" t="s">
        <v>853</v>
      </c>
      <c r="F7" s="119" t="str">
        <f>IF(E5="","",IFERROR(VLOOKUP(E5,'Plan Comptable'!$B$5:$C$278,2,FALSE),"Compte inconnu"))</f>
        <v/>
      </c>
      <c r="G7" s="119" t="s">
        <v>854</v>
      </c>
    </row>
    <row r="8" spans="1:7" x14ac:dyDescent="0.35">
      <c r="B8" s="75">
        <v>2</v>
      </c>
      <c r="C8" s="119" t="s">
        <v>855</v>
      </c>
      <c r="D8" s="119" t="s">
        <v>856</v>
      </c>
      <c r="E8" s="119" t="s">
        <v>857</v>
      </c>
      <c r="F8" s="119" t="str">
        <f>IF(OR(C5="",D5=""),"",IF(COUNTIFS($D$5:$D$507,D5,$C$5:$C$507,C5)&gt;1,"DOUBLON",""))</f>
        <v/>
      </c>
      <c r="G8" s="119" t="s">
        <v>858</v>
      </c>
    </row>
    <row r="9" spans="1:7" x14ac:dyDescent="0.35">
      <c r="B9" s="75">
        <v>3</v>
      </c>
      <c r="C9" s="119" t="s">
        <v>859</v>
      </c>
      <c r="D9" s="119" t="s">
        <v>860</v>
      </c>
      <c r="E9" s="119" t="s">
        <v>861</v>
      </c>
      <c r="F9" s="119" t="str">
        <f>IF(OR(H5="",I5=""),"",IF(ABS(H5-I5)&lt;0.01,"OK","ERR"))</f>
        <v/>
      </c>
      <c r="G9" s="119" t="s">
        <v>862</v>
      </c>
    </row>
    <row r="11" spans="1:7" ht="16" x14ac:dyDescent="0.4">
      <c r="B11" s="87" t="s">
        <v>863</v>
      </c>
      <c r="C11" s="87"/>
      <c r="D11" s="87"/>
      <c r="E11" s="87"/>
      <c r="F11" s="87"/>
      <c r="G11" s="87"/>
    </row>
    <row r="12" spans="1:7" x14ac:dyDescent="0.35">
      <c r="B12" s="105" t="s">
        <v>847</v>
      </c>
      <c r="C12" s="120" t="s">
        <v>864</v>
      </c>
      <c r="D12" s="120" t="s">
        <v>5</v>
      </c>
      <c r="E12" s="120" t="s">
        <v>865</v>
      </c>
      <c r="F12" s="120" t="s">
        <v>866</v>
      </c>
      <c r="G12" s="120" t="s">
        <v>662</v>
      </c>
    </row>
    <row r="13" spans="1:7" x14ac:dyDescent="0.35">
      <c r="B13" s="121" t="s">
        <v>867</v>
      </c>
      <c r="C13" s="26" t="s">
        <v>284</v>
      </c>
      <c r="D13" s="26" t="s">
        <v>284</v>
      </c>
      <c r="E13" s="26" t="s">
        <v>868</v>
      </c>
      <c r="F13" s="26" t="s">
        <v>869</v>
      </c>
      <c r="G13" s="26" t="s">
        <v>870</v>
      </c>
    </row>
    <row r="14" spans="1:7" x14ac:dyDescent="0.35">
      <c r="B14" s="121" t="s">
        <v>7</v>
      </c>
      <c r="C14" s="26" t="s">
        <v>285</v>
      </c>
      <c r="D14" s="26" t="s">
        <v>871</v>
      </c>
      <c r="E14" s="26" t="s">
        <v>872</v>
      </c>
      <c r="F14" s="26" t="s">
        <v>869</v>
      </c>
      <c r="G14" s="26" t="s">
        <v>873</v>
      </c>
    </row>
    <row r="15" spans="1:7" x14ac:dyDescent="0.35">
      <c r="B15" s="121" t="s">
        <v>22</v>
      </c>
      <c r="C15" s="26" t="s">
        <v>286</v>
      </c>
      <c r="D15" s="26" t="s">
        <v>871</v>
      </c>
      <c r="E15" s="26" t="s">
        <v>872</v>
      </c>
      <c r="F15" s="26" t="s">
        <v>869</v>
      </c>
      <c r="G15" s="26" t="s">
        <v>874</v>
      </c>
    </row>
    <row r="16" spans="1:7" x14ac:dyDescent="0.35">
      <c r="B16" s="121" t="s">
        <v>875</v>
      </c>
      <c r="C16" s="26" t="s">
        <v>1</v>
      </c>
      <c r="D16" s="26" t="s">
        <v>871</v>
      </c>
      <c r="E16" s="26" t="s">
        <v>872</v>
      </c>
      <c r="F16" s="26" t="s">
        <v>869</v>
      </c>
      <c r="G16" s="26" t="s">
        <v>876</v>
      </c>
    </row>
    <row r="17" spans="2:7" x14ac:dyDescent="0.35">
      <c r="B17" s="121" t="s">
        <v>852</v>
      </c>
      <c r="C17" s="26" t="s">
        <v>818</v>
      </c>
      <c r="D17" s="26" t="s">
        <v>877</v>
      </c>
      <c r="E17" s="26" t="s">
        <v>872</v>
      </c>
      <c r="F17" s="122" t="s">
        <v>878</v>
      </c>
      <c r="G17" s="26" t="s">
        <v>879</v>
      </c>
    </row>
    <row r="18" spans="2:7" x14ac:dyDescent="0.35">
      <c r="B18" s="121" t="s">
        <v>880</v>
      </c>
      <c r="C18" s="26" t="s">
        <v>287</v>
      </c>
      <c r="D18" s="26" t="s">
        <v>871</v>
      </c>
      <c r="E18" s="26" t="s">
        <v>872</v>
      </c>
      <c r="F18" s="26" t="s">
        <v>869</v>
      </c>
      <c r="G18" s="26" t="s">
        <v>881</v>
      </c>
    </row>
    <row r="19" spans="2:7" x14ac:dyDescent="0.35">
      <c r="B19" s="121" t="s">
        <v>882</v>
      </c>
      <c r="C19" s="26" t="s">
        <v>288</v>
      </c>
      <c r="D19" s="26" t="s">
        <v>822</v>
      </c>
      <c r="E19" s="26" t="s">
        <v>883</v>
      </c>
      <c r="F19" s="26" t="s">
        <v>869</v>
      </c>
      <c r="G19" s="26" t="s">
        <v>884</v>
      </c>
    </row>
    <row r="20" spans="2:7" x14ac:dyDescent="0.35">
      <c r="B20" s="121" t="s">
        <v>885</v>
      </c>
      <c r="C20" s="26" t="s">
        <v>289</v>
      </c>
      <c r="D20" s="26" t="s">
        <v>822</v>
      </c>
      <c r="E20" s="26" t="s">
        <v>883</v>
      </c>
      <c r="F20" s="26" t="s">
        <v>869</v>
      </c>
      <c r="G20" s="26" t="s">
        <v>886</v>
      </c>
    </row>
    <row r="21" spans="2:7" x14ac:dyDescent="0.35">
      <c r="B21" s="121" t="s">
        <v>860</v>
      </c>
      <c r="C21" s="26" t="s">
        <v>290</v>
      </c>
      <c r="D21" s="26" t="s">
        <v>877</v>
      </c>
      <c r="E21" s="26" t="s">
        <v>872</v>
      </c>
      <c r="F21" s="122" t="s">
        <v>878</v>
      </c>
      <c r="G21" s="26" t="s">
        <v>887</v>
      </c>
    </row>
    <row r="22" spans="2:7" x14ac:dyDescent="0.35">
      <c r="B22" s="121" t="s">
        <v>856</v>
      </c>
      <c r="C22" s="26" t="s">
        <v>819</v>
      </c>
      <c r="D22" s="26" t="s">
        <v>877</v>
      </c>
      <c r="E22" s="26" t="s">
        <v>872</v>
      </c>
      <c r="F22" s="122" t="s">
        <v>878</v>
      </c>
      <c r="G22" s="26" t="s">
        <v>888</v>
      </c>
    </row>
    <row r="24" spans="2:7" ht="16" x14ac:dyDescent="0.4">
      <c r="B24" s="123" t="s">
        <v>889</v>
      </c>
      <c r="C24" s="87"/>
      <c r="D24" s="87"/>
      <c r="E24" s="87"/>
      <c r="F24" s="87"/>
      <c r="G24" s="87"/>
    </row>
    <row r="25" spans="2:7" x14ac:dyDescent="0.35">
      <c r="B25" s="105" t="s">
        <v>730</v>
      </c>
      <c r="C25" s="105" t="s">
        <v>847</v>
      </c>
      <c r="D25" s="105" t="s">
        <v>890</v>
      </c>
      <c r="E25" s="105" t="s">
        <v>891</v>
      </c>
      <c r="F25" s="105" t="s">
        <v>892</v>
      </c>
      <c r="G25" s="105" t="s">
        <v>893</v>
      </c>
    </row>
    <row r="26" spans="2:7" x14ac:dyDescent="0.35">
      <c r="B26" s="26" t="s">
        <v>894</v>
      </c>
      <c r="C26" s="26" t="s">
        <v>895</v>
      </c>
      <c r="D26" s="26" t="s">
        <v>896</v>
      </c>
      <c r="E26" s="26" t="s">
        <v>897</v>
      </c>
      <c r="F26" s="121">
        <f>COUNTIF(Journal!$M$6:$M$508,"ERR")</f>
        <v>0</v>
      </c>
      <c r="G26" s="26" t="s">
        <v>898</v>
      </c>
    </row>
    <row r="27" spans="2:7" x14ac:dyDescent="0.35">
      <c r="B27" s="26" t="s">
        <v>899</v>
      </c>
      <c r="C27" s="26" t="s">
        <v>900</v>
      </c>
      <c r="D27" s="26" t="s">
        <v>901</v>
      </c>
      <c r="E27" s="26" t="s">
        <v>902</v>
      </c>
      <c r="F27" s="121">
        <f>COUNTIF(Journal!$N$6:$N$508,"DOUBLON")</f>
        <v>0</v>
      </c>
      <c r="G27" s="26" t="s">
        <v>903</v>
      </c>
    </row>
    <row r="28" spans="2:7" x14ac:dyDescent="0.35">
      <c r="B28" s="26" t="s">
        <v>904</v>
      </c>
      <c r="C28" s="26" t="s">
        <v>905</v>
      </c>
      <c r="D28" s="26" t="s">
        <v>906</v>
      </c>
      <c r="E28" s="26" t="s">
        <v>907</v>
      </c>
      <c r="F28" s="121">
        <f>COUNTIF(Journal!$I$6:$I$508,"Compte inconnu")</f>
        <v>1</v>
      </c>
      <c r="G28" s="26" t="s">
        <v>908</v>
      </c>
    </row>
    <row r="29" spans="2:7" x14ac:dyDescent="0.35">
      <c r="B29" s="26" t="s">
        <v>909</v>
      </c>
      <c r="C29" s="26" t="s">
        <v>910</v>
      </c>
      <c r="D29" s="26" t="s">
        <v>911</v>
      </c>
      <c r="E29" s="26" t="s">
        <v>912</v>
      </c>
      <c r="F29" s="121" cm="1">
        <f t="array" ref="F29">SUMPRODUCT((Journal!$G$6:$G$508="")*(Journal!$K$6:$K$508&lt;&gt;"")*1)</f>
        <v>0</v>
      </c>
      <c r="G29" s="26" t="s">
        <v>913</v>
      </c>
    </row>
    <row r="30" spans="2:7" x14ac:dyDescent="0.35">
      <c r="B30" s="26" t="s">
        <v>832</v>
      </c>
      <c r="C30" s="26" t="s">
        <v>914</v>
      </c>
      <c r="D30" s="26" t="s">
        <v>915</v>
      </c>
      <c r="E30" s="26" t="s">
        <v>912</v>
      </c>
      <c r="F30" s="121" cm="1">
        <f t="array" ref="F30">SUMPRODUCT((Journal!$B$6:$B$508="")*(Journal!$K$6:$K$508&lt;&gt;"")*1)</f>
        <v>1</v>
      </c>
      <c r="G30" s="26" t="s">
        <v>916</v>
      </c>
    </row>
    <row r="31" spans="2:7" ht="16" x14ac:dyDescent="0.4">
      <c r="B31" s="124" t="s">
        <v>917</v>
      </c>
      <c r="C31" s="124"/>
      <c r="D31" s="124"/>
      <c r="E31" s="124"/>
      <c r="F31" s="125">
        <f>SUM(F26:F30)</f>
        <v>2</v>
      </c>
      <c r="G31" s="124"/>
    </row>
    <row r="33" spans="2:7" ht="16" x14ac:dyDescent="0.4">
      <c r="B33" s="87" t="s">
        <v>918</v>
      </c>
      <c r="C33" s="87"/>
      <c r="D33" s="87"/>
      <c r="E33" s="87"/>
      <c r="F33" s="87"/>
      <c r="G33" s="87"/>
    </row>
    <row r="34" spans="2:7" x14ac:dyDescent="0.35">
      <c r="B34" s="105" t="s">
        <v>836</v>
      </c>
      <c r="C34" s="105" t="s">
        <v>760</v>
      </c>
    </row>
    <row r="35" spans="2:7" x14ac:dyDescent="0.35">
      <c r="B35" s="26" t="s">
        <v>919</v>
      </c>
      <c r="C35" s="126" t="s">
        <v>920</v>
      </c>
    </row>
    <row r="36" spans="2:7" x14ac:dyDescent="0.35">
      <c r="B36" s="26" t="s">
        <v>921</v>
      </c>
      <c r="C36" s="126">
        <f>COUNTA(Journal!$B$6:$B$508)</f>
        <v>0</v>
      </c>
    </row>
    <row r="37" spans="2:7" x14ac:dyDescent="0.35">
      <c r="B37" s="26" t="s">
        <v>838</v>
      </c>
      <c r="C37" s="127">
        <f>SUM(Journal!$K$6:$K$508)</f>
        <v>0</v>
      </c>
    </row>
    <row r="38" spans="2:7" x14ac:dyDescent="0.35">
      <c r="B38" s="26" t="s">
        <v>839</v>
      </c>
      <c r="C38" s="127">
        <f>SUM(Journal!$L$6:$L$508)</f>
        <v>0</v>
      </c>
    </row>
    <row r="39" spans="2:7" x14ac:dyDescent="0.35">
      <c r="B39" s="26" t="s">
        <v>922</v>
      </c>
      <c r="C39" s="127">
        <f>C37-C38</f>
        <v>0</v>
      </c>
    </row>
    <row r="40" spans="2:7" x14ac:dyDescent="0.35">
      <c r="B40" s="26" t="s">
        <v>923</v>
      </c>
      <c r="C40" cm="1">
        <f t="array" ref="C40">SUMPRODUCT((Journal!$F$6:$F$508&lt;&gt;"")/COUNTIF(Journal!$F$6:$F$508,Journal!$F$6:$F$508&amp;""))</f>
        <v>0</v>
      </c>
    </row>
    <row r="42" spans="2:7" ht="16" x14ac:dyDescent="0.4">
      <c r="B42" s="87" t="s">
        <v>924</v>
      </c>
      <c r="C42" s="87"/>
      <c r="D42" s="87"/>
      <c r="E42" s="87"/>
      <c r="F42" s="87"/>
      <c r="G42" s="87"/>
    </row>
    <row r="43" spans="2:7" x14ac:dyDescent="0.35">
      <c r="B43" s="26" t="s">
        <v>925</v>
      </c>
    </row>
    <row r="44" spans="2:7" x14ac:dyDescent="0.35">
      <c r="B44" s="26" t="s">
        <v>926</v>
      </c>
    </row>
    <row r="45" spans="2:7" x14ac:dyDescent="0.35">
      <c r="B45" s="26" t="s">
        <v>927</v>
      </c>
    </row>
    <row r="46" spans="2:7" x14ac:dyDescent="0.35">
      <c r="B46" s="26" t="s">
        <v>928</v>
      </c>
    </row>
    <row r="47" spans="2:7" x14ac:dyDescent="0.35">
      <c r="B47" s="26" t="s">
        <v>929</v>
      </c>
    </row>
    <row r="48" spans="2:7" x14ac:dyDescent="0.35">
      <c r="B48" s="26" t="s">
        <v>930</v>
      </c>
    </row>
    <row r="50" spans="2:7" ht="16" x14ac:dyDescent="0.4">
      <c r="B50" s="87" t="s">
        <v>931</v>
      </c>
      <c r="C50" s="87"/>
      <c r="D50" s="87"/>
      <c r="E50" s="87"/>
      <c r="F50" s="87"/>
      <c r="G50" s="87"/>
    </row>
    <row r="51" spans="2:7" x14ac:dyDescent="0.35">
      <c r="B51" s="48" t="s">
        <v>932</v>
      </c>
      <c r="C51" s="128">
        <v>46235</v>
      </c>
    </row>
    <row r="52" spans="2:7" x14ac:dyDescent="0.35">
      <c r="B52" s="48" t="s">
        <v>933</v>
      </c>
      <c r="C52" s="26" t="s">
        <v>934</v>
      </c>
    </row>
    <row r="53" spans="2:7" x14ac:dyDescent="0.35">
      <c r="B53" s="48" t="s">
        <v>935</v>
      </c>
      <c r="C53" s="26" t="s">
        <v>936</v>
      </c>
    </row>
    <row r="54" spans="2:7" x14ac:dyDescent="0.35">
      <c r="B54" s="48" t="s">
        <v>937</v>
      </c>
      <c r="C54" s="26" t="s">
        <v>938</v>
      </c>
    </row>
  </sheetData>
  <sheetProtection sheet="1" objects="1" scenarios="1" sort="0" autoFilter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6FFB-DC0F-43A2-A0A2-1952A6710A6E}">
  <sheetPr codeName="Feuil58"/>
  <dimension ref="A1:P55"/>
  <sheetViews>
    <sheetView showGridLines="0" workbookViewId="0">
      <selection activeCell="K19" sqref="K19"/>
    </sheetView>
  </sheetViews>
  <sheetFormatPr baseColWidth="10" defaultRowHeight="14.5" x14ac:dyDescent="0.35"/>
  <cols>
    <col min="2" max="2" width="73.453125" bestFit="1" customWidth="1"/>
    <col min="3" max="3" width="26.7265625" bestFit="1" customWidth="1"/>
    <col min="4" max="4" width="13.7265625" bestFit="1" customWidth="1"/>
    <col min="5" max="5" width="7.7265625" bestFit="1" customWidth="1"/>
    <col min="6" max="6" width="25.7265625" bestFit="1" customWidth="1"/>
    <col min="8" max="8" width="21.81640625" bestFit="1" customWidth="1"/>
    <col min="9" max="9" width="7.453125" bestFit="1" customWidth="1"/>
    <col min="10" max="10" width="11.7265625" bestFit="1" customWidth="1"/>
    <col min="12" max="12" width="14" bestFit="1" customWidth="1"/>
    <col min="13" max="13" width="7.453125" bestFit="1" customWidth="1"/>
    <col min="15" max="15" width="15.26953125" bestFit="1" customWidth="1"/>
    <col min="16" max="16" width="7.453125" bestFit="1" customWidth="1"/>
  </cols>
  <sheetData>
    <row r="1" spans="1:16" x14ac:dyDescent="0.35">
      <c r="A1" s="15" t="str">
        <f>HYPERLINK("#'PAGE DE GARDE'!A1","⬅ Menu")</f>
        <v>⬅ Menu</v>
      </c>
      <c r="B1" s="33" t="s">
        <v>1201</v>
      </c>
    </row>
    <row r="2" spans="1:16" ht="23.5" x14ac:dyDescent="0.35">
      <c r="B2" s="129" t="s">
        <v>747</v>
      </c>
      <c r="C2" s="129"/>
      <c r="D2" s="129"/>
      <c r="E2" s="129"/>
      <c r="F2" s="129"/>
      <c r="G2" s="129"/>
      <c r="H2" s="129"/>
      <c r="I2" s="129"/>
      <c r="J2" s="129"/>
    </row>
    <row r="3" spans="1:16" x14ac:dyDescent="0.35">
      <c r="B3" s="86" t="s">
        <v>748</v>
      </c>
      <c r="C3" s="86"/>
      <c r="D3" s="86"/>
      <c r="E3" s="86"/>
      <c r="F3" s="86"/>
      <c r="G3" s="86"/>
      <c r="H3" s="86"/>
      <c r="I3" s="86"/>
      <c r="J3" s="86"/>
    </row>
    <row r="5" spans="1:16" ht="16" x14ac:dyDescent="0.4">
      <c r="B5" s="123" t="s">
        <v>749</v>
      </c>
      <c r="C5" s="123"/>
      <c r="D5" s="123"/>
      <c r="E5" s="123"/>
      <c r="F5" s="123"/>
      <c r="H5" s="123" t="s">
        <v>758</v>
      </c>
      <c r="I5" s="123"/>
      <c r="J5" s="123"/>
      <c r="L5" s="130" t="s">
        <v>1056</v>
      </c>
      <c r="M5" s="130"/>
      <c r="O5" s="130" t="s">
        <v>1057</v>
      </c>
      <c r="P5" s="130"/>
    </row>
    <row r="6" spans="1:16" x14ac:dyDescent="0.35">
      <c r="B6" s="105"/>
      <c r="C6" s="105" t="s">
        <v>633</v>
      </c>
      <c r="D6" s="105" t="s">
        <v>634</v>
      </c>
      <c r="E6" s="105" t="s">
        <v>756</v>
      </c>
      <c r="F6" s="105" t="s">
        <v>757</v>
      </c>
      <c r="H6" s="105" t="s">
        <v>759</v>
      </c>
      <c r="I6" s="105" t="s">
        <v>760</v>
      </c>
      <c r="J6" s="105" t="s">
        <v>761</v>
      </c>
      <c r="L6" s="131" t="s">
        <v>775</v>
      </c>
      <c r="M6" s="131" t="s">
        <v>776</v>
      </c>
      <c r="O6" s="132" t="s">
        <v>775</v>
      </c>
      <c r="P6" s="132" t="s">
        <v>776</v>
      </c>
    </row>
    <row r="7" spans="1:16" ht="18.5" x14ac:dyDescent="0.45">
      <c r="B7" s="133" t="s">
        <v>750</v>
      </c>
      <c r="C7" s="134">
        <f>ACTIF!G42</f>
        <v>0</v>
      </c>
      <c r="D7" s="134">
        <f>ACTIF!H42</f>
        <v>0</v>
      </c>
      <c r="E7" s="135" t="str">
        <f t="shared" ref="E7:E12" si="0">IF(D7=0,"N/A",(C7-D7)/ABS(D7))</f>
        <v>N/A</v>
      </c>
      <c r="F7" s="136" t="str">
        <f t="shared" ref="F7:F12" si="1">IF(E7="N/A","—",IF(E7&gt;0.05,"▲",IF(E7&lt;-0.05,"▼","●")))</f>
        <v>—</v>
      </c>
      <c r="H7" s="137" t="s">
        <v>762</v>
      </c>
      <c r="I7" s="138" t="str">
        <f>IF(PASSIF!E33=0,"N/A",ACTIF!G36/PASSIF!E33)</f>
        <v>N/A</v>
      </c>
      <c r="J7" s="39" t="str">
        <f>IF(I7="N/A","—",IF(I7&gt;=1,"✓ Bon","⚠ Attention"))</f>
        <v>—</v>
      </c>
      <c r="L7" s="26" t="s">
        <v>777</v>
      </c>
      <c r="M7" s="95">
        <f>I17</f>
        <v>0</v>
      </c>
      <c r="O7" s="26" t="s">
        <v>752</v>
      </c>
      <c r="P7" s="95">
        <f>I20</f>
        <v>0</v>
      </c>
    </row>
    <row r="8" spans="1:16" ht="18.5" x14ac:dyDescent="0.45">
      <c r="B8" s="133" t="s">
        <v>751</v>
      </c>
      <c r="C8" s="134">
        <f>PASSIF!E38</f>
        <v>0</v>
      </c>
      <c r="D8" s="134">
        <f>PASSIF!F38</f>
        <v>0</v>
      </c>
      <c r="E8" s="135" t="str">
        <f t="shared" si="0"/>
        <v>N/A</v>
      </c>
      <c r="F8" s="136" t="str">
        <f t="shared" si="1"/>
        <v>—</v>
      </c>
      <c r="H8" s="137" t="s">
        <v>763</v>
      </c>
      <c r="I8" s="138" t="str">
        <f>IF(PASSIF!E17=0,"N/A",PASSIF!E23/PASSIF!E17)</f>
        <v>N/A</v>
      </c>
      <c r="J8" s="39" t="str">
        <f>IF(I8="N/A","—",IF(I8&lt;=1,"✓ Maîtrisé","⚠ Élevé"))</f>
        <v>—</v>
      </c>
      <c r="L8" s="26" t="s">
        <v>778</v>
      </c>
      <c r="M8" s="95">
        <f>I18</f>
        <v>0</v>
      </c>
      <c r="O8" s="26" t="s">
        <v>780</v>
      </c>
      <c r="P8" s="95">
        <f>I21</f>
        <v>0</v>
      </c>
    </row>
    <row r="9" spans="1:16" ht="18.5" x14ac:dyDescent="0.45">
      <c r="B9" s="133" t="s">
        <v>752</v>
      </c>
      <c r="C9" s="134">
        <f>PASSIF!E17</f>
        <v>0</v>
      </c>
      <c r="D9" s="134">
        <f>PASSIF!F17</f>
        <v>0</v>
      </c>
      <c r="E9" s="135" t="str">
        <f t="shared" si="0"/>
        <v>N/A</v>
      </c>
      <c r="F9" s="136" t="str">
        <f t="shared" si="1"/>
        <v>—</v>
      </c>
      <c r="H9" s="137" t="s">
        <v>764</v>
      </c>
      <c r="I9" s="138" t="str">
        <f>IF(PASSIF!E17=0,"N/A",'Compte de Résultat'!E44/PASSIF!E17)</f>
        <v>N/A</v>
      </c>
      <c r="J9" s="39" t="str">
        <f>IF(I9="N/A","—",IF(I9&gt;0.1,"✓ Rentable",IF(I9&lt;0,"⚠ Négatif","● Faible")))</f>
        <v>—</v>
      </c>
      <c r="L9" s="26" t="s">
        <v>952</v>
      </c>
      <c r="M9" s="95">
        <f>I19</f>
        <v>0</v>
      </c>
      <c r="O9" s="26" t="s">
        <v>781</v>
      </c>
      <c r="P9" s="95">
        <f>I22</f>
        <v>0</v>
      </c>
    </row>
    <row r="10" spans="1:16" ht="18.5" x14ac:dyDescent="0.45">
      <c r="B10" s="133" t="s">
        <v>753</v>
      </c>
      <c r="C10" s="134">
        <f>'Compte de Résultat'!E44</f>
        <v>0</v>
      </c>
      <c r="D10" s="134">
        <f>'Compte de Résultat'!F44</f>
        <v>0</v>
      </c>
      <c r="E10" s="135" t="str">
        <f t="shared" si="0"/>
        <v>N/A</v>
      </c>
      <c r="F10" s="136" t="str">
        <f t="shared" si="1"/>
        <v>—</v>
      </c>
      <c r="H10" s="137" t="s">
        <v>765</v>
      </c>
      <c r="I10" s="138" t="str">
        <f>IF(('Compte de Résultat'!E5+'Compte de Résultat'!E9+'Compte de Résultat'!E10)=0,"N/A",'Compte de Résultat'!E44/('Compte de Résultat'!E5+'Compte de Résultat'!E9+'Compte de Résultat'!E10))</f>
        <v>N/A</v>
      </c>
      <c r="J10" s="39" t="str">
        <f>IF(I10="N/A","—",IF(I10&gt;0.05,"✓ Bon",IF(I10&lt;0,"⚠ Négatif","● Faible")))</f>
        <v>—</v>
      </c>
    </row>
    <row r="11" spans="1:16" ht="18.5" x14ac:dyDescent="0.45">
      <c r="B11" s="133" t="s">
        <v>754</v>
      </c>
      <c r="C11" s="134">
        <f>'Compte de Résultat'!E25</f>
        <v>0</v>
      </c>
      <c r="D11" s="134">
        <f>'Compte de Résultat'!F25</f>
        <v>0</v>
      </c>
      <c r="E11" s="135" t="str">
        <f t="shared" si="0"/>
        <v>N/A</v>
      </c>
      <c r="F11" s="136" t="str">
        <f t="shared" si="1"/>
        <v>—</v>
      </c>
      <c r="H11" s="137" t="s">
        <v>766</v>
      </c>
      <c r="I11" s="138" t="str">
        <f>IF(PASSIF!E38=0,"N/A",PASSIF!E17/PASSIF!E38)</f>
        <v>N/A</v>
      </c>
      <c r="J11" s="39" t="str">
        <f>IF(I11="N/A","—",IF(I11&gt;0.5,"✓ Autonome","⚠ Dépendant"))</f>
        <v>—</v>
      </c>
    </row>
    <row r="12" spans="1:16" ht="18.5" x14ac:dyDescent="0.45">
      <c r="B12" s="133" t="s">
        <v>755</v>
      </c>
      <c r="C12" s="134">
        <f>'Compte de Résultat'!E23</f>
        <v>0</v>
      </c>
      <c r="D12" s="134">
        <f>'Compte de Résultat'!F23</f>
        <v>0</v>
      </c>
      <c r="E12" s="135" t="str">
        <f t="shared" si="0"/>
        <v>N/A</v>
      </c>
      <c r="F12" s="136" t="str">
        <f t="shared" si="1"/>
        <v>—</v>
      </c>
      <c r="H12" s="137" t="s">
        <v>767</v>
      </c>
      <c r="I12" s="138" t="str">
        <f>IF((PASSIF!E23+PASSIF!E33+PASSIF!E37)=0,"N/A",ACTIF!G42/(PASSIF!E23+PASSIF!E33+PASSIF!E37))</f>
        <v>N/A</v>
      </c>
      <c r="J12" s="39" t="str">
        <f>IF(I12="N/A","—",IF(I12&gt;1,"✓ Solvable","⚠ Risque"))</f>
        <v>—</v>
      </c>
    </row>
    <row r="15" spans="1:16" ht="16" x14ac:dyDescent="0.4">
      <c r="B15" s="123" t="s">
        <v>768</v>
      </c>
      <c r="C15" s="123"/>
      <c r="D15" s="123"/>
      <c r="E15" s="123"/>
      <c r="F15" s="123"/>
      <c r="H15" s="123" t="s">
        <v>774</v>
      </c>
      <c r="I15" s="123"/>
      <c r="J15" s="123"/>
    </row>
    <row r="16" spans="1:16" x14ac:dyDescent="0.35">
      <c r="B16" s="105" t="s">
        <v>730</v>
      </c>
      <c r="C16" s="105" t="s">
        <v>731</v>
      </c>
      <c r="D16" s="105" t="s">
        <v>732</v>
      </c>
      <c r="E16" s="105" t="s">
        <v>733</v>
      </c>
      <c r="F16" s="105" t="s">
        <v>734</v>
      </c>
      <c r="H16" s="105" t="s">
        <v>775</v>
      </c>
      <c r="I16" s="105" t="s">
        <v>776</v>
      </c>
    </row>
    <row r="17" spans="2:9" x14ac:dyDescent="0.35">
      <c r="B17" s="139" t="s">
        <v>769</v>
      </c>
      <c r="C17" s="127">
        <f>ACTIF!G42</f>
        <v>0</v>
      </c>
      <c r="D17" s="127">
        <f>PASSIF!E38</f>
        <v>0</v>
      </c>
      <c r="E17" s="127">
        <f>C17-D17</f>
        <v>0</v>
      </c>
      <c r="F17" s="140" t="str">
        <f>IF(ABS(E17)&lt;1,"✓ OK","⚠ ERREUR")</f>
        <v>✓ OK</v>
      </c>
      <c r="H17" s="139" t="s">
        <v>777</v>
      </c>
      <c r="I17" s="127">
        <f>ACTIF!G25</f>
        <v>0</v>
      </c>
    </row>
    <row r="18" spans="2:9" x14ac:dyDescent="0.35">
      <c r="B18" s="139" t="s">
        <v>770</v>
      </c>
      <c r="C18" s="127">
        <f>'Compte de Résultat'!E44</f>
        <v>0</v>
      </c>
      <c r="D18" s="127">
        <f>PASSIF!E14</f>
        <v>0</v>
      </c>
      <c r="E18" s="127">
        <f>C18-D18</f>
        <v>0</v>
      </c>
      <c r="F18" s="140" t="str">
        <f>IF(ABS(E18)&lt;1,"✓ OK","⚠ ERREUR")</f>
        <v>✓ OK</v>
      </c>
      <c r="H18" s="139" t="s">
        <v>778</v>
      </c>
      <c r="I18" s="127">
        <f>ACTIF!G36</f>
        <v>0</v>
      </c>
    </row>
    <row r="19" spans="2:9" x14ac:dyDescent="0.35">
      <c r="B19" s="139" t="s">
        <v>771</v>
      </c>
      <c r="C19" s="127">
        <f>Journal!J508</f>
        <v>0</v>
      </c>
      <c r="D19" s="127">
        <f>Journal!K508</f>
        <v>0</v>
      </c>
      <c r="E19" s="127">
        <f>C19-D19</f>
        <v>0</v>
      </c>
      <c r="F19" s="140" t="str">
        <f>IF(ABS(E19)&lt;1,"✓ OK","⚠ ERREUR")</f>
        <v>✓ OK</v>
      </c>
      <c r="H19" s="139" t="s">
        <v>779</v>
      </c>
      <c r="I19" s="127">
        <f>ACTIF!G41</f>
        <v>0</v>
      </c>
    </row>
    <row r="20" spans="2:9" x14ac:dyDescent="0.35">
      <c r="B20" s="139" t="s">
        <v>772</v>
      </c>
      <c r="C20" s="127">
        <f>'Balance Générale'!G306</f>
        <v>0</v>
      </c>
      <c r="D20" s="127">
        <f>'Balance Générale'!H306</f>
        <v>0</v>
      </c>
      <c r="E20" s="127">
        <f>C20-D20</f>
        <v>0</v>
      </c>
      <c r="F20" s="140" t="str">
        <f>IF(ABS(E20)&lt;1,"✓ OK","⚠ ERREUR")</f>
        <v>✓ OK</v>
      </c>
      <c r="H20" s="139" t="s">
        <v>752</v>
      </c>
      <c r="I20" s="127">
        <f>PASSIF!E17</f>
        <v>0</v>
      </c>
    </row>
    <row r="21" spans="2:9" x14ac:dyDescent="0.35">
      <c r="H21" s="139" t="s">
        <v>780</v>
      </c>
      <c r="I21" s="127">
        <f>PASSIF!E23</f>
        <v>0</v>
      </c>
    </row>
    <row r="22" spans="2:9" x14ac:dyDescent="0.35">
      <c r="B22" s="141" t="s">
        <v>773</v>
      </c>
      <c r="C22" s="141" t="str">
        <f>IF(COUNTIF(F17:F20,"⚠ ERREUR")=0,"✓ TOUS LES CONTRÔLES OK",COUNTIF(F17:F20,"⚠ ERREUR")&amp;" ERREUR(S)")</f>
        <v>✓ TOUS LES CONTRÔLES OK</v>
      </c>
      <c r="H22" s="139" t="s">
        <v>781</v>
      </c>
      <c r="I22" s="127">
        <f>PASSIF!E33</f>
        <v>0</v>
      </c>
    </row>
    <row r="25" spans="2:9" ht="16" x14ac:dyDescent="0.4">
      <c r="B25" s="123" t="s">
        <v>782</v>
      </c>
      <c r="C25" s="123"/>
      <c r="D25" s="123"/>
      <c r="E25" s="123"/>
      <c r="F25" s="123"/>
    </row>
    <row r="26" spans="2:9" x14ac:dyDescent="0.35">
      <c r="B26" s="105" t="s">
        <v>683</v>
      </c>
      <c r="C26" s="105" t="s">
        <v>783</v>
      </c>
      <c r="D26" s="105" t="s">
        <v>784</v>
      </c>
    </row>
    <row r="27" spans="2:9" x14ac:dyDescent="0.35">
      <c r="B27" s="139" t="s">
        <v>785</v>
      </c>
      <c r="C27" s="127">
        <f>'Compte de Résultat'!E8</f>
        <v>0</v>
      </c>
      <c r="D27" s="142" t="str">
        <f>IF(('Compte de Résultat'!E5+'Compte de Résultat'!E9+'Compte de Résultat'!E10)=0,"N/A",C27/('Compte de Résultat'!E5+'Compte de Résultat'!E9+'Compte de Résultat'!E10))</f>
        <v>N/A</v>
      </c>
    </row>
    <row r="28" spans="2:9" x14ac:dyDescent="0.35">
      <c r="B28" s="139" t="s">
        <v>786</v>
      </c>
      <c r="C28" s="127">
        <f>'Compte de Résultat'!E13</f>
        <v>0</v>
      </c>
      <c r="D28" s="142" t="str">
        <f>IF(('Compte de Résultat'!E5+'Compte de Résultat'!E9+'Compte de Résultat'!E10)=0,"N/A",C28/('Compte de Résultat'!E5+'Compte de Résultat'!E9+'Compte de Résultat'!E10))</f>
        <v>N/A</v>
      </c>
    </row>
    <row r="29" spans="2:9" x14ac:dyDescent="0.35">
      <c r="B29" s="139" t="s">
        <v>755</v>
      </c>
      <c r="C29" s="127">
        <f>'Compte de Résultat'!E23</f>
        <v>0</v>
      </c>
      <c r="D29" s="142" t="str">
        <f>IF(('Compte de Résultat'!E5+'Compte de Résultat'!E9+'Compte de Résultat'!E10)=0,"N/A",C29/('Compte de Résultat'!E5+'Compte de Résultat'!E9+'Compte de Résultat'!E10))</f>
        <v>N/A</v>
      </c>
    </row>
    <row r="30" spans="2:9" x14ac:dyDescent="0.35">
      <c r="B30" s="139" t="s">
        <v>754</v>
      </c>
      <c r="C30" s="127">
        <f>'Compte de Résultat'!E25</f>
        <v>0</v>
      </c>
      <c r="D30" s="142" t="str">
        <f>IF(('Compte de Résultat'!E5+'Compte de Résultat'!E9+'Compte de Résultat'!E10)=0,"N/A",C30/('Compte de Résultat'!E5+'Compte de Résultat'!E9+'Compte de Résultat'!E10))</f>
        <v>N/A</v>
      </c>
    </row>
    <row r="31" spans="2:9" x14ac:dyDescent="0.35">
      <c r="B31" s="139" t="s">
        <v>787</v>
      </c>
      <c r="C31" s="127">
        <f>'Compte de Résultat'!E29</f>
        <v>0</v>
      </c>
      <c r="D31" s="142" t="str">
        <f>IF(('Compte de Résultat'!E5+'Compte de Résultat'!E9+'Compte de Résultat'!E10)=0,"N/A",C31/('Compte de Résultat'!E5+'Compte de Résultat'!E9+'Compte de Résultat'!E10))</f>
        <v>N/A</v>
      </c>
    </row>
    <row r="32" spans="2:9" x14ac:dyDescent="0.35">
      <c r="B32" s="139" t="s">
        <v>788</v>
      </c>
      <c r="C32" s="127">
        <f>'Compte de Résultat'!E35</f>
        <v>0</v>
      </c>
      <c r="D32" s="142" t="str">
        <f>IF(('Compte de Résultat'!E5+'Compte de Résultat'!E9+'Compte de Résultat'!E10)=0,"N/A",C32/('Compte de Résultat'!E5+'Compte de Résultat'!E9+'Compte de Résultat'!E10))</f>
        <v>N/A</v>
      </c>
    </row>
    <row r="33" spans="2:10" x14ac:dyDescent="0.35">
      <c r="B33" s="139" t="s">
        <v>789</v>
      </c>
      <c r="C33" s="127">
        <f>'Compte de Résultat'!E41</f>
        <v>0</v>
      </c>
      <c r="D33" s="142" t="str">
        <f>IF(('Compte de Résultat'!E5+'Compte de Résultat'!E9+'Compte de Résultat'!E10)=0,"N/A",C33/('Compte de Résultat'!E5+'Compte de Résultat'!E9+'Compte de Résultat'!E10))</f>
        <v>N/A</v>
      </c>
    </row>
    <row r="34" spans="2:10" x14ac:dyDescent="0.35">
      <c r="B34" s="143" t="s">
        <v>753</v>
      </c>
      <c r="C34" s="144">
        <f>'Compte de Résultat'!E44</f>
        <v>0</v>
      </c>
      <c r="D34" s="145" t="str">
        <f>IF(('Compte de Résultat'!E5+'Compte de Résultat'!E9+'Compte de Résultat'!E10)=0,"N/A",C34/('Compte de Résultat'!E5+'Compte de Résultat'!E9+'Compte de Résultat'!E10))</f>
        <v>N/A</v>
      </c>
    </row>
    <row r="37" spans="2:10" x14ac:dyDescent="0.35">
      <c r="B37" s="146" t="s">
        <v>790</v>
      </c>
    </row>
    <row r="39" spans="2:10" ht="16" x14ac:dyDescent="0.4">
      <c r="B39" s="123" t="s">
        <v>820</v>
      </c>
      <c r="C39" s="123"/>
      <c r="D39" s="123"/>
      <c r="E39" s="123"/>
      <c r="F39" s="123"/>
      <c r="G39" s="123"/>
      <c r="H39" s="123"/>
      <c r="I39" s="123"/>
      <c r="J39" s="123"/>
    </row>
    <row r="40" spans="2:10" x14ac:dyDescent="0.35">
      <c r="B40" s="105" t="s">
        <v>821</v>
      </c>
      <c r="C40" s="105" t="s">
        <v>822</v>
      </c>
      <c r="D40" s="105" t="s">
        <v>734</v>
      </c>
      <c r="E40" s="105"/>
      <c r="F40" s="105" t="s">
        <v>823</v>
      </c>
    </row>
    <row r="41" spans="2:10" x14ac:dyDescent="0.35">
      <c r="B41" s="133" t="s">
        <v>824</v>
      </c>
      <c r="C41" s="121">
        <f>COUNTIF(Journal!$M$6:$M$508,"ERR")</f>
        <v>0</v>
      </c>
      <c r="D41" s="75" t="str">
        <f>IF(C41=0,"✓ OK","⚠ "&amp;C41&amp;" erreur(s)")</f>
        <v>✓ OK</v>
      </c>
      <c r="F41" s="147" t="s">
        <v>825</v>
      </c>
    </row>
    <row r="42" spans="2:10" x14ac:dyDescent="0.35">
      <c r="B42" s="133" t="s">
        <v>826</v>
      </c>
      <c r="C42" s="121">
        <f>COUNTIF(Journal!$N$6:$N$508,"DOUBLON")</f>
        <v>0</v>
      </c>
      <c r="D42" s="75" t="str">
        <f>IF(C42=0,"✓ OK","⚠ "&amp;C42&amp;" doublon(s)")</f>
        <v>✓ OK</v>
      </c>
      <c r="F42" s="147" t="s">
        <v>827</v>
      </c>
    </row>
    <row r="43" spans="2:10" x14ac:dyDescent="0.35">
      <c r="B43" s="133" t="s">
        <v>828</v>
      </c>
      <c r="C43" s="121">
        <f>COUNTIF(Journal!$I$6:$I$508,"Compte inconnu")</f>
        <v>1</v>
      </c>
      <c r="D43" s="75" t="str">
        <f>IF(C43=0,"✓ OK","⚠ "&amp;C43&amp;" compte(s)")</f>
        <v>⚠ 1 compte(s)</v>
      </c>
      <c r="F43" s="147" t="s">
        <v>829</v>
      </c>
    </row>
    <row r="44" spans="2:10" x14ac:dyDescent="0.35">
      <c r="B44" s="133" t="s">
        <v>830</v>
      </c>
      <c r="C44" s="121" cm="1">
        <f t="array" ref="C44">SUMPRODUCT((Journal!$G$6:$G$508="")*(Journal!$K$6:$K$508&lt;&gt;"")*1)+SUMPRODUCT((Journal!$G$6:$G$508="")*(Journal!$L$6:$L$508&lt;&gt;"")*1)</f>
        <v>0</v>
      </c>
      <c r="D44" s="75" t="str">
        <f>IF(C44=0,"✓ OK","⚠ "&amp;C44&amp;" ligne(s)")</f>
        <v>✓ OK</v>
      </c>
      <c r="F44" s="147" t="s">
        <v>831</v>
      </c>
    </row>
    <row r="45" spans="2:10" x14ac:dyDescent="0.35">
      <c r="B45" s="133" t="s">
        <v>832</v>
      </c>
      <c r="C45" s="121" cm="1">
        <f t="array" ref="C45">SUMPRODUCT((Journal!$B$6:$B$508="")*(Journal!$K$6:$K$508&lt;&gt;"")*1)+SUMPRODUCT((Journal!$B$6:$B$508="")*(Journal!$L$6:$L$508&lt;&gt;"")*1)</f>
        <v>1</v>
      </c>
      <c r="D45" s="75" t="str">
        <f>IF(C45=0,"✓ OK","⚠ "&amp;C45&amp;" ligne(s)")</f>
        <v>⚠ 1 ligne(s)</v>
      </c>
      <c r="F45" s="147" t="s">
        <v>833</v>
      </c>
    </row>
    <row r="47" spans="2:10" x14ac:dyDescent="0.35">
      <c r="B47" s="148" t="s">
        <v>834</v>
      </c>
      <c r="C47" s="88" t="str">
        <f>IF(SUM(C41:C45)=0,"✓ AUCUNE ERREUR",SUM(C41:C45)&amp;" ERREUR(S) DÉTECTÉE(S)")</f>
        <v>2 ERREUR(S) DÉTECTÉE(S)</v>
      </c>
    </row>
    <row r="49" spans="2:10" ht="16" x14ac:dyDescent="0.4">
      <c r="B49" s="123" t="s">
        <v>835</v>
      </c>
      <c r="C49" s="123"/>
      <c r="D49" s="123"/>
      <c r="E49" s="123"/>
      <c r="F49" s="123"/>
      <c r="G49" s="123"/>
      <c r="H49" s="123"/>
      <c r="I49" s="123"/>
      <c r="J49" s="123"/>
    </row>
    <row r="50" spans="2:10" x14ac:dyDescent="0.35">
      <c r="B50" s="105" t="s">
        <v>836</v>
      </c>
      <c r="C50" s="105" t="s">
        <v>760</v>
      </c>
    </row>
    <row r="51" spans="2:10" x14ac:dyDescent="0.35">
      <c r="B51" s="133" t="s">
        <v>837</v>
      </c>
      <c r="C51" s="149">
        <f>COUNTA(Journal!$B$6:$B$508)</f>
        <v>0</v>
      </c>
    </row>
    <row r="52" spans="2:10" x14ac:dyDescent="0.35">
      <c r="B52" s="133" t="s">
        <v>838</v>
      </c>
      <c r="C52" s="134">
        <f>SUM(Journal!$K$6:$K$508)</f>
        <v>0</v>
      </c>
    </row>
    <row r="53" spans="2:10" x14ac:dyDescent="0.35">
      <c r="B53" s="133" t="s">
        <v>839</v>
      </c>
      <c r="C53" s="134">
        <f>SUM(Journal!$L$6:$L$508)</f>
        <v>0</v>
      </c>
    </row>
    <row r="54" spans="2:10" x14ac:dyDescent="0.35">
      <c r="B54" s="133" t="s">
        <v>840</v>
      </c>
      <c r="C54" s="134">
        <f>C52-C53</f>
        <v>0</v>
      </c>
    </row>
    <row r="55" spans="2:10" x14ac:dyDescent="0.35">
      <c r="B55" s="133" t="s">
        <v>841</v>
      </c>
      <c r="C55" s="149" cm="1">
        <f t="array" ref="C55">SUMPRODUCT((Journal!$F$6:$F$508&lt;&gt;"")/COUNTIF(Journal!$F$6:$F$508,Journal!$F$6:$F$508&amp;""))</f>
        <v>0</v>
      </c>
    </row>
  </sheetData>
  <sheetProtection sheet="1" objects="1" scenarios="1" sort="0" autoFilter="0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FA43C-49C8-462E-AFF9-DFD088800180}">
  <dimension ref="A1:N93"/>
  <sheetViews>
    <sheetView workbookViewId="0">
      <selection activeCell="C10" sqref="C10"/>
    </sheetView>
  </sheetViews>
  <sheetFormatPr baseColWidth="10" defaultRowHeight="14.5" x14ac:dyDescent="0.35"/>
  <cols>
    <col min="2" max="2" width="96.7265625" bestFit="1" customWidth="1"/>
    <col min="3" max="3" width="19" bestFit="1" customWidth="1"/>
    <col min="4" max="4" width="10.26953125" bestFit="1" customWidth="1"/>
    <col min="5" max="5" width="9.26953125" bestFit="1" customWidth="1"/>
    <col min="6" max="6" width="9.81640625" bestFit="1" customWidth="1"/>
    <col min="7" max="7" width="11.54296875" bestFit="1" customWidth="1"/>
    <col min="8" max="8" width="8.81640625" bestFit="1" customWidth="1"/>
    <col min="9" max="9" width="3.1796875" bestFit="1" customWidth="1"/>
    <col min="10" max="11" width="4" bestFit="1" customWidth="1"/>
    <col min="12" max="12" width="3.7265625" bestFit="1" customWidth="1"/>
    <col min="13" max="14" width="4" bestFit="1" customWidth="1"/>
  </cols>
  <sheetData>
    <row r="1" spans="1:8" x14ac:dyDescent="0.35">
      <c r="A1" s="15" t="str">
        <f>HYPERLINK("#'PAGE DE GARDE'!A1","⬅ Menu")</f>
        <v>⬅ Menu</v>
      </c>
      <c r="B1" s="33" t="s">
        <v>1201</v>
      </c>
    </row>
    <row r="2" spans="1:8" ht="21" x14ac:dyDescent="0.5">
      <c r="B2" s="118" t="s">
        <v>939</v>
      </c>
      <c r="C2" s="118"/>
      <c r="D2" s="118"/>
      <c r="E2" s="118"/>
      <c r="F2" s="118"/>
      <c r="G2" s="118"/>
      <c r="H2" s="118"/>
    </row>
    <row r="4" spans="1:8" x14ac:dyDescent="0.35">
      <c r="B4" s="88" t="s">
        <v>940</v>
      </c>
      <c r="C4" s="150">
        <v>1</v>
      </c>
      <c r="D4" s="88" t="s">
        <v>941</v>
      </c>
      <c r="E4" s="150">
        <v>2026</v>
      </c>
      <c r="F4" t="s">
        <v>942</v>
      </c>
      <c r="G4" s="151" t="str">
        <f>TEXT(DATE(E4,C4,1),"mmmm yyyy")</f>
        <v>janvier yyyy</v>
      </c>
    </row>
    <row r="6" spans="1:8" ht="16" x14ac:dyDescent="0.4">
      <c r="B6" s="87" t="s">
        <v>943</v>
      </c>
      <c r="C6" s="87"/>
      <c r="D6" s="87"/>
      <c r="E6" s="87"/>
      <c r="F6" s="87"/>
      <c r="G6" s="87"/>
      <c r="H6" s="87"/>
    </row>
    <row r="7" spans="1:8" x14ac:dyDescent="0.35">
      <c r="B7" s="105" t="s">
        <v>944</v>
      </c>
      <c r="C7" s="105" t="s">
        <v>792</v>
      </c>
      <c r="D7" s="105" t="s">
        <v>945</v>
      </c>
      <c r="E7" s="105" t="s">
        <v>838</v>
      </c>
      <c r="F7" s="105" t="s">
        <v>839</v>
      </c>
      <c r="G7" s="105" t="s">
        <v>946</v>
      </c>
      <c r="H7" s="105" t="s">
        <v>947</v>
      </c>
    </row>
    <row r="8" spans="1:8" x14ac:dyDescent="0.35">
      <c r="B8" s="121" t="s">
        <v>347</v>
      </c>
      <c r="C8" s="26" t="s">
        <v>793</v>
      </c>
      <c r="D8" s="39" cm="1">
        <f t="array" ref="D8">SUMPRODUCT((Journal!$F$6:$F$508="AC")*(MONTH(Journal!$B$6:$B$508)=$C$4)*(YEAR(Journal!$B$6:$B$508)=$E$4)*(Journal!$K$6:$K$508&lt;&gt;"")*1)</f>
        <v>0</v>
      </c>
      <c r="E8" s="127" cm="1">
        <f t="array" ref="E8">SUMPRODUCT((Journal!$F$6:$F$508="AC")*(MONTH(Journal!$B$6:$B$508)=$C$4)*(YEAR(Journal!$B$6:$B$508)=$E$4)*Journal!$K$6:$K$508)</f>
        <v>0</v>
      </c>
      <c r="F8" s="127" cm="1">
        <f t="array" ref="F8">SUMPRODUCT((Journal!$F$6:$F$508="AC")*(MONTH(Journal!$B$6:$B$508)=$C$4)*(YEAR(Journal!$B$6:$B$508)=$E$4)*Journal!$L$6:$L$508)</f>
        <v>0</v>
      </c>
      <c r="G8" s="127">
        <f t="shared" ref="G8:G18" si="0">E8-F8</f>
        <v>0</v>
      </c>
      <c r="H8" s="142">
        <f t="shared" ref="H8:H17" si="1">IF($E$18=0,0,E8/$E$18)</f>
        <v>0</v>
      </c>
    </row>
    <row r="9" spans="1:8" x14ac:dyDescent="0.35">
      <c r="B9" s="121" t="s">
        <v>795</v>
      </c>
      <c r="C9" s="26" t="s">
        <v>796</v>
      </c>
      <c r="D9" s="39" cm="1">
        <f t="array" ref="D9">SUMPRODUCT((Journal!$F$6:$F$508="VT")*(MONTH(Journal!$B$6:$B$508)=$C$4)*(YEAR(Journal!$B$6:$B$508)=$E$4)*(Journal!$K$6:$K$508&lt;&gt;"")*1)</f>
        <v>0</v>
      </c>
      <c r="E9" s="127" cm="1">
        <f t="array" ref="E9">SUMPRODUCT((Journal!$F$6:$F$508="VT")*(MONTH(Journal!$B$6:$B$508)=$C$4)*(YEAR(Journal!$B$6:$B$508)=$E$4)*Journal!$K$6:$K$508)</f>
        <v>0</v>
      </c>
      <c r="F9" s="127" cm="1">
        <f t="array" ref="F9">SUMPRODUCT((Journal!$F$6:$F$508="VT")*(MONTH(Journal!$B$6:$B$508)=$C$4)*(YEAR(Journal!$B$6:$B$508)=$E$4)*Journal!$L$6:$L$508)</f>
        <v>0</v>
      </c>
      <c r="G9" s="127">
        <f t="shared" si="0"/>
        <v>0</v>
      </c>
      <c r="H9" s="142">
        <f t="shared" si="1"/>
        <v>0</v>
      </c>
    </row>
    <row r="10" spans="1:8" x14ac:dyDescent="0.35">
      <c r="B10" s="121" t="s">
        <v>406</v>
      </c>
      <c r="C10" s="26" t="s">
        <v>798</v>
      </c>
      <c r="D10" s="39" cm="1">
        <f t="array" ref="D10">SUMPRODUCT((Journal!$F$6:$F$508="BQ")*(MONTH(Journal!$B$6:$B$508)=$C$4)*(YEAR(Journal!$B$6:$B$508)=$E$4)*(Journal!$K$6:$K$508&lt;&gt;"")*1)</f>
        <v>0</v>
      </c>
      <c r="E10" s="127" cm="1">
        <f t="array" ref="E10">SUMPRODUCT((Journal!$F$6:$F$508="BQ")*(MONTH(Journal!$B$6:$B$508)=$C$4)*(YEAR(Journal!$B$6:$B$508)=$E$4)*Journal!$K$6:$K$508)</f>
        <v>0</v>
      </c>
      <c r="F10" s="127" cm="1">
        <f t="array" ref="F10">SUMPRODUCT((Journal!$F$6:$F$508="BQ")*(MONTH(Journal!$B$6:$B$508)=$C$4)*(YEAR(Journal!$B$6:$B$508)=$E$4)*Journal!$L$6:$L$508)</f>
        <v>0</v>
      </c>
      <c r="G10" s="127">
        <f t="shared" si="0"/>
        <v>0</v>
      </c>
      <c r="H10" s="142">
        <f t="shared" si="1"/>
        <v>0</v>
      </c>
    </row>
    <row r="11" spans="1:8" x14ac:dyDescent="0.35">
      <c r="B11" s="121" t="s">
        <v>420</v>
      </c>
      <c r="C11" s="26" t="s">
        <v>800</v>
      </c>
      <c r="D11" s="39" cm="1">
        <f t="array" ref="D11">SUMPRODUCT((Journal!$F$6:$F$508="CA")*(MONTH(Journal!$B$6:$B$508)=$C$4)*(YEAR(Journal!$B$6:$B$508)=$E$4)*(Journal!$K$6:$K$508&lt;&gt;"")*1)</f>
        <v>0</v>
      </c>
      <c r="E11" s="127" cm="1">
        <f t="array" ref="E11">SUMPRODUCT((Journal!$F$6:$F$508="CA")*(MONTH(Journal!$B$6:$B$508)=$C$4)*(YEAR(Journal!$B$6:$B$508)=$E$4)*Journal!$K$6:$K$508)</f>
        <v>0</v>
      </c>
      <c r="F11" s="127" cm="1">
        <f t="array" ref="F11">SUMPRODUCT((Journal!$F$6:$F$508="CA")*(MONTH(Journal!$B$6:$B$508)=$C$4)*(YEAR(Journal!$B$6:$B$508)=$E$4)*Journal!$L$6:$L$508)</f>
        <v>0</v>
      </c>
      <c r="G11" s="127">
        <f t="shared" si="0"/>
        <v>0</v>
      </c>
      <c r="H11" s="142">
        <f t="shared" si="1"/>
        <v>0</v>
      </c>
    </row>
    <row r="12" spans="1:8" x14ac:dyDescent="0.35">
      <c r="B12" s="121" t="s">
        <v>802</v>
      </c>
      <c r="C12" s="26" t="s">
        <v>803</v>
      </c>
      <c r="D12" s="39" cm="1">
        <f t="array" ref="D12">SUMPRODUCT((Journal!$F$6:$F$508="OD")*(MONTH(Journal!$B$6:$B$508)=$C$4)*(YEAR(Journal!$B$6:$B$508)=$E$4)*(Journal!$K$6:$K$508&lt;&gt;"")*1)</f>
        <v>0</v>
      </c>
      <c r="E12" s="127" cm="1">
        <f t="array" ref="E12">SUMPRODUCT((Journal!$F$6:$F$508="OD")*(MONTH(Journal!$B$6:$B$508)=$C$4)*(YEAR(Journal!$B$6:$B$508)=$E$4)*Journal!$K$6:$K$508)</f>
        <v>0</v>
      </c>
      <c r="F12" s="127" cm="1">
        <f t="array" ref="F12">SUMPRODUCT((Journal!$F$6:$F$508="OD")*(MONTH(Journal!$B$6:$B$508)=$C$4)*(YEAR(Journal!$B$6:$B$508)=$E$4)*Journal!$L$6:$L$508)</f>
        <v>0</v>
      </c>
      <c r="G12" s="127">
        <f t="shared" si="0"/>
        <v>0</v>
      </c>
      <c r="H12" s="142">
        <f t="shared" si="1"/>
        <v>0</v>
      </c>
    </row>
    <row r="13" spans="1:8" x14ac:dyDescent="0.35">
      <c r="B13" s="121" t="s">
        <v>368</v>
      </c>
      <c r="C13" s="26" t="s">
        <v>805</v>
      </c>
      <c r="D13" s="39" cm="1">
        <f t="array" ref="D13">SUMPRODUCT((Journal!$F$6:$F$508="AN")*(MONTH(Journal!$B$6:$B$508)=$C$4)*(YEAR(Journal!$B$6:$B$508)=$E$4)*(Journal!$K$6:$K$508&lt;&gt;"")*1)</f>
        <v>0</v>
      </c>
      <c r="E13" s="127" cm="1">
        <f t="array" ref="E13">SUMPRODUCT((Journal!$F$6:$F$508="AN")*(MONTH(Journal!$B$6:$B$508)=$C$4)*(YEAR(Journal!$B$6:$B$508)=$E$4)*Journal!$K$6:$K$508)</f>
        <v>0</v>
      </c>
      <c r="F13" s="127" cm="1">
        <f t="array" ref="F13">SUMPRODUCT((Journal!$F$6:$F$508="AN")*(MONTH(Journal!$B$6:$B$508)=$C$4)*(YEAR(Journal!$B$6:$B$508)=$E$4)*Journal!$L$6:$L$508)</f>
        <v>0</v>
      </c>
      <c r="G13" s="127">
        <f t="shared" si="0"/>
        <v>0</v>
      </c>
      <c r="H13" s="142">
        <f t="shared" si="1"/>
        <v>0</v>
      </c>
    </row>
    <row r="14" spans="1:8" x14ac:dyDescent="0.35">
      <c r="B14" s="121" t="s">
        <v>807</v>
      </c>
      <c r="C14" s="26" t="s">
        <v>808</v>
      </c>
      <c r="D14" s="39" cm="1">
        <f t="array" ref="D14">SUMPRODUCT((Journal!$F$6:$F$508="SA")*(MONTH(Journal!$B$6:$B$508)=$C$4)*(YEAR(Journal!$B$6:$B$508)=$E$4)*(Journal!$K$6:$K$508&lt;&gt;"")*1)</f>
        <v>0</v>
      </c>
      <c r="E14" s="127" cm="1">
        <f t="array" ref="E14">SUMPRODUCT((Journal!$F$6:$F$508="SA")*(MONTH(Journal!$B$6:$B$508)=$C$4)*(YEAR(Journal!$B$6:$B$508)=$E$4)*Journal!$K$6:$K$508)</f>
        <v>0</v>
      </c>
      <c r="F14" s="127" cm="1">
        <f t="array" ref="F14">SUMPRODUCT((Journal!$F$6:$F$508="SA")*(MONTH(Journal!$B$6:$B$508)=$C$4)*(YEAR(Journal!$B$6:$B$508)=$E$4)*Journal!$L$6:$L$508)</f>
        <v>0</v>
      </c>
      <c r="G14" s="127">
        <f t="shared" si="0"/>
        <v>0</v>
      </c>
      <c r="H14" s="142">
        <f t="shared" si="1"/>
        <v>0</v>
      </c>
    </row>
    <row r="15" spans="1:8" x14ac:dyDescent="0.35">
      <c r="B15" s="121" t="s">
        <v>810</v>
      </c>
      <c r="C15" s="26" t="s">
        <v>811</v>
      </c>
      <c r="D15" s="39" cm="1">
        <f t="array" ref="D15">SUMPRODUCT((Journal!$F$6:$F$508="IM")*(MONTH(Journal!$B$6:$B$508)=$C$4)*(YEAR(Journal!$B$6:$B$508)=$E$4)*(Journal!$K$6:$K$508&lt;&gt;"")*1)</f>
        <v>0</v>
      </c>
      <c r="E15" s="127" cm="1">
        <f t="array" ref="E15">SUMPRODUCT((Journal!$F$6:$F$508="IM")*(MONTH(Journal!$B$6:$B$508)=$C$4)*(YEAR(Journal!$B$6:$B$508)=$E$4)*Journal!$K$6:$K$508)</f>
        <v>0</v>
      </c>
      <c r="F15" s="127" cm="1">
        <f t="array" ref="F15">SUMPRODUCT((Journal!$F$6:$F$508="IM")*(MONTH(Journal!$B$6:$B$508)=$C$4)*(YEAR(Journal!$B$6:$B$508)=$E$4)*Journal!$L$6:$L$508)</f>
        <v>0</v>
      </c>
      <c r="G15" s="127">
        <f t="shared" si="0"/>
        <v>0</v>
      </c>
      <c r="H15" s="142">
        <f t="shared" si="1"/>
        <v>0</v>
      </c>
    </row>
    <row r="16" spans="1:8" x14ac:dyDescent="0.35">
      <c r="B16" s="121" t="s">
        <v>813</v>
      </c>
      <c r="C16" s="26" t="s">
        <v>814</v>
      </c>
      <c r="D16" s="39" cm="1">
        <f t="array" ref="D16">SUMPRODUCT((Journal!$F$6:$F$508="ST")*(MONTH(Journal!$B$6:$B$508)=$C$4)*(YEAR(Journal!$B$6:$B$508)=$E$4)*(Journal!$K$6:$K$508&lt;&gt;"")*1)</f>
        <v>0</v>
      </c>
      <c r="E16" s="127" cm="1">
        <f t="array" ref="E16">SUMPRODUCT((Journal!$F$6:$F$508="ST")*(MONTH(Journal!$B$6:$B$508)=$C$4)*(YEAR(Journal!$B$6:$B$508)=$E$4)*Journal!$K$6:$K$508)</f>
        <v>0</v>
      </c>
      <c r="F16" s="127" cm="1">
        <f t="array" ref="F16">SUMPRODUCT((Journal!$F$6:$F$508="ST")*(MONTH(Journal!$B$6:$B$508)=$C$4)*(YEAR(Journal!$B$6:$B$508)=$E$4)*Journal!$L$6:$L$508)</f>
        <v>0</v>
      </c>
      <c r="G16" s="127">
        <f t="shared" si="0"/>
        <v>0</v>
      </c>
      <c r="H16" s="142">
        <f t="shared" si="1"/>
        <v>0</v>
      </c>
    </row>
    <row r="17" spans="2:8" x14ac:dyDescent="0.35">
      <c r="B17" s="121" t="s">
        <v>442</v>
      </c>
      <c r="C17" s="26" t="s">
        <v>816</v>
      </c>
      <c r="D17" s="39" cm="1">
        <f t="array" ref="D17">SUMPRODUCT((Journal!$F$6:$F$508="CL")*(MONTH(Journal!$B$6:$B$508)=$C$4)*(YEAR(Journal!$B$6:$B$508)=$E$4)*(Journal!$K$6:$K$508&lt;&gt;"")*1)</f>
        <v>0</v>
      </c>
      <c r="E17" s="127" cm="1">
        <f t="array" ref="E17">SUMPRODUCT((Journal!$F$6:$F$508="CL")*(MONTH(Journal!$B$6:$B$508)=$C$4)*(YEAR(Journal!$B$6:$B$508)=$E$4)*Journal!$K$6:$K$508)</f>
        <v>0</v>
      </c>
      <c r="F17" s="127" cm="1">
        <f t="array" ref="F17">SUMPRODUCT((Journal!$F$6:$F$508="CL")*(MONTH(Journal!$B$6:$B$508)=$C$4)*(YEAR(Journal!$B$6:$B$508)=$E$4)*Journal!$L$6:$L$508)</f>
        <v>0</v>
      </c>
      <c r="G17" s="127">
        <f t="shared" si="0"/>
        <v>0</v>
      </c>
      <c r="H17" s="142">
        <f t="shared" si="1"/>
        <v>0</v>
      </c>
    </row>
    <row r="18" spans="2:8" x14ac:dyDescent="0.35">
      <c r="B18" s="124" t="s">
        <v>948</v>
      </c>
      <c r="C18" s="124"/>
      <c r="D18" s="124">
        <f>SUM(D8:D17)</f>
        <v>0</v>
      </c>
      <c r="E18" s="152">
        <f>SUM(E8:E17)</f>
        <v>0</v>
      </c>
      <c r="F18" s="152">
        <f>SUM(F8:F17)</f>
        <v>0</v>
      </c>
      <c r="G18" s="152">
        <f t="shared" si="0"/>
        <v>0</v>
      </c>
      <c r="H18" s="153">
        <f>IF(E18=0,0,1)</f>
        <v>0</v>
      </c>
    </row>
    <row r="20" spans="2:8" ht="16" x14ac:dyDescent="0.4">
      <c r="B20" s="123" t="s">
        <v>949</v>
      </c>
      <c r="C20" s="87"/>
      <c r="D20" s="87"/>
      <c r="E20" s="87"/>
      <c r="F20" s="87"/>
      <c r="G20" s="87"/>
      <c r="H20" s="87"/>
    </row>
    <row r="21" spans="2:8" x14ac:dyDescent="0.35">
      <c r="B21" s="105" t="s">
        <v>3</v>
      </c>
      <c r="C21" s="105" t="s">
        <v>662</v>
      </c>
      <c r="D21" s="105" t="s">
        <v>945</v>
      </c>
      <c r="E21" s="105" t="s">
        <v>838</v>
      </c>
      <c r="F21" s="105" t="s">
        <v>839</v>
      </c>
      <c r="G21" s="105" t="s">
        <v>946</v>
      </c>
      <c r="H21" s="105" t="s">
        <v>947</v>
      </c>
    </row>
    <row r="22" spans="2:8" x14ac:dyDescent="0.35">
      <c r="B22" s="121">
        <v>1</v>
      </c>
      <c r="C22" s="26" t="s">
        <v>950</v>
      </c>
      <c r="D22" s="39" cm="1">
        <f t="array" ref="D22">SUMPRODUCT((LEFT(Journal!$G$6:$G$508,1)="1")*(MONTH(Journal!$B$6:$B$508)=$C$4)*(YEAR(Journal!$B$6:$B$508)=$E$4)*(Journal!$K$6:$K$508&lt;&gt;"")*1)</f>
        <v>0</v>
      </c>
      <c r="E22" s="127" cm="1">
        <f t="array" ref="E22">SUMPRODUCT((LEFT(Journal!$G$6:$G$508,1)="1")*(MONTH(Journal!$B$6:$B$508)=$C$4)*(YEAR(Journal!$B$6:$B$508)=$E$4)*Journal!$K$6:$K$508)</f>
        <v>0</v>
      </c>
      <c r="F22" s="127" cm="1">
        <f t="array" ref="F22">SUMPRODUCT((LEFT(Journal!$G$6:$G$508,1)="1")*(MONTH(Journal!$B$6:$B$508)=$C$4)*(YEAR(Journal!$B$6:$B$508)=$E$4)*Journal!$L$6:$L$508)</f>
        <v>0</v>
      </c>
      <c r="G22" s="127">
        <f t="shared" ref="G22:G31" si="2">E22-F22</f>
        <v>0</v>
      </c>
      <c r="H22" s="142">
        <f t="shared" ref="H22:H30" si="3">IF($E$31=0,0,E22/$E$31)</f>
        <v>0</v>
      </c>
    </row>
    <row r="23" spans="2:8" x14ac:dyDescent="0.35">
      <c r="B23" s="121">
        <v>2</v>
      </c>
      <c r="C23" s="26" t="s">
        <v>811</v>
      </c>
      <c r="D23" s="39" cm="1">
        <f t="array" ref="D23">SUMPRODUCT((LEFT(Journal!$G$6:$G$508,1)="2")*(MONTH(Journal!$B$6:$B$508)=$C$4)*(YEAR(Journal!$B$6:$B$508)=$E$4)*(Journal!$K$6:$K$508&lt;&gt;"")*1)</f>
        <v>0</v>
      </c>
      <c r="E23" s="127" cm="1">
        <f t="array" ref="E23">SUMPRODUCT((LEFT(Journal!$G$6:$G$508,1)="2")*(MONTH(Journal!$B$6:$B$508)=$C$4)*(YEAR(Journal!$B$6:$B$508)=$E$4)*Journal!$K$6:$K$508)</f>
        <v>0</v>
      </c>
      <c r="F23" s="127" cm="1">
        <f t="array" ref="F23">SUMPRODUCT((LEFT(Journal!$G$6:$G$508,1)="2")*(MONTH(Journal!$B$6:$B$508)=$C$4)*(YEAR(Journal!$B$6:$B$508)=$E$4)*Journal!$L$6:$L$508)</f>
        <v>0</v>
      </c>
      <c r="G23" s="127">
        <f t="shared" si="2"/>
        <v>0</v>
      </c>
      <c r="H23" s="142">
        <f t="shared" si="3"/>
        <v>0</v>
      </c>
    </row>
    <row r="24" spans="2:8" x14ac:dyDescent="0.35">
      <c r="B24" s="121">
        <v>3</v>
      </c>
      <c r="C24" s="26" t="s">
        <v>814</v>
      </c>
      <c r="D24" s="39" cm="1">
        <f t="array" ref="D24">SUMPRODUCT((LEFT(Journal!$G$6:$G$508,1)="3")*(MONTH(Journal!$B$6:$B$508)=$C$4)*(YEAR(Journal!$B$6:$B$508)=$E$4)*(Journal!$K$6:$K$508&lt;&gt;"")*1)</f>
        <v>0</v>
      </c>
      <c r="E24" s="127" cm="1">
        <f t="array" ref="E24">SUMPRODUCT((LEFT(Journal!$G$6:$G$508,1)="3")*(MONTH(Journal!$B$6:$B$508)=$C$4)*(YEAR(Journal!$B$6:$B$508)=$E$4)*Journal!$K$6:$K$508)</f>
        <v>0</v>
      </c>
      <c r="F24" s="127" cm="1">
        <f t="array" ref="F24">SUMPRODUCT((LEFT(Journal!$G$6:$G$508,1)="3")*(MONTH(Journal!$B$6:$B$508)=$C$4)*(YEAR(Journal!$B$6:$B$508)=$E$4)*Journal!$L$6:$L$508)</f>
        <v>0</v>
      </c>
      <c r="G24" s="127">
        <f t="shared" si="2"/>
        <v>0</v>
      </c>
      <c r="H24" s="142">
        <f t="shared" si="3"/>
        <v>0</v>
      </c>
    </row>
    <row r="25" spans="2:8" x14ac:dyDescent="0.35">
      <c r="B25" s="121">
        <v>4</v>
      </c>
      <c r="C25" s="26" t="s">
        <v>951</v>
      </c>
      <c r="D25" s="39" cm="1">
        <f t="array" ref="D25">SUMPRODUCT((LEFT(Journal!$G$6:$G$508,1)="4")*(MONTH(Journal!$B$6:$B$508)=$C$4)*(YEAR(Journal!$B$6:$B$508)=$E$4)*(Journal!$K$6:$K$508&lt;&gt;"")*1)</f>
        <v>0</v>
      </c>
      <c r="E25" s="127" cm="1">
        <f t="array" ref="E25">SUMPRODUCT((LEFT(Journal!$G$6:$G$508,1)="4")*(MONTH(Journal!$B$6:$B$508)=$C$4)*(YEAR(Journal!$B$6:$B$508)=$E$4)*Journal!$K$6:$K$508)</f>
        <v>0</v>
      </c>
      <c r="F25" s="127" cm="1">
        <f t="array" ref="F25">SUMPRODUCT((LEFT(Journal!$G$6:$G$508,1)="4")*(MONTH(Journal!$B$6:$B$508)=$C$4)*(YEAR(Journal!$B$6:$B$508)=$E$4)*Journal!$L$6:$L$508)</f>
        <v>0</v>
      </c>
      <c r="G25" s="127">
        <f t="shared" si="2"/>
        <v>0</v>
      </c>
      <c r="H25" s="142">
        <f t="shared" si="3"/>
        <v>0</v>
      </c>
    </row>
    <row r="26" spans="2:8" x14ac:dyDescent="0.35">
      <c r="B26" s="121">
        <v>5</v>
      </c>
      <c r="C26" s="26" t="s">
        <v>952</v>
      </c>
      <c r="D26" s="39" cm="1">
        <f t="array" ref="D26">SUMPRODUCT((LEFT(Journal!$G$6:$G$508,1)="5")*(MONTH(Journal!$B$6:$B$508)=$C$4)*(YEAR(Journal!$B$6:$B$508)=$E$4)*(Journal!$K$6:$K$508&lt;&gt;"")*1)</f>
        <v>0</v>
      </c>
      <c r="E26" s="127" cm="1">
        <f t="array" ref="E26">SUMPRODUCT((LEFT(Journal!$G$6:$G$508,1)="5")*(MONTH(Journal!$B$6:$B$508)=$C$4)*(YEAR(Journal!$B$6:$B$508)=$E$4)*Journal!$K$6:$K$508)</f>
        <v>0</v>
      </c>
      <c r="F26" s="127" cm="1">
        <f t="array" ref="F26">SUMPRODUCT((LEFT(Journal!$G$6:$G$508,1)="5")*(MONTH(Journal!$B$6:$B$508)=$C$4)*(YEAR(Journal!$B$6:$B$508)=$E$4)*Journal!$L$6:$L$508)</f>
        <v>0</v>
      </c>
      <c r="G26" s="127">
        <f t="shared" si="2"/>
        <v>0</v>
      </c>
      <c r="H26" s="142">
        <f t="shared" si="3"/>
        <v>0</v>
      </c>
    </row>
    <row r="27" spans="2:8" x14ac:dyDescent="0.35">
      <c r="B27" s="121">
        <v>6</v>
      </c>
      <c r="C27" s="26" t="s">
        <v>681</v>
      </c>
      <c r="D27" s="39" cm="1">
        <f t="array" ref="D27">SUMPRODUCT((LEFT(Journal!$G$6:$G$508,1)="6")*(MONTH(Journal!$B$6:$B$508)=$C$4)*(YEAR(Journal!$B$6:$B$508)=$E$4)*(Journal!$K$6:$K$508&lt;&gt;"")*1)</f>
        <v>0</v>
      </c>
      <c r="E27" s="127" cm="1">
        <f t="array" ref="E27">SUMPRODUCT((LEFT(Journal!$G$6:$G$508,1)="6")*(MONTH(Journal!$B$6:$B$508)=$C$4)*(YEAR(Journal!$B$6:$B$508)=$E$4)*Journal!$K$6:$K$508)</f>
        <v>0</v>
      </c>
      <c r="F27" s="127" cm="1">
        <f t="array" ref="F27">SUMPRODUCT((LEFT(Journal!$G$6:$G$508,1)="6")*(MONTH(Journal!$B$6:$B$508)=$C$4)*(YEAR(Journal!$B$6:$B$508)=$E$4)*Journal!$L$6:$L$508)</f>
        <v>0</v>
      </c>
      <c r="G27" s="127">
        <f t="shared" si="2"/>
        <v>0</v>
      </c>
      <c r="H27" s="142">
        <f t="shared" si="3"/>
        <v>0</v>
      </c>
    </row>
    <row r="28" spans="2:8" x14ac:dyDescent="0.35">
      <c r="B28" s="121">
        <v>7</v>
      </c>
      <c r="C28" s="26" t="s">
        <v>678</v>
      </c>
      <c r="D28" s="39" cm="1">
        <f t="array" ref="D28">SUMPRODUCT((LEFT(Journal!$G$6:$G$508,1)="7")*(MONTH(Journal!$B$6:$B$508)=$C$4)*(YEAR(Journal!$B$6:$B$508)=$E$4)*(Journal!$K$6:$K$508&lt;&gt;"")*1)</f>
        <v>0</v>
      </c>
      <c r="E28" s="127" cm="1">
        <f t="array" ref="E28">SUMPRODUCT((LEFT(Journal!$G$6:$G$508,1)="7")*(MONTH(Journal!$B$6:$B$508)=$C$4)*(YEAR(Journal!$B$6:$B$508)=$E$4)*Journal!$K$6:$K$508)</f>
        <v>0</v>
      </c>
      <c r="F28" s="127" cm="1">
        <f t="array" ref="F28">SUMPRODUCT((LEFT(Journal!$G$6:$G$508,1)="7")*(MONTH(Journal!$B$6:$B$508)=$C$4)*(YEAR(Journal!$B$6:$B$508)=$E$4)*Journal!$L$6:$L$508)</f>
        <v>0</v>
      </c>
      <c r="G28" s="127">
        <f t="shared" si="2"/>
        <v>0</v>
      </c>
      <c r="H28" s="142">
        <f t="shared" si="3"/>
        <v>0</v>
      </c>
    </row>
    <row r="29" spans="2:8" x14ac:dyDescent="0.35">
      <c r="B29" s="121">
        <v>8</v>
      </c>
      <c r="C29" s="26" t="s">
        <v>522</v>
      </c>
      <c r="D29" s="39" cm="1">
        <f t="array" ref="D29">SUMPRODUCT((LEFT(Journal!$G$6:$G$508,1)="8")*(MONTH(Journal!$B$6:$B$508)=$C$4)*(YEAR(Journal!$B$6:$B$508)=$E$4)*(Journal!$K$6:$K$508&lt;&gt;"")*1)</f>
        <v>0</v>
      </c>
      <c r="E29" s="127" cm="1">
        <f t="array" ref="E29">SUMPRODUCT((LEFT(Journal!$G$6:$G$508,1)="8")*(MONTH(Journal!$B$6:$B$508)=$C$4)*(YEAR(Journal!$B$6:$B$508)=$E$4)*Journal!$K$6:$K$508)</f>
        <v>0</v>
      </c>
      <c r="F29" s="127" cm="1">
        <f t="array" ref="F29">SUMPRODUCT((LEFT(Journal!$G$6:$G$508,1)="8")*(MONTH(Journal!$B$6:$B$508)=$C$4)*(YEAR(Journal!$B$6:$B$508)=$E$4)*Journal!$L$6:$L$508)</f>
        <v>0</v>
      </c>
      <c r="G29" s="127">
        <f t="shared" si="2"/>
        <v>0</v>
      </c>
      <c r="H29" s="142">
        <f t="shared" si="3"/>
        <v>0</v>
      </c>
    </row>
    <row r="30" spans="2:8" x14ac:dyDescent="0.35">
      <c r="B30" s="121">
        <v>9</v>
      </c>
      <c r="C30" s="26" t="s">
        <v>953</v>
      </c>
      <c r="D30" s="39" cm="1">
        <f t="array" ref="D30">SUMPRODUCT((LEFT(Journal!$G$6:$G$508,1)="9")*(MONTH(Journal!$B$6:$B$508)=$C$4)*(YEAR(Journal!$B$6:$B$508)=$E$4)*(Journal!$K$6:$K$508&lt;&gt;"")*1)</f>
        <v>0</v>
      </c>
      <c r="E30" s="127" cm="1">
        <f t="array" ref="E30">SUMPRODUCT((LEFT(Journal!$G$6:$G$508,1)="9")*(MONTH(Journal!$B$6:$B$508)=$C$4)*(YEAR(Journal!$B$6:$B$508)=$E$4)*Journal!$K$6:$K$508)</f>
        <v>0</v>
      </c>
      <c r="F30" s="127" cm="1">
        <f t="array" ref="F30">SUMPRODUCT((LEFT(Journal!$G$6:$G$508,1)="9")*(MONTH(Journal!$B$6:$B$508)=$C$4)*(YEAR(Journal!$B$6:$B$508)=$E$4)*Journal!$L$6:$L$508)</f>
        <v>0</v>
      </c>
      <c r="G30" s="127">
        <f t="shared" si="2"/>
        <v>0</v>
      </c>
      <c r="H30" s="142">
        <f t="shared" si="3"/>
        <v>0</v>
      </c>
    </row>
    <row r="31" spans="2:8" x14ac:dyDescent="0.35">
      <c r="B31" s="124" t="s">
        <v>948</v>
      </c>
      <c r="C31" s="124"/>
      <c r="D31" s="124">
        <f>SUM(D22:D30)</f>
        <v>0</v>
      </c>
      <c r="E31" s="152">
        <f>SUM(E22:E30)</f>
        <v>0</v>
      </c>
      <c r="F31" s="152">
        <f>SUM(F22:F30)</f>
        <v>0</v>
      </c>
      <c r="G31" s="152">
        <f t="shared" si="2"/>
        <v>0</v>
      </c>
      <c r="H31" s="153">
        <f>IF(E31=0,0,1)</f>
        <v>0</v>
      </c>
    </row>
    <row r="33" spans="2:14" ht="16" x14ac:dyDescent="0.4">
      <c r="B33" s="87" t="s">
        <v>954</v>
      </c>
      <c r="C33" s="87"/>
      <c r="D33" s="87"/>
      <c r="E33" s="87"/>
      <c r="F33" s="87"/>
      <c r="G33" s="87"/>
      <c r="H33" s="87"/>
    </row>
    <row r="34" spans="2:14" x14ac:dyDescent="0.35">
      <c r="B34" s="105" t="s">
        <v>836</v>
      </c>
      <c r="C34" s="105" t="s">
        <v>760</v>
      </c>
    </row>
    <row r="35" spans="2:14" x14ac:dyDescent="0.35">
      <c r="B35" s="26" t="s">
        <v>955</v>
      </c>
      <c r="C35" s="126">
        <f>D18</f>
        <v>0</v>
      </c>
    </row>
    <row r="36" spans="2:14" x14ac:dyDescent="0.35">
      <c r="B36" s="26" t="s">
        <v>956</v>
      </c>
      <c r="C36" s="127">
        <f>E18</f>
        <v>0</v>
      </c>
    </row>
    <row r="37" spans="2:14" x14ac:dyDescent="0.35">
      <c r="B37" s="26" t="s">
        <v>957</v>
      </c>
      <c r="C37" s="127">
        <f>F18</f>
        <v>0</v>
      </c>
    </row>
    <row r="38" spans="2:14" x14ac:dyDescent="0.35">
      <c r="B38" s="26" t="s">
        <v>958</v>
      </c>
      <c r="C38" s="127">
        <f>G18</f>
        <v>0</v>
      </c>
    </row>
    <row r="39" spans="2:14" x14ac:dyDescent="0.35">
      <c r="B39" s="26" t="s">
        <v>959</v>
      </c>
      <c r="C39" s="26" t="str">
        <f>IF(ABS(G18)&lt;1,"✓ ÉQUILIBRÉ","⚠ DÉSÉQUILIBRÉ")</f>
        <v>✓ ÉQUILIBRÉ</v>
      </c>
    </row>
    <row r="40" spans="2:14" x14ac:dyDescent="0.35">
      <c r="B40" s="26" t="s">
        <v>960</v>
      </c>
      <c r="C40" s="26" t="str">
        <f>IF(MAX(D8:D17)=0,"Aucune écriture",INDEX(B8:B17,MATCH(MAX(D8:D17),D8:D17,0)))</f>
        <v>Aucune écriture</v>
      </c>
    </row>
    <row r="41" spans="2:14" x14ac:dyDescent="0.35">
      <c r="B41" s="26" t="s">
        <v>961</v>
      </c>
      <c r="C41" s="26" t="str">
        <f>IF(MAX(E22:E30)=0,"Aucune écriture",INDEX(C22:C30,MATCH(MAX(E22:E30),E22:E30,0)))</f>
        <v>Aucune écriture</v>
      </c>
    </row>
    <row r="43" spans="2:14" x14ac:dyDescent="0.35">
      <c r="B43" s="20" t="s">
        <v>962</v>
      </c>
    </row>
    <row r="45" spans="2:14" ht="16" x14ac:dyDescent="0.4">
      <c r="B45" s="87" t="s">
        <v>963</v>
      </c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</row>
    <row r="46" spans="2:14" x14ac:dyDescent="0.35">
      <c r="B46" s="105" t="s">
        <v>964</v>
      </c>
      <c r="C46" s="105" t="s">
        <v>965</v>
      </c>
      <c r="D46" s="105" t="s">
        <v>966</v>
      </c>
      <c r="E46" s="105" t="s">
        <v>967</v>
      </c>
      <c r="F46" s="105" t="s">
        <v>968</v>
      </c>
      <c r="G46" s="105" t="s">
        <v>969</v>
      </c>
      <c r="H46" s="105" t="s">
        <v>970</v>
      </c>
      <c r="I46" s="105" t="s">
        <v>971</v>
      </c>
      <c r="J46" s="105" t="s">
        <v>972</v>
      </c>
      <c r="K46" s="105" t="s">
        <v>973</v>
      </c>
      <c r="L46" s="105" t="s">
        <v>974</v>
      </c>
      <c r="M46" s="105" t="s">
        <v>975</v>
      </c>
      <c r="N46" s="105" t="s">
        <v>976</v>
      </c>
    </row>
    <row r="47" spans="2:14" x14ac:dyDescent="0.35">
      <c r="B47" s="140" t="s">
        <v>347</v>
      </c>
      <c r="C47" s="154" cm="1">
        <f t="array" ref="C47">SUMPRODUCT((Journal!$F$6:$F$508="AC")*(MONTH(Journal!$B$6:$B$508)=1)*(YEAR(Journal!$B$6:$B$508)=$E$4)*Journal!$K$6:$K$508)</f>
        <v>0</v>
      </c>
      <c r="D47" s="154" cm="1">
        <f t="array" ref="D47">SUMPRODUCT((Journal!$F$6:$F$508="AC")*(MONTH(Journal!$B$6:$B$508)=2)*(YEAR(Journal!$B$6:$B$508)=$E$4)*Journal!$K$6:$K$508)</f>
        <v>0</v>
      </c>
      <c r="E47" s="154" cm="1">
        <f t="array" ref="E47">SUMPRODUCT((Journal!$F$6:$F$508="AC")*(MONTH(Journal!$B$6:$B$508)=3)*(YEAR(Journal!$B$6:$B$508)=$E$4)*Journal!$K$6:$K$508)</f>
        <v>0</v>
      </c>
      <c r="F47" s="154" cm="1">
        <f t="array" ref="F47">SUMPRODUCT((Journal!$F$6:$F$508="AC")*(MONTH(Journal!$B$6:$B$508)=4)*(YEAR(Journal!$B$6:$B$508)=$E$4)*Journal!$K$6:$K$508)</f>
        <v>0</v>
      </c>
      <c r="G47" s="154" cm="1">
        <f t="array" ref="G47">SUMPRODUCT((Journal!$F$6:$F$508="AC")*(MONTH(Journal!$B$6:$B$508)=5)*(YEAR(Journal!$B$6:$B$508)=$E$4)*Journal!$K$6:$K$508)</f>
        <v>0</v>
      </c>
      <c r="H47" s="154" cm="1">
        <f t="array" ref="H47">SUMPRODUCT((Journal!$F$6:$F$508="AC")*(MONTH(Journal!$B$6:$B$508)=6)*(YEAR(Journal!$B$6:$B$508)=$E$4)*Journal!$K$6:$K$508)</f>
        <v>0</v>
      </c>
      <c r="I47" s="154" cm="1">
        <f t="array" ref="I47">SUMPRODUCT((Journal!$F$6:$F$508="AC")*(MONTH(Journal!$B$6:$B$508)=7)*(YEAR(Journal!$B$6:$B$508)=$E$4)*Journal!$K$6:$K$508)</f>
        <v>0</v>
      </c>
      <c r="J47" s="154" cm="1">
        <f t="array" ref="J47">SUMPRODUCT((Journal!$F$6:$F$508="AC")*(MONTH(Journal!$B$6:$B$508)=8)*(YEAR(Journal!$B$6:$B$508)=$E$4)*Journal!$K$6:$K$508)</f>
        <v>0</v>
      </c>
      <c r="K47" s="154" cm="1">
        <f t="array" ref="K47">SUMPRODUCT((Journal!$F$6:$F$508="AC")*(MONTH(Journal!$B$6:$B$508)=9)*(YEAR(Journal!$B$6:$B$508)=$E$4)*Journal!$K$6:$K$508)</f>
        <v>0</v>
      </c>
      <c r="L47" s="154" cm="1">
        <f t="array" ref="L47">SUMPRODUCT((Journal!$F$6:$F$508="AC")*(MONTH(Journal!$B$6:$B$508)=10)*(YEAR(Journal!$B$6:$B$508)=$E$4)*Journal!$K$6:$K$508)</f>
        <v>0</v>
      </c>
      <c r="M47" s="154" cm="1">
        <f t="array" ref="M47">SUMPRODUCT((Journal!$F$6:$F$508="AC")*(MONTH(Journal!$B$6:$B$508)=11)*(YEAR(Journal!$B$6:$B$508)=$E$4)*Journal!$K$6:$K$508)</f>
        <v>0</v>
      </c>
      <c r="N47" s="154" cm="1">
        <f t="array" ref="N47">SUMPRODUCT((Journal!$F$6:$F$508="AC")*(MONTH(Journal!$B$6:$B$508)=12)*(YEAR(Journal!$B$6:$B$508)=$E$4)*Journal!$K$6:$K$508)</f>
        <v>0</v>
      </c>
    </row>
    <row r="48" spans="2:14" x14ac:dyDescent="0.35">
      <c r="B48" s="140" t="s">
        <v>795</v>
      </c>
      <c r="C48" s="154" cm="1">
        <f t="array" ref="C48">SUMPRODUCT((Journal!$F$6:$F$508="VT")*(MONTH(Journal!$B$6:$B$508)=1)*(YEAR(Journal!$B$6:$B$508)=$E$4)*Journal!$K$6:$K$508)</f>
        <v>0</v>
      </c>
      <c r="D48" s="154" cm="1">
        <f t="array" ref="D48">SUMPRODUCT((Journal!$F$6:$F$508="VT")*(MONTH(Journal!$B$6:$B$508)=2)*(YEAR(Journal!$B$6:$B$508)=$E$4)*Journal!$K$6:$K$508)</f>
        <v>0</v>
      </c>
      <c r="E48" s="154" cm="1">
        <f t="array" ref="E48">SUMPRODUCT((Journal!$F$6:$F$508="VT")*(MONTH(Journal!$B$6:$B$508)=3)*(YEAR(Journal!$B$6:$B$508)=$E$4)*Journal!$K$6:$K$508)</f>
        <v>0</v>
      </c>
      <c r="F48" s="154" cm="1">
        <f t="array" ref="F48">SUMPRODUCT((Journal!$F$6:$F$508="VT")*(MONTH(Journal!$B$6:$B$508)=4)*(YEAR(Journal!$B$6:$B$508)=$E$4)*Journal!$K$6:$K$508)</f>
        <v>0</v>
      </c>
      <c r="G48" s="154" cm="1">
        <f t="array" ref="G48">SUMPRODUCT((Journal!$F$6:$F$508="VT")*(MONTH(Journal!$B$6:$B$508)=5)*(YEAR(Journal!$B$6:$B$508)=$E$4)*Journal!$K$6:$K$508)</f>
        <v>0</v>
      </c>
      <c r="H48" s="154" cm="1">
        <f t="array" ref="H48">SUMPRODUCT((Journal!$F$6:$F$508="VT")*(MONTH(Journal!$B$6:$B$508)=6)*(YEAR(Journal!$B$6:$B$508)=$E$4)*Journal!$K$6:$K$508)</f>
        <v>0</v>
      </c>
      <c r="I48" s="154" cm="1">
        <f t="array" ref="I48">SUMPRODUCT((Journal!$F$6:$F$508="VT")*(MONTH(Journal!$B$6:$B$508)=7)*(YEAR(Journal!$B$6:$B$508)=$E$4)*Journal!$K$6:$K$508)</f>
        <v>0</v>
      </c>
      <c r="J48" s="154" cm="1">
        <f t="array" ref="J48">SUMPRODUCT((Journal!$F$6:$F$508="VT")*(MONTH(Journal!$B$6:$B$508)=8)*(YEAR(Journal!$B$6:$B$508)=$E$4)*Journal!$K$6:$K$508)</f>
        <v>0</v>
      </c>
      <c r="K48" s="154" cm="1">
        <f t="array" ref="K48">SUMPRODUCT((Journal!$F$6:$F$508="VT")*(MONTH(Journal!$B$6:$B$508)=9)*(YEAR(Journal!$B$6:$B$508)=$E$4)*Journal!$K$6:$K$508)</f>
        <v>0</v>
      </c>
      <c r="L48" s="154" cm="1">
        <f t="array" ref="L48">SUMPRODUCT((Journal!$F$6:$F$508="VT")*(MONTH(Journal!$B$6:$B$508)=10)*(YEAR(Journal!$B$6:$B$508)=$E$4)*Journal!$K$6:$K$508)</f>
        <v>0</v>
      </c>
      <c r="M48" s="154" cm="1">
        <f t="array" ref="M48">SUMPRODUCT((Journal!$F$6:$F$508="VT")*(MONTH(Journal!$B$6:$B$508)=11)*(YEAR(Journal!$B$6:$B$508)=$E$4)*Journal!$K$6:$K$508)</f>
        <v>0</v>
      </c>
      <c r="N48" s="154" cm="1">
        <f t="array" ref="N48">SUMPRODUCT((Journal!$F$6:$F$508="VT")*(MONTH(Journal!$B$6:$B$508)=12)*(YEAR(Journal!$B$6:$B$508)=$E$4)*Journal!$K$6:$K$508)</f>
        <v>0</v>
      </c>
    </row>
    <row r="49" spans="2:14" x14ac:dyDescent="0.35">
      <c r="B49" s="140" t="s">
        <v>406</v>
      </c>
      <c r="C49" s="154" cm="1">
        <f t="array" ref="C49">SUMPRODUCT((Journal!$F$6:$F$508="BQ")*(MONTH(Journal!$B$6:$B$508)=1)*(YEAR(Journal!$B$6:$B$508)=$E$4)*Journal!$K$6:$K$508)</f>
        <v>0</v>
      </c>
      <c r="D49" s="154" cm="1">
        <f t="array" ref="D49">SUMPRODUCT((Journal!$F$6:$F$508="BQ")*(MONTH(Journal!$B$6:$B$508)=2)*(YEAR(Journal!$B$6:$B$508)=$E$4)*Journal!$K$6:$K$508)</f>
        <v>0</v>
      </c>
      <c r="E49" s="154" cm="1">
        <f t="array" ref="E49">SUMPRODUCT((Journal!$F$6:$F$508="BQ")*(MONTH(Journal!$B$6:$B$508)=3)*(YEAR(Journal!$B$6:$B$508)=$E$4)*Journal!$K$6:$K$508)</f>
        <v>0</v>
      </c>
      <c r="F49" s="154" cm="1">
        <f t="array" ref="F49">SUMPRODUCT((Journal!$F$6:$F$508="BQ")*(MONTH(Journal!$B$6:$B$508)=4)*(YEAR(Journal!$B$6:$B$508)=$E$4)*Journal!$K$6:$K$508)</f>
        <v>0</v>
      </c>
      <c r="G49" s="154" cm="1">
        <f t="array" ref="G49">SUMPRODUCT((Journal!$F$6:$F$508="BQ")*(MONTH(Journal!$B$6:$B$508)=5)*(YEAR(Journal!$B$6:$B$508)=$E$4)*Journal!$K$6:$K$508)</f>
        <v>0</v>
      </c>
      <c r="H49" s="154" cm="1">
        <f t="array" ref="H49">SUMPRODUCT((Journal!$F$6:$F$508="BQ")*(MONTH(Journal!$B$6:$B$508)=6)*(YEAR(Journal!$B$6:$B$508)=$E$4)*Journal!$K$6:$K$508)</f>
        <v>0</v>
      </c>
      <c r="I49" s="154" cm="1">
        <f t="array" ref="I49">SUMPRODUCT((Journal!$F$6:$F$508="BQ")*(MONTH(Journal!$B$6:$B$508)=7)*(YEAR(Journal!$B$6:$B$508)=$E$4)*Journal!$K$6:$K$508)</f>
        <v>0</v>
      </c>
      <c r="J49" s="154" cm="1">
        <f t="array" ref="J49">SUMPRODUCT((Journal!$F$6:$F$508="BQ")*(MONTH(Journal!$B$6:$B$508)=8)*(YEAR(Journal!$B$6:$B$508)=$E$4)*Journal!$K$6:$K$508)</f>
        <v>0</v>
      </c>
      <c r="K49" s="154" cm="1">
        <f t="array" ref="K49">SUMPRODUCT((Journal!$F$6:$F$508="BQ")*(MONTH(Journal!$B$6:$B$508)=9)*(YEAR(Journal!$B$6:$B$508)=$E$4)*Journal!$K$6:$K$508)</f>
        <v>0</v>
      </c>
      <c r="L49" s="154" cm="1">
        <f t="array" ref="L49">SUMPRODUCT((Journal!$F$6:$F$508="BQ")*(MONTH(Journal!$B$6:$B$508)=10)*(YEAR(Journal!$B$6:$B$508)=$E$4)*Journal!$K$6:$K$508)</f>
        <v>0</v>
      </c>
      <c r="M49" s="154" cm="1">
        <f t="array" ref="M49">SUMPRODUCT((Journal!$F$6:$F$508="BQ")*(MONTH(Journal!$B$6:$B$508)=11)*(YEAR(Journal!$B$6:$B$508)=$E$4)*Journal!$K$6:$K$508)</f>
        <v>0</v>
      </c>
      <c r="N49" s="154" cm="1">
        <f t="array" ref="N49">SUMPRODUCT((Journal!$F$6:$F$508="BQ")*(MONTH(Journal!$B$6:$B$508)=12)*(YEAR(Journal!$B$6:$B$508)=$E$4)*Journal!$K$6:$K$508)</f>
        <v>0</v>
      </c>
    </row>
    <row r="50" spans="2:14" x14ac:dyDescent="0.35">
      <c r="B50" s="140" t="s">
        <v>420</v>
      </c>
      <c r="C50" s="154" cm="1">
        <f t="array" ref="C50">SUMPRODUCT((Journal!$F$6:$F$508="CA")*(MONTH(Journal!$B$6:$B$508)=1)*(YEAR(Journal!$B$6:$B$508)=$E$4)*Journal!$K$6:$K$508)</f>
        <v>0</v>
      </c>
      <c r="D50" s="154" cm="1">
        <f t="array" ref="D50">SUMPRODUCT((Journal!$F$6:$F$508="CA")*(MONTH(Journal!$B$6:$B$508)=2)*(YEAR(Journal!$B$6:$B$508)=$E$4)*Journal!$K$6:$K$508)</f>
        <v>0</v>
      </c>
      <c r="E50" s="154" cm="1">
        <f t="array" ref="E50">SUMPRODUCT((Journal!$F$6:$F$508="CA")*(MONTH(Journal!$B$6:$B$508)=3)*(YEAR(Journal!$B$6:$B$508)=$E$4)*Journal!$K$6:$K$508)</f>
        <v>0</v>
      </c>
      <c r="F50" s="154" cm="1">
        <f t="array" ref="F50">SUMPRODUCT((Journal!$F$6:$F$508="CA")*(MONTH(Journal!$B$6:$B$508)=4)*(YEAR(Journal!$B$6:$B$508)=$E$4)*Journal!$K$6:$K$508)</f>
        <v>0</v>
      </c>
      <c r="G50" s="154" cm="1">
        <f t="array" ref="G50">SUMPRODUCT((Journal!$F$6:$F$508="CA")*(MONTH(Journal!$B$6:$B$508)=5)*(YEAR(Journal!$B$6:$B$508)=$E$4)*Journal!$K$6:$K$508)</f>
        <v>0</v>
      </c>
      <c r="H50" s="154" cm="1">
        <f t="array" ref="H50">SUMPRODUCT((Journal!$F$6:$F$508="CA")*(MONTH(Journal!$B$6:$B$508)=6)*(YEAR(Journal!$B$6:$B$508)=$E$4)*Journal!$K$6:$K$508)</f>
        <v>0</v>
      </c>
      <c r="I50" s="154" cm="1">
        <f t="array" ref="I50">SUMPRODUCT((Journal!$F$6:$F$508="CA")*(MONTH(Journal!$B$6:$B$508)=7)*(YEAR(Journal!$B$6:$B$508)=$E$4)*Journal!$K$6:$K$508)</f>
        <v>0</v>
      </c>
      <c r="J50" s="154" cm="1">
        <f t="array" ref="J50">SUMPRODUCT((Journal!$F$6:$F$508="CA")*(MONTH(Journal!$B$6:$B$508)=8)*(YEAR(Journal!$B$6:$B$508)=$E$4)*Journal!$K$6:$K$508)</f>
        <v>0</v>
      </c>
      <c r="K50" s="154" cm="1">
        <f t="array" ref="K50">SUMPRODUCT((Journal!$F$6:$F$508="CA")*(MONTH(Journal!$B$6:$B$508)=9)*(YEAR(Journal!$B$6:$B$508)=$E$4)*Journal!$K$6:$K$508)</f>
        <v>0</v>
      </c>
      <c r="L50" s="154" cm="1">
        <f t="array" ref="L50">SUMPRODUCT((Journal!$F$6:$F$508="CA")*(MONTH(Journal!$B$6:$B$508)=10)*(YEAR(Journal!$B$6:$B$508)=$E$4)*Journal!$K$6:$K$508)</f>
        <v>0</v>
      </c>
      <c r="M50" s="154" cm="1">
        <f t="array" ref="M50">SUMPRODUCT((Journal!$F$6:$F$508="CA")*(MONTH(Journal!$B$6:$B$508)=11)*(YEAR(Journal!$B$6:$B$508)=$E$4)*Journal!$K$6:$K$508)</f>
        <v>0</v>
      </c>
      <c r="N50" s="154" cm="1">
        <f t="array" ref="N50">SUMPRODUCT((Journal!$F$6:$F$508="CA")*(MONTH(Journal!$B$6:$B$508)=12)*(YEAR(Journal!$B$6:$B$508)=$E$4)*Journal!$K$6:$K$508)</f>
        <v>0</v>
      </c>
    </row>
    <row r="51" spans="2:14" x14ac:dyDescent="0.35">
      <c r="B51" s="140" t="s">
        <v>802</v>
      </c>
      <c r="C51" s="154" cm="1">
        <f t="array" ref="C51">SUMPRODUCT((Journal!$F$6:$F$508="OD")*(MONTH(Journal!$B$6:$B$508)=1)*(YEAR(Journal!$B$6:$B$508)=$E$4)*Journal!$K$6:$K$508)</f>
        <v>0</v>
      </c>
      <c r="D51" s="154" cm="1">
        <f t="array" ref="D51">SUMPRODUCT((Journal!$F$6:$F$508="OD")*(MONTH(Journal!$B$6:$B$508)=2)*(YEAR(Journal!$B$6:$B$508)=$E$4)*Journal!$K$6:$K$508)</f>
        <v>0</v>
      </c>
      <c r="E51" s="154" cm="1">
        <f t="array" ref="E51">SUMPRODUCT((Journal!$F$6:$F$508="OD")*(MONTH(Journal!$B$6:$B$508)=3)*(YEAR(Journal!$B$6:$B$508)=$E$4)*Journal!$K$6:$K$508)</f>
        <v>0</v>
      </c>
      <c r="F51" s="154" cm="1">
        <f t="array" ref="F51">SUMPRODUCT((Journal!$F$6:$F$508="OD")*(MONTH(Journal!$B$6:$B$508)=4)*(YEAR(Journal!$B$6:$B$508)=$E$4)*Journal!$K$6:$K$508)</f>
        <v>0</v>
      </c>
      <c r="G51" s="154" cm="1">
        <f t="array" ref="G51">SUMPRODUCT((Journal!$F$6:$F$508="OD")*(MONTH(Journal!$B$6:$B$508)=5)*(YEAR(Journal!$B$6:$B$508)=$E$4)*Journal!$K$6:$K$508)</f>
        <v>0</v>
      </c>
      <c r="H51" s="154" cm="1">
        <f t="array" ref="H51">SUMPRODUCT((Journal!$F$6:$F$508="OD")*(MONTH(Journal!$B$6:$B$508)=6)*(YEAR(Journal!$B$6:$B$508)=$E$4)*Journal!$K$6:$K$508)</f>
        <v>0</v>
      </c>
      <c r="I51" s="154" cm="1">
        <f t="array" ref="I51">SUMPRODUCT((Journal!$F$6:$F$508="OD")*(MONTH(Journal!$B$6:$B$508)=7)*(YEAR(Journal!$B$6:$B$508)=$E$4)*Journal!$K$6:$K$508)</f>
        <v>0</v>
      </c>
      <c r="J51" s="154" cm="1">
        <f t="array" ref="J51">SUMPRODUCT((Journal!$F$6:$F$508="OD")*(MONTH(Journal!$B$6:$B$508)=8)*(YEAR(Journal!$B$6:$B$508)=$E$4)*Journal!$K$6:$K$508)</f>
        <v>0</v>
      </c>
      <c r="K51" s="154" cm="1">
        <f t="array" ref="K51">SUMPRODUCT((Journal!$F$6:$F$508="OD")*(MONTH(Journal!$B$6:$B$508)=9)*(YEAR(Journal!$B$6:$B$508)=$E$4)*Journal!$K$6:$K$508)</f>
        <v>0</v>
      </c>
      <c r="L51" s="154" cm="1">
        <f t="array" ref="L51">SUMPRODUCT((Journal!$F$6:$F$508="OD")*(MONTH(Journal!$B$6:$B$508)=10)*(YEAR(Journal!$B$6:$B$508)=$E$4)*Journal!$K$6:$K$508)</f>
        <v>0</v>
      </c>
      <c r="M51" s="154" cm="1">
        <f t="array" ref="M51">SUMPRODUCT((Journal!$F$6:$F$508="OD")*(MONTH(Journal!$B$6:$B$508)=11)*(YEAR(Journal!$B$6:$B$508)=$E$4)*Journal!$K$6:$K$508)</f>
        <v>0</v>
      </c>
      <c r="N51" s="154" cm="1">
        <f t="array" ref="N51">SUMPRODUCT((Journal!$F$6:$F$508="OD")*(MONTH(Journal!$B$6:$B$508)=12)*(YEAR(Journal!$B$6:$B$508)=$E$4)*Journal!$K$6:$K$508)</f>
        <v>0</v>
      </c>
    </row>
    <row r="52" spans="2:14" x14ac:dyDescent="0.35">
      <c r="B52" s="155" t="s">
        <v>948</v>
      </c>
      <c r="C52" s="156">
        <f t="shared" ref="C52:N52" si="4">SUM(C47:C51)</f>
        <v>0</v>
      </c>
      <c r="D52" s="156">
        <f t="shared" si="4"/>
        <v>0</v>
      </c>
      <c r="E52" s="156">
        <f t="shared" si="4"/>
        <v>0</v>
      </c>
      <c r="F52" s="156">
        <f t="shared" si="4"/>
        <v>0</v>
      </c>
      <c r="G52" s="156">
        <f t="shared" si="4"/>
        <v>0</v>
      </c>
      <c r="H52" s="156">
        <f t="shared" si="4"/>
        <v>0</v>
      </c>
      <c r="I52" s="156">
        <f t="shared" si="4"/>
        <v>0</v>
      </c>
      <c r="J52" s="156">
        <f t="shared" si="4"/>
        <v>0</v>
      </c>
      <c r="K52" s="156">
        <f t="shared" si="4"/>
        <v>0</v>
      </c>
      <c r="L52" s="156">
        <f t="shared" si="4"/>
        <v>0</v>
      </c>
      <c r="M52" s="156">
        <f t="shared" si="4"/>
        <v>0</v>
      </c>
      <c r="N52" s="156">
        <f t="shared" si="4"/>
        <v>0</v>
      </c>
    </row>
    <row r="74" spans="2:4" ht="16" x14ac:dyDescent="0.4">
      <c r="B74" s="87" t="s">
        <v>977</v>
      </c>
      <c r="C74" s="87"/>
      <c r="D74" s="87"/>
    </row>
    <row r="75" spans="2:4" x14ac:dyDescent="0.35">
      <c r="B75" s="105" t="s">
        <v>3</v>
      </c>
      <c r="C75" s="105" t="s">
        <v>776</v>
      </c>
    </row>
    <row r="76" spans="2:4" x14ac:dyDescent="0.35">
      <c r="B76" s="26" t="s">
        <v>950</v>
      </c>
      <c r="C76" s="127">
        <f t="shared" ref="C76:C82" si="5">E22</f>
        <v>0</v>
      </c>
    </row>
    <row r="77" spans="2:4" x14ac:dyDescent="0.35">
      <c r="B77" s="26" t="s">
        <v>811</v>
      </c>
      <c r="C77" s="127">
        <f t="shared" si="5"/>
        <v>0</v>
      </c>
    </row>
    <row r="78" spans="2:4" x14ac:dyDescent="0.35">
      <c r="B78" s="26" t="s">
        <v>814</v>
      </c>
      <c r="C78" s="127">
        <f t="shared" si="5"/>
        <v>0</v>
      </c>
    </row>
    <row r="79" spans="2:4" x14ac:dyDescent="0.35">
      <c r="B79" s="26" t="s">
        <v>951</v>
      </c>
      <c r="C79" s="127">
        <f t="shared" si="5"/>
        <v>0</v>
      </c>
    </row>
    <row r="80" spans="2:4" x14ac:dyDescent="0.35">
      <c r="B80" s="26" t="s">
        <v>952</v>
      </c>
      <c r="C80" s="127">
        <f t="shared" si="5"/>
        <v>0</v>
      </c>
    </row>
    <row r="81" spans="2:4" x14ac:dyDescent="0.35">
      <c r="B81" s="26" t="s">
        <v>681</v>
      </c>
      <c r="C81" s="127">
        <f t="shared" si="5"/>
        <v>0</v>
      </c>
    </row>
    <row r="82" spans="2:4" x14ac:dyDescent="0.35">
      <c r="B82" s="26" t="s">
        <v>678</v>
      </c>
      <c r="C82" s="127">
        <f t="shared" si="5"/>
        <v>0</v>
      </c>
    </row>
    <row r="85" spans="2:4" ht="16" x14ac:dyDescent="0.4">
      <c r="B85" s="87" t="s">
        <v>978</v>
      </c>
      <c r="C85" s="87"/>
      <c r="D85" s="87"/>
    </row>
    <row r="86" spans="2:4" x14ac:dyDescent="0.35">
      <c r="B86" s="105" t="s">
        <v>964</v>
      </c>
      <c r="C86" s="105" t="s">
        <v>288</v>
      </c>
      <c r="D86" s="105" t="s">
        <v>289</v>
      </c>
    </row>
    <row r="87" spans="2:4" x14ac:dyDescent="0.35">
      <c r="B87" s="26" t="s">
        <v>793</v>
      </c>
      <c r="C87" s="127">
        <f t="shared" ref="C87:D91" si="6">E8</f>
        <v>0</v>
      </c>
      <c r="D87" s="127">
        <f t="shared" si="6"/>
        <v>0</v>
      </c>
    </row>
    <row r="88" spans="2:4" x14ac:dyDescent="0.35">
      <c r="B88" s="26" t="s">
        <v>796</v>
      </c>
      <c r="C88" s="127">
        <f t="shared" si="6"/>
        <v>0</v>
      </c>
      <c r="D88" s="127">
        <f t="shared" si="6"/>
        <v>0</v>
      </c>
    </row>
    <row r="89" spans="2:4" x14ac:dyDescent="0.35">
      <c r="B89" s="26" t="s">
        <v>798</v>
      </c>
      <c r="C89" s="127">
        <f t="shared" si="6"/>
        <v>0</v>
      </c>
      <c r="D89" s="127">
        <f t="shared" si="6"/>
        <v>0</v>
      </c>
    </row>
    <row r="90" spans="2:4" x14ac:dyDescent="0.35">
      <c r="B90" s="26" t="s">
        <v>800</v>
      </c>
      <c r="C90" s="127">
        <f t="shared" si="6"/>
        <v>0</v>
      </c>
      <c r="D90" s="127">
        <f t="shared" si="6"/>
        <v>0</v>
      </c>
    </row>
    <row r="91" spans="2:4" x14ac:dyDescent="0.35">
      <c r="B91" s="26" t="s">
        <v>979</v>
      </c>
      <c r="C91" s="127">
        <f t="shared" si="6"/>
        <v>0</v>
      </c>
      <c r="D91" s="127">
        <f t="shared" si="6"/>
        <v>0</v>
      </c>
    </row>
    <row r="93" spans="2:4" x14ac:dyDescent="0.35">
      <c r="B93" s="20" t="s">
        <v>980</v>
      </c>
    </row>
  </sheetData>
  <sheetProtection sheet="1" objects="1" scenarios="1" sort="0" autoFilter="0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06D50-9681-4CE2-ABB1-4C6F151848E2}">
  <sheetPr codeName="Feuil15"/>
  <dimension ref="A1:H42"/>
  <sheetViews>
    <sheetView showGridLines="0" workbookViewId="0"/>
  </sheetViews>
  <sheetFormatPr baseColWidth="10" defaultRowHeight="14.5" x14ac:dyDescent="0.35"/>
  <cols>
    <col min="2" max="2" width="16.54296875" bestFit="1" customWidth="1"/>
    <col min="3" max="3" width="44.54296875" bestFit="1" customWidth="1"/>
    <col min="4" max="4" width="5.453125" bestFit="1" customWidth="1"/>
    <col min="5" max="5" width="7.54296875" bestFit="1" customWidth="1"/>
    <col min="6" max="6" width="13.1796875" bestFit="1" customWidth="1"/>
    <col min="7" max="7" width="6.453125" bestFit="1" customWidth="1"/>
    <col min="8" max="8" width="8.1796875" bestFit="1" customWidth="1"/>
  </cols>
  <sheetData>
    <row r="1" spans="1:8" x14ac:dyDescent="0.35">
      <c r="A1" s="15" t="str">
        <f>HYPERLINK("#'PAGE DE GARDE'!A1","⬅ Menu")</f>
        <v>⬅ Menu</v>
      </c>
    </row>
    <row r="2" spans="1:8" ht="18.5" x14ac:dyDescent="0.45">
      <c r="B2" s="18" t="s">
        <v>335</v>
      </c>
      <c r="C2" s="18"/>
      <c r="D2" s="18"/>
      <c r="E2" s="18"/>
      <c r="F2" s="18"/>
      <c r="G2" s="18"/>
    </row>
    <row r="4" spans="1:8" x14ac:dyDescent="0.35">
      <c r="B4" s="31" t="s">
        <v>336</v>
      </c>
      <c r="C4" s="31" t="s">
        <v>337</v>
      </c>
      <c r="D4" s="31" t="s">
        <v>338</v>
      </c>
      <c r="E4" s="31" t="s">
        <v>339</v>
      </c>
      <c r="F4" s="31" t="s">
        <v>340</v>
      </c>
      <c r="G4" s="31" t="s">
        <v>341</v>
      </c>
      <c r="H4" s="31" t="s">
        <v>342</v>
      </c>
    </row>
    <row r="5" spans="1:8" x14ac:dyDescent="0.35">
      <c r="B5" s="80" t="s">
        <v>343</v>
      </c>
      <c r="C5" s="80" t="s">
        <v>344</v>
      </c>
      <c r="D5" s="80"/>
      <c r="E5" s="92"/>
      <c r="F5" s="92"/>
      <c r="G5" s="92"/>
      <c r="H5" s="92"/>
    </row>
    <row r="6" spans="1:8" x14ac:dyDescent="0.35">
      <c r="B6" t="s">
        <v>345</v>
      </c>
      <c r="C6" t="s">
        <v>346</v>
      </c>
      <c r="D6">
        <v>3</v>
      </c>
      <c r="E6" s="78"/>
      <c r="F6" s="78"/>
      <c r="G6" s="78"/>
      <c r="H6" s="78"/>
    </row>
    <row r="7" spans="1:8" x14ac:dyDescent="0.35">
      <c r="B7" t="s">
        <v>347</v>
      </c>
      <c r="C7" t="s">
        <v>348</v>
      </c>
      <c r="E7" s="78">
        <f>SUMIFS('Balance Générale'!$G:$G,'Balance Générale'!$B:$B,"&gt;=2011",'Balance Générale'!$B:$B,"&lt;2018")</f>
        <v>0</v>
      </c>
      <c r="F7" s="78">
        <f>SUMIFS('Balance Générale'!$H:$H,'Balance Générale'!$B:$B,"&gt;=2811",'Balance Générale'!$B:$B,"&lt;2818")</f>
        <v>0</v>
      </c>
      <c r="G7" s="78">
        <f>E7-F7</f>
        <v>0</v>
      </c>
      <c r="H7" s="78">
        <f>SUMIFS('Balance N-1'!$F:$F,'Balance N-1'!$B:$B,"&gt;=2011",'Balance N-1'!$B:$B,"&lt;2018")-SUMIFS('Balance N-1'!$G:$G,'Balance N-1'!$B:$B,"&gt;=2811",'Balance N-1'!$B:$B,"&lt;2818")</f>
        <v>0</v>
      </c>
    </row>
    <row r="8" spans="1:8" x14ac:dyDescent="0.35">
      <c r="B8" t="s">
        <v>349</v>
      </c>
      <c r="C8" t="s">
        <v>350</v>
      </c>
      <c r="E8" s="78">
        <f>SUMIFS('Balance Générale'!$G:$G,'Balance Générale'!$B:$B,"&gt;=2017",'Balance Générale'!$B:$B,"&lt;=2018")</f>
        <v>0</v>
      </c>
      <c r="F8" s="78">
        <f>SUMIFS('Balance Générale'!$H:$H,'Balance Générale'!$B:$B,"&gt;=2817",'Balance Générale'!$B:$B,"&lt;=2818")</f>
        <v>0</v>
      </c>
      <c r="G8" s="78">
        <f>E8-F8</f>
        <v>0</v>
      </c>
      <c r="H8" s="78">
        <f>SUMIFS('Balance N-1'!$F:$F,'Balance N-1'!$B:$B,"&gt;=2017",'Balance N-1'!$B:$B,"&lt;=2018")-SUMIFS('Balance N-1'!$G:$G,'Balance N-1'!$B:$B,"&gt;=2817",'Balance N-1'!$B:$B,"&lt;=2818")</f>
        <v>0</v>
      </c>
    </row>
    <row r="9" spans="1:8" x14ac:dyDescent="0.35">
      <c r="B9" t="s">
        <v>351</v>
      </c>
      <c r="C9" t="s">
        <v>352</v>
      </c>
      <c r="E9" s="78"/>
      <c r="F9" s="78"/>
      <c r="G9" s="78"/>
      <c r="H9" s="78"/>
    </row>
    <row r="10" spans="1:8" x14ac:dyDescent="0.35">
      <c r="B10" t="s">
        <v>353</v>
      </c>
      <c r="C10" t="s">
        <v>354</v>
      </c>
      <c r="D10">
        <v>4</v>
      </c>
      <c r="E10" s="78"/>
      <c r="F10" s="78"/>
      <c r="G10" s="78"/>
      <c r="H10" s="78"/>
    </row>
    <row r="11" spans="1:8" x14ac:dyDescent="0.35">
      <c r="B11" t="s">
        <v>355</v>
      </c>
      <c r="C11" t="s">
        <v>356</v>
      </c>
      <c r="E11" s="78">
        <f>SUMIF('Balance Générale'!$B:$B,2021,'Balance Générale'!$G:$G)</f>
        <v>0</v>
      </c>
      <c r="F11" s="78">
        <f>SUMIF('Balance Générale'!$B:$B,2821,'Balance Générale'!$H:$H)</f>
        <v>0</v>
      </c>
      <c r="G11" s="78">
        <f>E11-F11</f>
        <v>0</v>
      </c>
      <c r="H11" s="78">
        <f>SUMIF('Balance N-1'!$B:$B,2021,'Balance N-1'!$F:$F)-SUMIF('Balance N-1'!$B:$B,2821,'Balance N-1'!$G:$G)</f>
        <v>0</v>
      </c>
    </row>
    <row r="12" spans="1:8" x14ac:dyDescent="0.35">
      <c r="B12" t="s">
        <v>357</v>
      </c>
      <c r="C12" t="s">
        <v>358</v>
      </c>
      <c r="E12" s="78">
        <f>SUMIFS('Balance Générale'!$G:$G,'Balance Générale'!$B:$B,"&gt;=2110",'Balance Générale'!$B:$B,"&lt;2130")</f>
        <v>0</v>
      </c>
      <c r="F12" s="78">
        <f>SUMIFS('Balance Générale'!$H:$H,'Balance Générale'!$B:$B,"&gt;=2831",'Balance Générale'!$B:$B,"&lt;=2833")</f>
        <v>0</v>
      </c>
      <c r="G12" s="78">
        <f>E12-F12</f>
        <v>0</v>
      </c>
      <c r="H12" s="78">
        <f>SUMIFS('Balance N-1'!$F:$F,'Balance N-1'!$B:$B,"&gt;=2110",'Balance N-1'!$B:$B,"&lt;2130")-SUMIFS('Balance N-1'!$G:$G,'Balance N-1'!$B:$B,"&gt;=2831",'Balance N-1'!$B:$B,"&lt;=2833")</f>
        <v>0</v>
      </c>
    </row>
    <row r="13" spans="1:8" x14ac:dyDescent="0.35">
      <c r="B13" t="s">
        <v>359</v>
      </c>
      <c r="C13" t="s">
        <v>56</v>
      </c>
      <c r="E13" s="78">
        <f>SUMIF('Balance Générale'!$B:$B,2131,'Balance Générale'!$G:$G)</f>
        <v>0</v>
      </c>
      <c r="F13" s="78">
        <f>SUMIF('Balance Générale'!$B:$B,2835,'Balance Générale'!$H:$H)</f>
        <v>0</v>
      </c>
      <c r="G13" s="78">
        <f>E13-F13</f>
        <v>0</v>
      </c>
      <c r="H13" s="78"/>
    </row>
    <row r="14" spans="1:8" x14ac:dyDescent="0.35">
      <c r="B14" t="s">
        <v>360</v>
      </c>
      <c r="C14" t="s">
        <v>361</v>
      </c>
      <c r="E14" s="78">
        <f>SUMIFS('Balance Générale'!$G:$G,'Balance Générale'!$B:$B,"&gt;=2132",'Balance Générale'!$B:$B,"&lt;2200")</f>
        <v>0</v>
      </c>
      <c r="F14" s="78">
        <f>SUMIFS('Balance Générale'!$H:$H,'Balance Générale'!$B:$B,"&gt;=2834",'Balance Générale'!$B:$B,"&lt;=2838")</f>
        <v>0</v>
      </c>
      <c r="G14" s="78">
        <f>E14-F14</f>
        <v>0</v>
      </c>
      <c r="H14" s="78"/>
    </row>
    <row r="15" spans="1:8" x14ac:dyDescent="0.35">
      <c r="B15" t="s">
        <v>362</v>
      </c>
      <c r="C15" t="s">
        <v>363</v>
      </c>
      <c r="D15">
        <v>5</v>
      </c>
      <c r="E15" s="78"/>
      <c r="F15" s="78"/>
      <c r="G15" s="78"/>
      <c r="H15" s="78"/>
    </row>
    <row r="16" spans="1:8" x14ac:dyDescent="0.35">
      <c r="B16" t="s">
        <v>364</v>
      </c>
      <c r="C16" t="s">
        <v>365</v>
      </c>
      <c r="E16" s="78">
        <f>SUMIFS('Balance Générale'!$G:$G,'Balance Générale'!$B:$B,"&gt;=2210",'Balance Générale'!$B:$B,"&lt;2230")</f>
        <v>0</v>
      </c>
      <c r="F16" s="78">
        <f>SUMIFS('Balance Générale'!$H:$H,'Balance Générale'!$B:$B,"&gt;=2841",'Balance Générale'!$B:$B,"&lt;=2842")</f>
        <v>0</v>
      </c>
      <c r="G16" s="78">
        <f>E16-F16</f>
        <v>0</v>
      </c>
      <c r="H16" s="78"/>
    </row>
    <row r="17" spans="2:8" x14ac:dyDescent="0.35">
      <c r="B17" t="s">
        <v>366</v>
      </c>
      <c r="C17" t="s">
        <v>367</v>
      </c>
      <c r="E17" s="78">
        <f>SUMIFS('Balance Générale'!$G:$G,'Balance Générale'!$B:$B,"&gt;=2310",'Balance Générale'!$B:$B,"&lt;2340")</f>
        <v>0</v>
      </c>
      <c r="F17" s="78">
        <f>SUMIFS('Balance Générale'!$H:$H,'Balance Générale'!$B:$B,"&gt;=2851",'Balance Générale'!$B:$B,"&lt;=2858")</f>
        <v>0</v>
      </c>
      <c r="G17" s="78">
        <f>E17-F17</f>
        <v>0</v>
      </c>
      <c r="H17" s="78"/>
    </row>
    <row r="18" spans="2:8" x14ac:dyDescent="0.35">
      <c r="B18" t="s">
        <v>368</v>
      </c>
      <c r="C18" t="s">
        <v>369</v>
      </c>
      <c r="E18" s="78">
        <f>SUMIFS('Balance Générale'!$G:$G,'Balance Générale'!$B:$B,"&gt;=2320",'Balance Générale'!$B:$B,"&lt;=2330")+SUMIFS('Balance Générale'!$G:$G,'Balance Générale'!$B:$B,"&gt;=2380",'Balance Générale'!$B:$B,"&lt;2400")</f>
        <v>0</v>
      </c>
      <c r="F18">
        <f>SUMIFS('Balance Générale'!$H:$H,'Balance Générale'!$B:$B,"&gt;=2832",'Balance Générale'!$B:$B,"&lt;=2838")</f>
        <v>0</v>
      </c>
      <c r="G18" s="78">
        <f>E18-F18</f>
        <v>0</v>
      </c>
      <c r="H18" s="78"/>
    </row>
    <row r="19" spans="2:8" x14ac:dyDescent="0.35">
      <c r="B19" t="s">
        <v>370</v>
      </c>
      <c r="C19" t="s">
        <v>371</v>
      </c>
      <c r="E19" s="78">
        <f>SUMIFS('Balance Générale'!$G:$G,'Balance Générale'!$B:$B,"&gt;=2410",'Balance Générale'!$B:$B,"&lt;2450")</f>
        <v>0</v>
      </c>
      <c r="F19" s="78">
        <f>SUMIFS('Balance Générale'!$H:$H,'Balance Générale'!$B:$B,"&gt;=2861",'Balance Générale'!$B:$B,"&lt;=2866")</f>
        <v>0</v>
      </c>
      <c r="G19" s="78">
        <f>E19-F19</f>
        <v>0</v>
      </c>
      <c r="H19" s="78"/>
    </row>
    <row r="20" spans="2:8" x14ac:dyDescent="0.35">
      <c r="B20" t="s">
        <v>372</v>
      </c>
      <c r="C20" t="s">
        <v>373</v>
      </c>
      <c r="E20" s="78">
        <f>SUMIFS('Balance Générale'!$G:$G,'Balance Générale'!$B:$B,"&gt;=2450",'Balance Générale'!$B:$B,"&lt;2460")</f>
        <v>0</v>
      </c>
      <c r="F20" s="78">
        <f>SUMIF('Balance Générale'!$B:$B,2865,'Balance Générale'!$H:$H)</f>
        <v>0</v>
      </c>
      <c r="G20" s="78">
        <f>E20-F20</f>
        <v>0</v>
      </c>
      <c r="H20" s="78"/>
    </row>
    <row r="21" spans="2:8" x14ac:dyDescent="0.35">
      <c r="B21" t="s">
        <v>374</v>
      </c>
      <c r="C21" t="s">
        <v>375</v>
      </c>
      <c r="D21">
        <v>6</v>
      </c>
      <c r="E21" s="78">
        <f>SUMIFS('Balance Générale'!$G:$G,'Balance Générale'!$B:$B,"&gt;=2491",'Balance Générale'!$B:$B,"&lt;=2493")</f>
        <v>0</v>
      </c>
      <c r="F21" s="78"/>
      <c r="G21" s="78">
        <f>E21</f>
        <v>0</v>
      </c>
      <c r="H21" s="78"/>
    </row>
    <row r="22" spans="2:8" x14ac:dyDescent="0.35">
      <c r="B22" t="s">
        <v>376</v>
      </c>
      <c r="C22" t="s">
        <v>377</v>
      </c>
      <c r="D22">
        <v>7</v>
      </c>
      <c r="E22" s="78"/>
      <c r="F22" s="78"/>
      <c r="G22" s="78"/>
      <c r="H22" s="78"/>
    </row>
    <row r="23" spans="2:8" x14ac:dyDescent="0.35">
      <c r="B23" t="s">
        <v>378</v>
      </c>
      <c r="C23" t="s">
        <v>379</v>
      </c>
      <c r="E23" s="78">
        <f>SUMIFS('Balance Générale'!$G:$G,'Balance Générale'!$B:$B,"&gt;=2610",'Balance Générale'!$B:$B,"&lt;2700")</f>
        <v>0</v>
      </c>
      <c r="F23" s="78">
        <f>SUMIF('Balance Générale'!$B:$B,2951,'Balance Générale'!$H:$H)</f>
        <v>0</v>
      </c>
      <c r="G23" s="78">
        <f>E23-F23</f>
        <v>0</v>
      </c>
      <c r="H23" s="78"/>
    </row>
    <row r="24" spans="2:8" x14ac:dyDescent="0.35">
      <c r="B24" t="s">
        <v>380</v>
      </c>
      <c r="C24" t="s">
        <v>381</v>
      </c>
      <c r="E24" s="78">
        <f>SUMIFS('Balance Générale'!$G:$G,'Balance Générale'!$B:$B,"&gt;=2710",'Balance Générale'!$B:$B,"&lt;2800")</f>
        <v>0</v>
      </c>
      <c r="F24" s="78">
        <f>SUMIFS('Balance Générale'!$H:$H,'Balance Générale'!$B:$B,"&gt;=2971",'Balance Générale'!$B:$B,"&lt;=2972")</f>
        <v>0</v>
      </c>
      <c r="G24" s="78">
        <f>E24-F24</f>
        <v>0</v>
      </c>
      <c r="H24" s="78"/>
    </row>
    <row r="25" spans="2:8" x14ac:dyDescent="0.35">
      <c r="B25" s="80" t="s">
        <v>382</v>
      </c>
      <c r="C25" s="80" t="s">
        <v>383</v>
      </c>
      <c r="D25" s="80"/>
      <c r="E25" s="92">
        <f>SUM(E7:E9,E11:E14,E16:E21,E23:E24)</f>
        <v>0</v>
      </c>
      <c r="F25" s="92">
        <f>SUM(F7:F9,F11:F14,F16:F21,F23:F24)</f>
        <v>0</v>
      </c>
      <c r="G25" s="92">
        <f>E25-F25</f>
        <v>0</v>
      </c>
      <c r="H25" s="92">
        <f>SUM(H7:H9,H11:H14,H16:H21,H23:H24)</f>
        <v>0</v>
      </c>
    </row>
    <row r="26" spans="2:8" x14ac:dyDescent="0.35">
      <c r="B26" t="s">
        <v>384</v>
      </c>
      <c r="C26" t="s">
        <v>385</v>
      </c>
      <c r="E26" s="78"/>
      <c r="F26" s="78"/>
      <c r="G26" s="78"/>
      <c r="H26" s="78"/>
    </row>
    <row r="27" spans="2:8" x14ac:dyDescent="0.35">
      <c r="B27" t="s">
        <v>386</v>
      </c>
      <c r="C27" t="s">
        <v>387</v>
      </c>
      <c r="D27">
        <v>8</v>
      </c>
      <c r="E27" s="78"/>
      <c r="F27" s="78"/>
      <c r="G27" s="78"/>
      <c r="H27" s="78"/>
    </row>
    <row r="28" spans="2:8" x14ac:dyDescent="0.35">
      <c r="B28" t="s">
        <v>388</v>
      </c>
      <c r="C28" t="s">
        <v>389</v>
      </c>
      <c r="E28" s="78">
        <f>SUMIFS('Balance Générale'!$G:$G,'Balance Générale'!$B:$B,"&gt;=3110",'Balance Générale'!$B:$B,"&lt;3200")</f>
        <v>0</v>
      </c>
      <c r="F28" s="78">
        <f>SUMIF('Balance Générale'!$B:$B,3910,'Balance Générale'!$H:$H)</f>
        <v>0</v>
      </c>
      <c r="G28" s="78">
        <f>E28-F28</f>
        <v>0</v>
      </c>
      <c r="H28" s="78">
        <f>SUMIFS('Balance N-1'!$F:$F,'Balance N-1'!$B:$B,"&gt;=3110",'Balance N-1'!$B:$B,"&lt;3200")-SUMIF('Balance N-1'!$B:$B,3910,'Balance N-1'!$G:$G)</f>
        <v>0</v>
      </c>
    </row>
    <row r="29" spans="2:8" x14ac:dyDescent="0.35">
      <c r="B29" t="s">
        <v>390</v>
      </c>
      <c r="C29" t="s">
        <v>391</v>
      </c>
      <c r="E29" s="78">
        <f>SUMIFS('Balance Générale'!$G:$G,'Balance Générale'!$B:$B,"&gt;=3210",'Balance Générale'!$B:$B,"&lt;3300")</f>
        <v>0</v>
      </c>
      <c r="F29" s="78">
        <f>SUMIF('Balance Générale'!$B:$B,3920,'Balance Générale'!$H:$H)</f>
        <v>0</v>
      </c>
      <c r="G29" s="78">
        <f>E29-F29</f>
        <v>0</v>
      </c>
      <c r="H29" s="78">
        <f>SUMIFS('Balance N-1'!$F:$F,'Balance N-1'!$B:$B,"&gt;=3210",'Balance N-1'!$B:$B,"&lt;3300")-SUMIF('Balance N-1'!$B:$B,3920,'Balance N-1'!$G:$G)</f>
        <v>0</v>
      </c>
    </row>
    <row r="30" spans="2:8" x14ac:dyDescent="0.35">
      <c r="B30" t="s">
        <v>392</v>
      </c>
      <c r="C30" t="s">
        <v>393</v>
      </c>
      <c r="E30" s="78">
        <f>SUMIFS('Balance Générale'!$G:$G,'Balance Générale'!$B:$B,"&gt;=3500",'Balance Générale'!$B:$B,"&lt;3600")</f>
        <v>0</v>
      </c>
      <c r="F30" s="78">
        <f>SUMIF('Balance Générale'!$B:$B,3950,'Balance Générale'!$H:$H)</f>
        <v>0</v>
      </c>
      <c r="G30" s="78">
        <f>E30-F30</f>
        <v>0</v>
      </c>
      <c r="H30" s="78">
        <f>SUMIFS('Balance N-1'!$F:$F,'Balance N-1'!$B:$B,"&gt;=3500",'Balance N-1'!$B:$B,"&lt;3600")-SUMIF('Balance N-1'!$B:$B,3950,'Balance N-1'!$G:$G)</f>
        <v>0</v>
      </c>
    </row>
    <row r="31" spans="2:8" x14ac:dyDescent="0.35">
      <c r="B31" t="s">
        <v>394</v>
      </c>
      <c r="C31" t="s">
        <v>395</v>
      </c>
      <c r="E31" s="78">
        <f>SUMIFS('Balance Générale'!$G:$G,'Balance Générale'!$B:$B,"&gt;=3600",'Balance Générale'!$B:$B,"&lt;3700")</f>
        <v>0</v>
      </c>
      <c r="F31" s="78">
        <f>SUMIF('Balance Générale'!$B:$B,3960,'Balance Générale'!$H:$H)</f>
        <v>0</v>
      </c>
      <c r="G31" s="78">
        <f>E31-F31</f>
        <v>0</v>
      </c>
      <c r="H31" s="78">
        <f>SUMIFS('Balance N-1'!$F:$F,'Balance N-1'!$B:$B,"&gt;=3600",'Balance N-1'!$B:$B,"&lt;3700")-SUMIF('Balance N-1'!$B:$B,3960,'Balance N-1'!$G:$G)</f>
        <v>0</v>
      </c>
    </row>
    <row r="32" spans="2:8" x14ac:dyDescent="0.35">
      <c r="B32" t="s">
        <v>396</v>
      </c>
      <c r="C32" t="s">
        <v>397</v>
      </c>
      <c r="E32" s="78"/>
      <c r="F32" s="78"/>
      <c r="G32" s="78"/>
      <c r="H32" s="78"/>
    </row>
    <row r="33" spans="2:8" x14ac:dyDescent="0.35">
      <c r="B33" t="s">
        <v>398</v>
      </c>
      <c r="C33" t="s">
        <v>399</v>
      </c>
      <c r="D33">
        <v>9</v>
      </c>
      <c r="E33" s="78">
        <f>SUMIF('Balance Générale'!$B:$B,4090,'Balance Générale'!$G:$G)</f>
        <v>0</v>
      </c>
      <c r="F33" s="78"/>
      <c r="G33" s="78">
        <f>E33</f>
        <v>0</v>
      </c>
      <c r="H33" s="78">
        <f>SUMIF('Balance N-1'!$B:$B,4090,'Balance N-1'!$F:$F)</f>
        <v>0</v>
      </c>
    </row>
    <row r="34" spans="2:8" x14ac:dyDescent="0.35">
      <c r="B34" t="s">
        <v>400</v>
      </c>
      <c r="C34" t="s">
        <v>401</v>
      </c>
      <c r="D34">
        <v>10</v>
      </c>
      <c r="E34" s="78">
        <f>SUMIFS('Balance Générale'!$G:$G,'Balance Générale'!$B:$B,"&gt;=4110",'Balance Générale'!$B:$B,"&lt;4190")</f>
        <v>0</v>
      </c>
      <c r="F34" s="78">
        <f>SUMIF('Balance Générale'!$B:$B,4910,'Balance Générale'!$H:$H)</f>
        <v>0</v>
      </c>
      <c r="G34" s="78">
        <f>E34-F34</f>
        <v>0</v>
      </c>
      <c r="H34" s="78">
        <f>SUMIFS('Balance N-1'!$F:$F,'Balance N-1'!$B:$B,"&gt;=4110",'Balance N-1'!$B:$B,"&lt;4190")-SUMIF('Balance N-1'!$B:$B,4910,'Balance N-1'!$G:$G)</f>
        <v>0</v>
      </c>
    </row>
    <row r="35" spans="2:8" x14ac:dyDescent="0.35">
      <c r="B35" s="80" t="s">
        <v>402</v>
      </c>
      <c r="C35" s="80" t="s">
        <v>403</v>
      </c>
      <c r="D35" s="80">
        <v>11</v>
      </c>
      <c r="E35" s="92">
        <f>SUMIFS('Balance Générale'!$G:$G,'Balance Générale'!$B:$B,"&gt;=4210",'Balance Générale'!$B:$B,"&lt;4220")+SUMIFS('Balance Générale'!$G:$G,'Balance Générale'!$B:$B,"&gt;=4430",'Balance Générale'!$B:$B,"&lt;4440")+SUMIF('Balance Générale'!$B:$B,4710,'Balance Générale'!$G:$G)</f>
        <v>0</v>
      </c>
      <c r="F35" s="92">
        <f>SUMIF('Balance Générale'!$B:$B,4920,'Balance Générale'!$H:$H)</f>
        <v>0</v>
      </c>
      <c r="G35" s="92">
        <f>E35-F35</f>
        <v>0</v>
      </c>
      <c r="H35" s="92">
        <f>SUMIFS('Balance N-1'!$F:$F,'Balance N-1'!$B:$B,"&gt;=4210",'Balance N-1'!$B:$B,"&lt;4220")+SUMIFS('Balance N-1'!$F:$F,'Balance N-1'!$B:$B,"&gt;=4430",'Balance N-1'!$B:$B,"&lt;4440")+SUMIF('Balance N-1'!$B:$B,4710,'Balance N-1'!$F:$F)-SUMIF('Balance N-1'!$B:$B,4920,'Balance N-1'!$G:$G)</f>
        <v>0</v>
      </c>
    </row>
    <row r="36" spans="2:8" x14ac:dyDescent="0.35">
      <c r="B36" t="s">
        <v>404</v>
      </c>
      <c r="C36" t="s">
        <v>405</v>
      </c>
      <c r="E36" s="78">
        <f>SUM(E28:E31,E33:E35)</f>
        <v>0</v>
      </c>
      <c r="F36" s="78">
        <f>SUM(F28:F31,F33:F35)</f>
        <v>0</v>
      </c>
      <c r="G36" s="78">
        <f>E36-F36</f>
        <v>0</v>
      </c>
      <c r="H36" s="78">
        <f>SUM(H28:H31,H33:H35)</f>
        <v>0</v>
      </c>
    </row>
    <row r="37" spans="2:8" x14ac:dyDescent="0.35">
      <c r="B37" t="s">
        <v>406</v>
      </c>
      <c r="C37" t="s">
        <v>407</v>
      </c>
      <c r="E37" s="78"/>
      <c r="F37" s="78"/>
      <c r="G37" s="78"/>
      <c r="H37" s="78"/>
    </row>
    <row r="38" spans="2:8" x14ac:dyDescent="0.35">
      <c r="B38" t="s">
        <v>408</v>
      </c>
      <c r="C38" t="s">
        <v>409</v>
      </c>
      <c r="D38">
        <v>12</v>
      </c>
      <c r="E38" s="78">
        <f>SUMIF('Balance Générale'!$B:$B,5510,'Balance Générale'!$G:$G)</f>
        <v>0</v>
      </c>
      <c r="F38" s="78">
        <f>SUMIF('Balance Générale'!$B:$B,5990,'Balance Générale'!$H:$H)</f>
        <v>0</v>
      </c>
      <c r="G38" s="78">
        <f>E38-F38</f>
        <v>0</v>
      </c>
      <c r="H38" s="78">
        <f>SUMIF('Balance N-1'!$B:$B,5510,'Balance N-1'!$F:$F)-SUMIF('Balance N-1'!$B:$B,5990,'Balance N-1'!$G:$G)</f>
        <v>0</v>
      </c>
    </row>
    <row r="39" spans="2:8" x14ac:dyDescent="0.35">
      <c r="B39" t="s">
        <v>410</v>
      </c>
      <c r="C39" t="s">
        <v>411</v>
      </c>
      <c r="E39" s="78">
        <f>SUMIFS('Balance Générale'!$G:$G,'Balance Générale'!$B:$B,"&gt;=5410",'Balance Générale'!$B:$B,"&lt;5500")</f>
        <v>0</v>
      </c>
      <c r="F39" s="78"/>
      <c r="G39" s="78">
        <f>E39</f>
        <v>0</v>
      </c>
      <c r="H39" s="78">
        <f>SUMIFS('Balance N-1'!$F:$F,'Balance N-1'!$B:$B,"&gt;=5410",'Balance N-1'!$B:$B,"&lt;5500")</f>
        <v>0</v>
      </c>
    </row>
    <row r="40" spans="2:8" x14ac:dyDescent="0.35">
      <c r="B40" t="s">
        <v>412</v>
      </c>
      <c r="C40" t="s">
        <v>413</v>
      </c>
      <c r="D40">
        <v>13</v>
      </c>
      <c r="E40" s="78">
        <f>SUMIFS('Balance Générale'!$G:$G,'Balance Générale'!$B:$B,"&gt;=5210",'Balance Générale'!$B:$B,"&lt;5400")+SUMIFS('Balance Générale'!$G:$G,'Balance Générale'!$B:$B,"&gt;=5610",'Balance Générale'!$B:$B,"&lt;5700")</f>
        <v>0</v>
      </c>
      <c r="F40" s="78"/>
      <c r="G40" s="78">
        <f>E40</f>
        <v>0</v>
      </c>
      <c r="H40" s="78">
        <f>SUMIFS('Balance N-1'!$F:$F,'Balance N-1'!$B:$B,"&gt;=5210",'Balance N-1'!$B:$B,"&lt;5400")+SUMIFS('Balance N-1'!$F:$F,'Balance N-1'!$B:$B,"&gt;=5610",'Balance N-1'!$B:$B,"&lt;5700")</f>
        <v>0</v>
      </c>
    </row>
    <row r="41" spans="2:8" x14ac:dyDescent="0.35">
      <c r="B41" s="80" t="s">
        <v>414</v>
      </c>
      <c r="C41" s="80" t="s">
        <v>415</v>
      </c>
      <c r="D41" s="80"/>
      <c r="E41" s="92">
        <f>SUM(E38:E40)</f>
        <v>0</v>
      </c>
      <c r="F41" s="92">
        <f>SUM(F38:F40)</f>
        <v>0</v>
      </c>
      <c r="G41" s="92">
        <f>E41-F41</f>
        <v>0</v>
      </c>
      <c r="H41" s="92">
        <f>SUM(H38:H40)</f>
        <v>0</v>
      </c>
    </row>
    <row r="42" spans="2:8" x14ac:dyDescent="0.35">
      <c r="B42" s="80" t="s">
        <v>416</v>
      </c>
      <c r="C42" s="80" t="s">
        <v>417</v>
      </c>
      <c r="D42" s="80"/>
      <c r="E42" s="92">
        <f>E25+E36+E41</f>
        <v>0</v>
      </c>
      <c r="F42" s="92">
        <f>F25+F36+F41</f>
        <v>0</v>
      </c>
      <c r="G42" s="92">
        <f>E42-F42</f>
        <v>0</v>
      </c>
      <c r="H42" s="92">
        <f>H25+H36+H41</f>
        <v>0</v>
      </c>
    </row>
  </sheetData>
  <sheetProtection sheet="1" objects="1" scenarios="1" sort="0" autoFilter="0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58031-4D8D-4210-A9E4-508395E8D0EF}">
  <sheetPr codeName="Feuil16"/>
  <dimension ref="A1:F38"/>
  <sheetViews>
    <sheetView showGridLines="0" workbookViewId="0"/>
  </sheetViews>
  <sheetFormatPr baseColWidth="10" defaultRowHeight="14.5" x14ac:dyDescent="0.35"/>
  <cols>
    <col min="2" max="2" width="17.81640625" bestFit="1" customWidth="1"/>
    <col min="3" max="3" width="46.1796875" bestFit="1" customWidth="1"/>
    <col min="4" max="4" width="5.453125" bestFit="1" customWidth="1"/>
    <col min="5" max="5" width="6.453125" bestFit="1" customWidth="1"/>
    <col min="6" max="6" width="8.1796875" bestFit="1" customWidth="1"/>
  </cols>
  <sheetData>
    <row r="1" spans="1:6" x14ac:dyDescent="0.35">
      <c r="A1" s="15" t="str">
        <f>HYPERLINK("#'PAGE DE GARDE'!A1","⬅ Menu")</f>
        <v>⬅ Menu</v>
      </c>
    </row>
    <row r="2" spans="1:6" ht="18.5" x14ac:dyDescent="0.45">
      <c r="B2" s="18" t="s">
        <v>418</v>
      </c>
      <c r="C2" s="18"/>
      <c r="D2" s="18"/>
      <c r="E2" s="18"/>
      <c r="F2" s="18"/>
    </row>
    <row r="4" spans="1:6" x14ac:dyDescent="0.35">
      <c r="B4" s="31" t="s">
        <v>336</v>
      </c>
      <c r="C4" s="31" t="s">
        <v>419</v>
      </c>
      <c r="D4" s="31" t="s">
        <v>338</v>
      </c>
      <c r="E4" s="31" t="s">
        <v>341</v>
      </c>
      <c r="F4" s="31" t="s">
        <v>342</v>
      </c>
    </row>
    <row r="5" spans="1:6" x14ac:dyDescent="0.35">
      <c r="B5" s="80" t="s">
        <v>420</v>
      </c>
      <c r="C5" s="80" t="s">
        <v>421</v>
      </c>
      <c r="D5" s="80"/>
      <c r="E5" s="92"/>
      <c r="F5" s="92"/>
    </row>
    <row r="6" spans="1:6" x14ac:dyDescent="0.35">
      <c r="B6" t="s">
        <v>422</v>
      </c>
      <c r="C6" t="s">
        <v>423</v>
      </c>
      <c r="D6">
        <v>14</v>
      </c>
      <c r="E6" s="78">
        <f>SUMIFS('Balance Générale'!$H:$H,'Balance Générale'!$B:$B,"&gt;=1011",'Balance Générale'!$B:$B,"&lt;1030")</f>
        <v>0</v>
      </c>
      <c r="F6" s="78">
        <f>SUMIFS('Balance N-1'!$G:$G,'Balance N-1'!$B:$B,"&gt;=1011",'Balance N-1'!$B:$B,"&lt;1030")</f>
        <v>0</v>
      </c>
    </row>
    <row r="7" spans="1:6" x14ac:dyDescent="0.35">
      <c r="B7" t="s">
        <v>424</v>
      </c>
      <c r="C7" t="s">
        <v>425</v>
      </c>
      <c r="E7" s="78"/>
      <c r="F7" s="78"/>
    </row>
    <row r="8" spans="1:6" x14ac:dyDescent="0.35">
      <c r="B8" t="s">
        <v>426</v>
      </c>
      <c r="C8" t="s">
        <v>427</v>
      </c>
      <c r="D8">
        <v>14</v>
      </c>
      <c r="E8" s="78"/>
      <c r="F8" s="78"/>
    </row>
    <row r="9" spans="1:6" x14ac:dyDescent="0.35">
      <c r="B9" t="s">
        <v>428</v>
      </c>
      <c r="C9" t="s">
        <v>429</v>
      </c>
      <c r="E9" s="78">
        <f>SUMIFS('Balance Générale'!$H:$H,'Balance Générale'!$B:$B,"&gt;=1041",'Balance Générale'!$B:$B,"&lt;1050")</f>
        <v>0</v>
      </c>
      <c r="F9" s="78">
        <f>SUMIFS('Balance N-1'!$G:$G,'Balance N-1'!$B:$B,"&gt;=1041",'Balance N-1'!$B:$B,"&lt;1050")</f>
        <v>0</v>
      </c>
    </row>
    <row r="10" spans="1:6" x14ac:dyDescent="0.35">
      <c r="B10" t="s">
        <v>430</v>
      </c>
      <c r="C10" t="s">
        <v>431</v>
      </c>
      <c r="E10" s="78">
        <f>SUMIFS('Balance Générale'!$H:$H,'Balance Générale'!$B:$B,"&gt;=1051",'Balance Générale'!$B:$B,"&lt;1060")</f>
        <v>0</v>
      </c>
      <c r="F10" s="78">
        <f>SUMIFS('Balance N-1'!$G:$G,'Balance N-1'!$B:$B,"&gt;=1051",'Balance N-1'!$B:$B,"&lt;1060")</f>
        <v>0</v>
      </c>
    </row>
    <row r="11" spans="1:6" x14ac:dyDescent="0.35">
      <c r="B11" t="s">
        <v>432</v>
      </c>
      <c r="C11" t="s">
        <v>433</v>
      </c>
      <c r="E11" s="78">
        <f>SUMIFS('Balance Générale'!$H:$H,'Balance Générale'!$B:$B,"&gt;=1061",'Balance Générale'!$B:$B,"&lt;=1063")</f>
        <v>0</v>
      </c>
      <c r="F11" s="78">
        <f>SUMIFS('Balance N-1'!$G:$G,'Balance N-1'!$B:$B,"&gt;=1061",'Balance N-1'!$B:$B,"&lt;=1063")</f>
        <v>0</v>
      </c>
    </row>
    <row r="12" spans="1:6" x14ac:dyDescent="0.35">
      <c r="B12" t="s">
        <v>434</v>
      </c>
      <c r="C12" t="s">
        <v>435</v>
      </c>
      <c r="E12" s="78">
        <f>SUMIF('Balance Générale'!$B:$B,1064,'Balance Générale'!$H:$H)</f>
        <v>0</v>
      </c>
      <c r="F12" s="78">
        <f>SUMIF('Balance N-1'!$B:$B,1064,'Balance N-1'!$G:$G)</f>
        <v>0</v>
      </c>
    </row>
    <row r="13" spans="1:6" x14ac:dyDescent="0.35">
      <c r="B13" t="s">
        <v>436</v>
      </c>
      <c r="C13" t="s">
        <v>437</v>
      </c>
      <c r="E13" s="78">
        <f>SUMIF('Balance Générale'!$B:$B,1101,'Balance Générale'!$H:$H)-SUMIF('Balance Générale'!$B:$B,1109,'Balance Générale'!$G:$G)</f>
        <v>0</v>
      </c>
      <c r="F13" s="78">
        <f>SUMIF('Balance N-1'!$B:$B,1101,'Balance N-1'!$G:$G)-SUMIF('Balance N-1'!$B:$B,1109,'Balance N-1'!$F:$F)</f>
        <v>0</v>
      </c>
    </row>
    <row r="14" spans="1:6" x14ac:dyDescent="0.35">
      <c r="B14" t="s">
        <v>438</v>
      </c>
      <c r="C14" t="s">
        <v>439</v>
      </c>
      <c r="E14" s="78">
        <f>SUMIF('Balance Générale'!$B:$B,1201,'Balance Générale'!$H:$H)-SUMIF('Balance Générale'!$B:$B,1209,'Balance Générale'!$G:$G)</f>
        <v>0</v>
      </c>
      <c r="F14" s="78">
        <f>SUMIF('Balance N-1'!$B:$B,1201,'Balance N-1'!$G:$G)-SUMIF('Balance N-1'!$B:$B,1209,'Balance N-1'!$F:$F)</f>
        <v>0</v>
      </c>
    </row>
    <row r="15" spans="1:6" x14ac:dyDescent="0.35">
      <c r="B15" t="s">
        <v>440</v>
      </c>
      <c r="C15" t="s">
        <v>441</v>
      </c>
      <c r="E15" s="78">
        <f>SUMIFS('Balance Générale'!$H:$H,'Balance Générale'!$B:$B,"&gt;=1301",'Balance Générale'!$B:$B,"&lt;1400")</f>
        <v>0</v>
      </c>
      <c r="F15" s="78">
        <f>SUMIFS('Balance N-1'!$G:$G,'Balance N-1'!$B:$B,"&gt;=1301",'Balance N-1'!$B:$B,"&lt;1400")</f>
        <v>0</v>
      </c>
    </row>
    <row r="16" spans="1:6" x14ac:dyDescent="0.35">
      <c r="B16" t="s">
        <v>442</v>
      </c>
      <c r="C16" t="s">
        <v>443</v>
      </c>
      <c r="E16">
        <f>SUMIFS('Balance Générale'!$H:$H,'Balance Générale'!$B:$B,"&gt;=1580",'Balance Générale'!$B:$B,"&lt;1600")</f>
        <v>0</v>
      </c>
      <c r="F16" s="78">
        <f>SUMIFS('Balance N-1'!$G:$G,'Balance N-1'!$B:$B,"&gt;=1580",'Balance N-1'!$B:$B,"&lt;1600")</f>
        <v>0</v>
      </c>
    </row>
    <row r="17" spans="2:6" x14ac:dyDescent="0.35">
      <c r="B17" s="80" t="s">
        <v>444</v>
      </c>
      <c r="C17" s="80" t="s">
        <v>445</v>
      </c>
      <c r="D17" s="80"/>
      <c r="E17" s="92">
        <f>SUM(E6:E16)</f>
        <v>0</v>
      </c>
      <c r="F17" s="92">
        <f>SUM(F6:F16)</f>
        <v>0</v>
      </c>
    </row>
    <row r="18" spans="2:6" x14ac:dyDescent="0.35">
      <c r="B18" t="s">
        <v>446</v>
      </c>
      <c r="C18" t="s">
        <v>447</v>
      </c>
      <c r="D18">
        <v>15</v>
      </c>
      <c r="E18" s="78"/>
      <c r="F18" s="78"/>
    </row>
    <row r="19" spans="2:6" x14ac:dyDescent="0.35">
      <c r="B19" t="s">
        <v>448</v>
      </c>
      <c r="C19" t="s">
        <v>449</v>
      </c>
      <c r="E19" s="78">
        <f>SUMIFS('Balance Générale'!$H:$H,'Balance Générale'!$B:$B,"&gt;=1410",'Balance Générale'!$B:$B,"&lt;1450")</f>
        <v>0</v>
      </c>
      <c r="F19" s="78">
        <f>SUMIFS('Balance N-1'!$G:$G,'Balance N-1'!$B:$B,"&gt;=1410",'Balance N-1'!$B:$B,"&lt;1450")</f>
        <v>0</v>
      </c>
    </row>
    <row r="20" spans="2:6" x14ac:dyDescent="0.35">
      <c r="B20" t="s">
        <v>450</v>
      </c>
      <c r="C20" t="s">
        <v>451</v>
      </c>
      <c r="E20">
        <f>SUMIFS('Balance Générale'!$H:$H,'Balance Générale'!$B:$B,"&gt;=1780",'Balance Générale'!$B:$B,"&lt;1800")</f>
        <v>0</v>
      </c>
      <c r="F20" s="78">
        <f>SUMIFS('Balance N-1'!$G:$G,'Balance N-1'!$B:$B,"&gt;=1780",'Balance N-1'!$B:$B,"&lt;1800")</f>
        <v>0</v>
      </c>
    </row>
    <row r="21" spans="2:6" x14ac:dyDescent="0.35">
      <c r="B21" t="s">
        <v>452</v>
      </c>
      <c r="C21" t="s">
        <v>453</v>
      </c>
      <c r="E21" s="78">
        <f>SUMIFS('Balance Générale'!$H:$H,'Balance Générale'!$B:$B,"&gt;=1430",'Balance Générale'!$B:$B,"&lt;1500")</f>
        <v>0</v>
      </c>
      <c r="F21" s="78">
        <f>SUMIFS('Balance N-1'!$G:$G,'Balance N-1'!$B:$B,"&gt;=1430",'Balance N-1'!$B:$B,"&lt;1500")</f>
        <v>0</v>
      </c>
    </row>
    <row r="22" spans="2:6" x14ac:dyDescent="0.35">
      <c r="B22" t="s">
        <v>454</v>
      </c>
      <c r="C22" t="s">
        <v>455</v>
      </c>
      <c r="D22">
        <v>16</v>
      </c>
      <c r="E22" s="78">
        <f>SUMIFS('Balance Générale'!$H:$H,'Balance Générale'!$B:$B,"&gt;=1511",'Balance Générale'!$B:$B,"&lt;1600")</f>
        <v>0</v>
      </c>
      <c r="F22" s="78">
        <f>SUMIFS('Balance N-1'!$G:$G,'Balance N-1'!$B:$B,"&gt;=1511",'Balance N-1'!$B:$B,"&lt;1600")</f>
        <v>0</v>
      </c>
    </row>
    <row r="23" spans="2:6" x14ac:dyDescent="0.35">
      <c r="B23" s="80" t="s">
        <v>456</v>
      </c>
      <c r="C23" s="80" t="s">
        <v>457</v>
      </c>
      <c r="D23" s="80"/>
      <c r="E23" s="92">
        <f>SUM(E19:E22)</f>
        <v>0</v>
      </c>
      <c r="F23" s="92">
        <f>SUM(F19:F22)</f>
        <v>0</v>
      </c>
    </row>
    <row r="24" spans="2:6" x14ac:dyDescent="0.35">
      <c r="B24" s="80" t="s">
        <v>458</v>
      </c>
      <c r="C24" s="80" t="s">
        <v>459</v>
      </c>
      <c r="D24" s="80"/>
      <c r="E24" s="92">
        <f>E17+E23</f>
        <v>0</v>
      </c>
      <c r="F24" s="92">
        <f>F17+F23</f>
        <v>0</v>
      </c>
    </row>
    <row r="25" spans="2:6" x14ac:dyDescent="0.35">
      <c r="B25" t="s">
        <v>460</v>
      </c>
      <c r="C25" t="s">
        <v>461</v>
      </c>
      <c r="E25" s="78"/>
      <c r="F25" s="78"/>
    </row>
    <row r="26" spans="2:6" x14ac:dyDescent="0.35">
      <c r="B26" t="s">
        <v>462</v>
      </c>
      <c r="C26" t="s">
        <v>463</v>
      </c>
      <c r="D26">
        <v>17</v>
      </c>
      <c r="E26" s="78">
        <f>0</f>
        <v>0</v>
      </c>
      <c r="F26" s="78">
        <f>0</f>
        <v>0</v>
      </c>
    </row>
    <row r="27" spans="2:6" x14ac:dyDescent="0.35">
      <c r="B27" t="s">
        <v>464</v>
      </c>
      <c r="C27" t="s">
        <v>465</v>
      </c>
      <c r="D27">
        <v>18</v>
      </c>
      <c r="E27" s="78">
        <f>SUMIF('Balance Générale'!$B:$B,4030,'Balance Générale'!$H:$H)+SUMIF('Balance Générale'!$B:$B,4190,'Balance Générale'!$H:$H)</f>
        <v>0</v>
      </c>
      <c r="F27" s="78">
        <f>SUMIF('Balance N-1'!$B:$B,4030,'Balance N-1'!$G:$G)+SUMIF('Balance N-1'!$B:$B,4190,'Balance N-1'!$G:$G)</f>
        <v>0</v>
      </c>
    </row>
    <row r="28" spans="2:6" x14ac:dyDescent="0.35">
      <c r="B28" t="s">
        <v>466</v>
      </c>
      <c r="C28" t="s">
        <v>467</v>
      </c>
      <c r="D28">
        <v>19</v>
      </c>
      <c r="E28" s="78">
        <f>SUMIFS('Balance Générale'!$H:$H,'Balance Générale'!$B:$B,"&gt;=4011",'Balance Générale'!$B:$B,"&lt;4090")</f>
        <v>0</v>
      </c>
      <c r="F28" s="78">
        <f>SUMIFS('Balance N-1'!$G:$G,'Balance N-1'!$B:$B,"&gt;=4011",'Balance N-1'!$B:$B,"&lt;4090")</f>
        <v>0</v>
      </c>
    </row>
    <row r="29" spans="2:6" x14ac:dyDescent="0.35">
      <c r="B29" t="s">
        <v>468</v>
      </c>
      <c r="C29" t="s">
        <v>469</v>
      </c>
      <c r="D29">
        <v>20</v>
      </c>
      <c r="E29" s="78">
        <f>SUMIFS('Balance Générale'!$H:$H,'Balance Générale'!$B:$B,"&gt;=4410",'Balance Générale'!$B:$B,"&lt;4450")</f>
        <v>0</v>
      </c>
      <c r="F29" s="78">
        <f>SUMIFS('Balance N-1'!$G:$G,'Balance N-1'!$B:$B,"&gt;=4410",'Balance N-1'!$B:$B,"&lt;4450")</f>
        <v>0</v>
      </c>
    </row>
    <row r="30" spans="2:6" x14ac:dyDescent="0.35">
      <c r="B30" t="s">
        <v>470</v>
      </c>
      <c r="C30" t="s">
        <v>471</v>
      </c>
      <c r="D30">
        <v>21</v>
      </c>
      <c r="E30" s="78">
        <f>SUMIFS('Balance Générale'!$H:$H,'Balance Générale'!$B:$B,"&gt;=4220",'Balance Générale'!$B:$B,"&lt;4240")+SUMIFS('Balance Générale'!$H:$H,'Balance Générale'!$B:$B,"&gt;=4310",'Balance Générale'!$B:$B,"&lt;4400")</f>
        <v>0</v>
      </c>
      <c r="F30" s="78">
        <f>SUMIFS('Balance N-1'!$G:$G,'Balance N-1'!$B:$B,"&gt;=4220",'Balance N-1'!$B:$B,"&lt;4240")+SUMIFS('Balance N-1'!$G:$G,'Balance N-1'!$B:$B,"&gt;=4310",'Balance N-1'!$B:$B,"&lt;4400")</f>
        <v>0</v>
      </c>
    </row>
    <row r="31" spans="2:6" x14ac:dyDescent="0.35">
      <c r="B31" t="s">
        <v>472</v>
      </c>
      <c r="C31" t="s">
        <v>473</v>
      </c>
      <c r="D31">
        <v>22</v>
      </c>
      <c r="E31" s="78">
        <f>SUMIFS('Balance Générale'!$H:$H,'Balance Générale'!$B:$B,"&gt;=4520",'Balance Générale'!$B:$B,"&lt;4600")+SUMIF('Balance Générale'!$B:$B,4720,'Balance Générale'!$H:$H)</f>
        <v>0</v>
      </c>
      <c r="F31" s="78">
        <f>SUMIFS('Balance N-1'!$G:$G,'Balance N-1'!$B:$B,"&gt;=4520",'Balance N-1'!$B:$B,"&lt;4600")+SUMIF('Balance N-1'!$B:$B,4720,'Balance N-1'!$G:$G)</f>
        <v>0</v>
      </c>
    </row>
    <row r="32" spans="2:6" x14ac:dyDescent="0.35">
      <c r="B32" t="s">
        <v>474</v>
      </c>
      <c r="C32" t="s">
        <v>475</v>
      </c>
      <c r="D32">
        <v>22</v>
      </c>
      <c r="E32" s="78">
        <f>0</f>
        <v>0</v>
      </c>
      <c r="F32" s="78">
        <f>0</f>
        <v>0</v>
      </c>
    </row>
    <row r="33" spans="2:6" x14ac:dyDescent="0.35">
      <c r="B33" s="80" t="s">
        <v>476</v>
      </c>
      <c r="C33" s="80" t="s">
        <v>477</v>
      </c>
      <c r="D33" s="80"/>
      <c r="E33" s="92">
        <f>SUM(E26:E32)</f>
        <v>0</v>
      </c>
      <c r="F33" s="92">
        <f>SUM(F26:F32)</f>
        <v>0</v>
      </c>
    </row>
    <row r="34" spans="2:6" x14ac:dyDescent="0.35">
      <c r="B34" t="s">
        <v>478</v>
      </c>
      <c r="C34" t="s">
        <v>479</v>
      </c>
      <c r="E34" s="78"/>
      <c r="F34" s="78"/>
    </row>
    <row r="35" spans="2:6" x14ac:dyDescent="0.35">
      <c r="B35" t="s">
        <v>480</v>
      </c>
      <c r="C35" t="s">
        <v>481</v>
      </c>
      <c r="D35">
        <v>23</v>
      </c>
      <c r="E35" s="78">
        <f>SUMIF('Balance Générale'!$B:$B,5920,'Balance Générale'!$H:$H)</f>
        <v>0</v>
      </c>
      <c r="F35" s="78">
        <f>SUMIF('Balance N-1'!$B:$B,5920,'Balance N-1'!$G:$G)</f>
        <v>0</v>
      </c>
    </row>
    <row r="36" spans="2:6" x14ac:dyDescent="0.35">
      <c r="B36" t="s">
        <v>482</v>
      </c>
      <c r="C36" t="s">
        <v>483</v>
      </c>
      <c r="E36" s="78">
        <f>SUMIFS('Balance Générale'!$H:$H,'Balance Générale'!$B:$B,"&gt;=5910",'Balance Générale'!$B:$B,"&lt;5920")+SUMIFS('Balance Générale'!$H:$H,'Balance Générale'!$B:$B,"&gt;=5930",'Balance Générale'!$B:$B,"&lt;5960")</f>
        <v>0</v>
      </c>
      <c r="F36" s="78">
        <f>SUMIFS('Balance N-1'!$G:$G,'Balance N-1'!$B:$B,"&gt;=5910",'Balance N-1'!$B:$B,"&lt;5920")+SUMIFS('Balance N-1'!$G:$G,'Balance N-1'!$B:$B,"&gt;=5930",'Balance N-1'!$B:$B,"&lt;5960")</f>
        <v>0</v>
      </c>
    </row>
    <row r="37" spans="2:6" x14ac:dyDescent="0.35">
      <c r="B37" s="80" t="s">
        <v>484</v>
      </c>
      <c r="C37" s="80" t="s">
        <v>485</v>
      </c>
      <c r="D37" s="80"/>
      <c r="E37" s="92">
        <f>E35+E36</f>
        <v>0</v>
      </c>
      <c r="F37" s="92">
        <f>F35+F36</f>
        <v>0</v>
      </c>
    </row>
    <row r="38" spans="2:6" x14ac:dyDescent="0.35">
      <c r="B38" s="80" t="s">
        <v>486</v>
      </c>
      <c r="C38" s="80" t="s">
        <v>487</v>
      </c>
      <c r="D38" s="80"/>
      <c r="E38" s="92">
        <f>E24+E33+E37</f>
        <v>0</v>
      </c>
      <c r="F38" s="92">
        <f>F24+F33+F37</f>
        <v>0</v>
      </c>
    </row>
  </sheetData>
  <sheetProtection sheet="1" objects="1" scenarios="1" sort="0" autoFilter="0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1779B-6EC3-49F7-BEC8-72EBBC9B9557}">
  <sheetPr codeName="Feuil17"/>
  <dimension ref="A1:G44"/>
  <sheetViews>
    <sheetView showGridLines="0" workbookViewId="0"/>
  </sheetViews>
  <sheetFormatPr baseColWidth="10" defaultRowHeight="14.5" x14ac:dyDescent="0.35"/>
  <cols>
    <col min="2" max="2" width="27" bestFit="1" customWidth="1"/>
    <col min="3" max="3" width="42.1796875" bestFit="1" customWidth="1"/>
    <col min="4" max="4" width="5.453125" bestFit="1" customWidth="1"/>
    <col min="5" max="5" width="12.1796875" bestFit="1" customWidth="1"/>
    <col min="6" max="6" width="13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8.5" x14ac:dyDescent="0.45">
      <c r="B2" s="18" t="s">
        <v>488</v>
      </c>
      <c r="C2" s="18"/>
      <c r="D2" s="18"/>
      <c r="E2" s="18"/>
      <c r="F2" s="18"/>
      <c r="G2" s="18"/>
    </row>
    <row r="4" spans="1:7" x14ac:dyDescent="0.35">
      <c r="B4" s="31" t="s">
        <v>336</v>
      </c>
      <c r="C4" s="31" t="s">
        <v>489</v>
      </c>
      <c r="D4" s="31" t="s">
        <v>338</v>
      </c>
      <c r="E4" s="31" t="s">
        <v>490</v>
      </c>
      <c r="F4" s="31" t="s">
        <v>491</v>
      </c>
    </row>
    <row r="5" spans="1:7" x14ac:dyDescent="0.35">
      <c r="B5" t="s">
        <v>492</v>
      </c>
      <c r="C5" t="s">
        <v>253</v>
      </c>
      <c r="D5">
        <v>24</v>
      </c>
      <c r="E5" s="78">
        <f>SUMIF('Balance Générale'!$B:$B,7010,'Balance Générale'!$H:$H)</f>
        <v>0</v>
      </c>
      <c r="F5" s="78">
        <f>SUMIF('Balance N-1'!$B:$B,7010,'Balance N-1'!$G:$G)</f>
        <v>0</v>
      </c>
    </row>
    <row r="6" spans="1:7" x14ac:dyDescent="0.35">
      <c r="B6" t="s">
        <v>493</v>
      </c>
      <c r="C6" t="s">
        <v>198</v>
      </c>
      <c r="D6">
        <v>25</v>
      </c>
      <c r="E6" s="78">
        <f>SUMIF('Balance Générale'!$B:$B,6010,'Balance Générale'!$G:$G)</f>
        <v>0</v>
      </c>
      <c r="F6" s="78">
        <f>SUMIF('Balance N-1'!$B:$B,6010,'Balance N-1'!$F:$F)</f>
        <v>0</v>
      </c>
    </row>
    <row r="7" spans="1:7" x14ac:dyDescent="0.35">
      <c r="B7" t="s">
        <v>494</v>
      </c>
      <c r="C7" t="s">
        <v>495</v>
      </c>
      <c r="D7">
        <v>8</v>
      </c>
      <c r="E7" s="78">
        <f>SUMIF('Balance Générale'!$B:$B,6020,'Balance Générale'!$G:$G)</f>
        <v>0</v>
      </c>
      <c r="F7" s="78">
        <f>SUMIF('Balance N-1'!$B:$B,6020,'Balance N-1'!$F:$F)</f>
        <v>0</v>
      </c>
    </row>
    <row r="8" spans="1:7" x14ac:dyDescent="0.35">
      <c r="B8" s="80" t="s">
        <v>496</v>
      </c>
      <c r="C8" s="80" t="s">
        <v>497</v>
      </c>
      <c r="D8" s="80"/>
      <c r="E8" s="92">
        <f>E5-E6-E7</f>
        <v>0</v>
      </c>
      <c r="F8" s="92">
        <f>F5-F6-F7</f>
        <v>0</v>
      </c>
    </row>
    <row r="9" spans="1:7" x14ac:dyDescent="0.35">
      <c r="B9" t="s">
        <v>498</v>
      </c>
      <c r="C9" t="s">
        <v>499</v>
      </c>
      <c r="D9">
        <v>24</v>
      </c>
      <c r="E9" s="78">
        <f>SUMIF('Balance Générale'!$B:$B,7020,'Balance Générale'!$H:$H)</f>
        <v>0</v>
      </c>
      <c r="F9" s="78">
        <f>SUMIF('Balance N-1'!$B:$B,7020,'Balance N-1'!$G:$G)</f>
        <v>0</v>
      </c>
    </row>
    <row r="10" spans="1:7" x14ac:dyDescent="0.35">
      <c r="B10" t="s">
        <v>500</v>
      </c>
      <c r="C10" t="s">
        <v>501</v>
      </c>
      <c r="D10">
        <v>24</v>
      </c>
      <c r="E10" s="78">
        <f>SUMIF('Balance Générale'!$B:$B,7050,'Balance Générale'!$H:$H)+SUMIF('Balance Générale'!$B:$B,7060,'Balance Générale'!$H:$H)</f>
        <v>0</v>
      </c>
      <c r="F10" s="78">
        <f>SUMIF('Balance N-1'!$B:$B,7050,'Balance N-1'!$G:$G)+SUMIF('Balance N-1'!$B:$B,7060,'Balance N-1'!$G:$G)</f>
        <v>0</v>
      </c>
    </row>
    <row r="11" spans="1:7" x14ac:dyDescent="0.35">
      <c r="B11" t="s">
        <v>502</v>
      </c>
      <c r="C11" t="s">
        <v>503</v>
      </c>
      <c r="D11">
        <v>8</v>
      </c>
      <c r="E11" s="78">
        <f>SUMIFS('Balance Générale'!$H:$H,'Balance Générale'!$B:$B,"&gt;=7130",'Balance Générale'!$B:$B,"&lt;7150")</f>
        <v>0</v>
      </c>
      <c r="F11" s="78">
        <f>SUMIFS('Balance N-1'!$G:$G,'Balance N-1'!$B:$B,"&gt;=7130",'Balance N-1'!$B:$B,"&lt;7150")</f>
        <v>0</v>
      </c>
    </row>
    <row r="12" spans="1:7" x14ac:dyDescent="0.35">
      <c r="B12" t="s">
        <v>504</v>
      </c>
      <c r="C12" t="s">
        <v>505</v>
      </c>
      <c r="E12" s="78">
        <f>SUMIFS('Balance Générale'!$H:$H,'Balance Générale'!$B:$B,"&gt;=7210",'Balance Générale'!$B:$B,"&lt;7300")</f>
        <v>0</v>
      </c>
      <c r="F12" s="78">
        <f>SUMIFS('Balance N-1'!$G:$G,'Balance N-1'!$B:$B,"&gt;=7210",'Balance N-1'!$B:$B,"&lt;7300")</f>
        <v>0</v>
      </c>
    </row>
    <row r="13" spans="1:7" x14ac:dyDescent="0.35">
      <c r="B13" s="80" t="s">
        <v>506</v>
      </c>
      <c r="C13" s="80" t="s">
        <v>507</v>
      </c>
      <c r="D13" s="80"/>
      <c r="E13" s="92">
        <f>E9+E10+E11+E12</f>
        <v>0</v>
      </c>
      <c r="F13" s="92">
        <f>F9+F10+F11+F12</f>
        <v>0</v>
      </c>
    </row>
    <row r="14" spans="1:7" x14ac:dyDescent="0.35">
      <c r="B14" t="s">
        <v>508</v>
      </c>
      <c r="C14" t="s">
        <v>509</v>
      </c>
      <c r="D14">
        <v>25</v>
      </c>
      <c r="E14" s="78">
        <f>SUMIF('Balance Générale'!$B:$B,6040,'Balance Générale'!$G:$G)</f>
        <v>0</v>
      </c>
      <c r="F14" s="78">
        <f>SUMIF('Balance N-1'!$B:$B,6040,'Balance N-1'!$F:$F)</f>
        <v>0</v>
      </c>
    </row>
    <row r="15" spans="1:7" x14ac:dyDescent="0.35">
      <c r="B15" t="s">
        <v>510</v>
      </c>
      <c r="C15" t="s">
        <v>511</v>
      </c>
      <c r="D15">
        <v>8</v>
      </c>
      <c r="E15" s="78">
        <f>SUMIF('Balance Générale'!$B:$B,6030,'Balance Générale'!$G:$G)</f>
        <v>0</v>
      </c>
      <c r="F15" s="78">
        <f>SUMIF('Balance N-1'!$B:$B,6030,'Balance N-1'!$F:$F)</f>
        <v>0</v>
      </c>
    </row>
    <row r="16" spans="1:7" x14ac:dyDescent="0.35">
      <c r="B16" t="s">
        <v>512</v>
      </c>
      <c r="C16" t="s">
        <v>203</v>
      </c>
      <c r="D16">
        <v>26</v>
      </c>
      <c r="E16" s="78">
        <f>SUMIF('Balance Générale'!$B:$B,6050,'Balance Générale'!$G:$G)</f>
        <v>0</v>
      </c>
      <c r="F16" s="78">
        <f>SUMIF('Balance N-1'!$B:$B,6050,'Balance N-1'!$F:$F)</f>
        <v>0</v>
      </c>
    </row>
    <row r="17" spans="2:6" x14ac:dyDescent="0.35">
      <c r="B17" t="s">
        <v>513</v>
      </c>
      <c r="C17" t="s">
        <v>514</v>
      </c>
      <c r="D17">
        <v>8</v>
      </c>
      <c r="E17">
        <f>SUMIF('Balance Générale'!$B:$B,6032,'Balance Générale'!$G:$G)</f>
        <v>0</v>
      </c>
      <c r="F17" s="78">
        <f>SUMIF('Balance N-1'!$B:$B,6032,'Balance N-1'!$F:$F)</f>
        <v>0</v>
      </c>
    </row>
    <row r="18" spans="2:6" x14ac:dyDescent="0.35">
      <c r="B18" t="s">
        <v>515</v>
      </c>
      <c r="C18" t="s">
        <v>516</v>
      </c>
      <c r="D18">
        <v>27</v>
      </c>
      <c r="E18" s="78">
        <f>SUMIFS('Balance Générale'!$G:$G,'Balance Générale'!$B:$B,"&gt;=6110",'Balance Générale'!$B:$B,"&lt;6150")</f>
        <v>0</v>
      </c>
      <c r="F18" s="78">
        <f>SUMIFS('Balance N-1'!$F:$F,'Balance N-1'!$B:$B,"&gt;=6110",'Balance N-1'!$B:$B,"&lt;6150")</f>
        <v>0</v>
      </c>
    </row>
    <row r="19" spans="2:6" x14ac:dyDescent="0.35">
      <c r="B19" t="s">
        <v>517</v>
      </c>
      <c r="C19" t="s">
        <v>518</v>
      </c>
      <c r="D19">
        <v>28</v>
      </c>
      <c r="E19" s="78">
        <f>SUMIFS('Balance Générale'!$G:$G,'Balance Générale'!$B:$B,"&gt;=6210",'Balance Générale'!$B:$B,"&lt;6310")</f>
        <v>0</v>
      </c>
      <c r="F19" s="78">
        <f>SUMIFS('Balance N-1'!$F:$F,'Balance N-1'!$B:$B,"&gt;=6210",'Balance N-1'!$B:$B,"&lt;6310")</f>
        <v>0</v>
      </c>
    </row>
    <row r="20" spans="2:6" x14ac:dyDescent="0.35">
      <c r="B20" t="s">
        <v>519</v>
      </c>
      <c r="C20" t="s">
        <v>520</v>
      </c>
      <c r="D20">
        <v>29</v>
      </c>
      <c r="E20" s="78">
        <f>SUMIFS('Balance Générale'!$G:$G,'Balance Générale'!$B:$B,"&gt;=6410",'Balance Générale'!$B:$B,"&lt;6500")</f>
        <v>0</v>
      </c>
      <c r="F20" s="78">
        <f>SUMIFS('Balance N-1'!$F:$F,'Balance N-1'!$B:$B,"&gt;=6410",'Balance N-1'!$B:$B,"&lt;6500")</f>
        <v>0</v>
      </c>
    </row>
    <row r="21" spans="2:6" x14ac:dyDescent="0.35">
      <c r="B21" t="s">
        <v>521</v>
      </c>
      <c r="C21" t="s">
        <v>522</v>
      </c>
      <c r="D21">
        <v>30</v>
      </c>
      <c r="E21" s="78">
        <f>SUMIF('Balance Générale'!$B:$B,6380,'Balance Générale'!$G:$G)</f>
        <v>0</v>
      </c>
      <c r="F21" s="78">
        <f>SUMIF('Balance N-1'!$B:$B,6380,'Balance N-1'!$F:$F)</f>
        <v>0</v>
      </c>
    </row>
    <row r="22" spans="2:6" x14ac:dyDescent="0.35">
      <c r="B22" s="80" t="s">
        <v>523</v>
      </c>
      <c r="C22" s="80" t="s">
        <v>524</v>
      </c>
      <c r="D22" s="80"/>
      <c r="E22" s="92">
        <f>E14+E15+E16+E17+E18+E19+E20+E21</f>
        <v>0</v>
      </c>
      <c r="F22" s="92">
        <f>F14+F15+F16+F17+F18+F19+F20+F21</f>
        <v>0</v>
      </c>
    </row>
    <row r="23" spans="2:6" x14ac:dyDescent="0.35">
      <c r="B23" s="80" t="s">
        <v>525</v>
      </c>
      <c r="C23" s="80" t="s">
        <v>526</v>
      </c>
      <c r="D23" s="80"/>
      <c r="E23" s="92">
        <f>E8+E13-E22</f>
        <v>0</v>
      </c>
      <c r="F23" s="92">
        <f>F8+F13-F22</f>
        <v>0</v>
      </c>
    </row>
    <row r="24" spans="2:6" x14ac:dyDescent="0.35">
      <c r="B24" t="s">
        <v>527</v>
      </c>
      <c r="C24" t="s">
        <v>528</v>
      </c>
      <c r="D24">
        <v>31</v>
      </c>
      <c r="E24" s="78">
        <f>SUMIFS('Balance Générale'!$G:$G,'Balance Générale'!$B:$B,"&gt;=6610",'Balance Générale'!$B:$B,"&lt;6720")</f>
        <v>0</v>
      </c>
      <c r="F24" s="78">
        <f>SUMIFS('Balance N-1'!$F:$F,'Balance N-1'!$B:$B,"&gt;=6610",'Balance N-1'!$B:$B,"&lt;6720")</f>
        <v>0</v>
      </c>
    </row>
    <row r="25" spans="2:6" x14ac:dyDescent="0.35">
      <c r="B25" s="80" t="s">
        <v>529</v>
      </c>
      <c r="C25" s="80" t="s">
        <v>530</v>
      </c>
      <c r="D25" s="80"/>
      <c r="E25" s="92">
        <f>E23-E24</f>
        <v>0</v>
      </c>
      <c r="F25" s="92">
        <f>F23-F24</f>
        <v>0</v>
      </c>
    </row>
    <row r="26" spans="2:6" x14ac:dyDescent="0.35">
      <c r="B26" t="s">
        <v>531</v>
      </c>
      <c r="C26" t="s">
        <v>532</v>
      </c>
      <c r="D26">
        <v>32</v>
      </c>
      <c r="E26" s="78">
        <f>SUMIFS('Balance Générale'!$H:$H,'Balance Générale'!$B:$B,"&gt;=7310",'Balance Générale'!$B:$B,"&lt;7330")</f>
        <v>0</v>
      </c>
      <c r="F26" s="78">
        <f>SUMIFS('Balance N-1'!$G:$G,'Balance N-1'!$B:$B,"&gt;=7310",'Balance N-1'!$B:$B,"&lt;7330")</f>
        <v>0</v>
      </c>
    </row>
    <row r="27" spans="2:6" x14ac:dyDescent="0.35">
      <c r="B27" t="s">
        <v>533</v>
      </c>
      <c r="C27" t="s">
        <v>534</v>
      </c>
      <c r="E27" s="78">
        <f>SUMIF('Balance Générale'!$B:$B,7410,'Balance Générale'!$H:$H)</f>
        <v>0</v>
      </c>
      <c r="F27" s="78">
        <f>SUMIF('Balance N-1'!$B:$B,7410,'Balance N-1'!$G:$G)</f>
        <v>0</v>
      </c>
    </row>
    <row r="28" spans="2:6" x14ac:dyDescent="0.35">
      <c r="B28" t="s">
        <v>535</v>
      </c>
      <c r="C28" t="s">
        <v>536</v>
      </c>
      <c r="D28">
        <v>32</v>
      </c>
      <c r="E28" s="78">
        <f>SUMIFS('Balance Générale'!$G:$G,'Balance Générale'!$B:$B,"&gt;=6810",'Balance Générale'!$B:$B,"&lt;6900")</f>
        <v>0</v>
      </c>
      <c r="F28" s="78">
        <f>SUMIFS('Balance N-1'!$F:$F,'Balance N-1'!$B:$B,"&gt;=6810",'Balance N-1'!$B:$B,"&lt;6900")</f>
        <v>0</v>
      </c>
    </row>
    <row r="29" spans="2:6" x14ac:dyDescent="0.35">
      <c r="B29" s="80" t="s">
        <v>537</v>
      </c>
      <c r="C29" s="80" t="s">
        <v>538</v>
      </c>
      <c r="D29" s="80"/>
      <c r="E29" s="92">
        <f>E25+E26+E27-E28</f>
        <v>0</v>
      </c>
      <c r="F29" s="92">
        <f>F25+F26+F27-F28</f>
        <v>0</v>
      </c>
    </row>
    <row r="30" spans="2:6" x14ac:dyDescent="0.35">
      <c r="B30" t="s">
        <v>539</v>
      </c>
      <c r="C30" t="s">
        <v>540</v>
      </c>
      <c r="D30">
        <v>33</v>
      </c>
      <c r="E30" s="78">
        <f>SUMIFS('Balance Générale'!$H:$H,'Balance Générale'!$B:$B,"&gt;=7510",'Balance Générale'!$B:$B,"&lt;7560")</f>
        <v>0</v>
      </c>
      <c r="F30" s="78">
        <f>SUMIFS('Balance N-1'!$G:$G,'Balance N-1'!$B:$B,"&gt;=7510",'Balance N-1'!$B:$B,"&lt;7560")</f>
        <v>0</v>
      </c>
    </row>
    <row r="31" spans="2:6" x14ac:dyDescent="0.35">
      <c r="B31" t="s">
        <v>541</v>
      </c>
      <c r="C31" t="s">
        <v>542</v>
      </c>
      <c r="D31">
        <v>33</v>
      </c>
      <c r="E31" s="78">
        <f>SUMIFS('Balance Générale'!$H:$H,'Balance Générale'!$B:$B,"&gt;=7710",'Balance Générale'!$B:$B,"&lt;7800")</f>
        <v>0</v>
      </c>
      <c r="F31" s="78">
        <f>SUMIFS('Balance N-1'!$G:$G,'Balance N-1'!$B:$B,"&gt;=7710",'Balance N-1'!$B:$B,"&lt;7800")</f>
        <v>0</v>
      </c>
    </row>
    <row r="32" spans="2:6" x14ac:dyDescent="0.35">
      <c r="B32" t="s">
        <v>543</v>
      </c>
      <c r="C32" t="s">
        <v>544</v>
      </c>
      <c r="E32" s="78">
        <f>SUMIF('Balance Générale'!$B:$B,7810,'Balance Générale'!$H:$H)</f>
        <v>0</v>
      </c>
      <c r="F32" s="78">
        <f>SUMIF('Balance N-1'!$B:$B,7810,'Balance N-1'!$G:$G)</f>
        <v>0</v>
      </c>
    </row>
    <row r="33" spans="2:6" x14ac:dyDescent="0.35">
      <c r="B33" t="s">
        <v>545</v>
      </c>
      <c r="C33" t="s">
        <v>546</v>
      </c>
      <c r="D33">
        <v>33</v>
      </c>
      <c r="E33" s="78">
        <f>SUMIFS('Balance Générale'!$G:$G,'Balance Générale'!$B:$B,"&gt;=6710",'Balance Générale'!$B:$B,"&lt;6780")</f>
        <v>0</v>
      </c>
      <c r="F33" s="78">
        <f>SUMIFS('Balance N-1'!$F:$F,'Balance N-1'!$B:$B,"&gt;=6710",'Balance N-1'!$B:$B,"&lt;6780")</f>
        <v>0</v>
      </c>
    </row>
    <row r="34" spans="2:6" x14ac:dyDescent="0.35">
      <c r="B34" t="s">
        <v>547</v>
      </c>
      <c r="C34" t="s">
        <v>548</v>
      </c>
      <c r="D34">
        <v>33</v>
      </c>
      <c r="E34" s="78">
        <f>SUMIFS('Balance Générale'!$G:$G,'Balance Générale'!$B:$B,"&gt;=6910",'Balance Générale'!$B:$B,"&lt;6930")</f>
        <v>0</v>
      </c>
      <c r="F34" s="78">
        <f>SUMIFS('Balance N-1'!$F:$F,'Balance N-1'!$B:$B,"&gt;=6910",'Balance N-1'!$B:$B,"&lt;6930")</f>
        <v>0</v>
      </c>
    </row>
    <row r="35" spans="2:6" x14ac:dyDescent="0.35">
      <c r="B35" s="80" t="s">
        <v>549</v>
      </c>
      <c r="C35" s="80" t="s">
        <v>550</v>
      </c>
      <c r="D35" s="80"/>
      <c r="E35" s="92">
        <f>E30+E31+E32-E33-E34</f>
        <v>0</v>
      </c>
      <c r="F35" s="92">
        <f>F30+F31+F32-F33-F34</f>
        <v>0</v>
      </c>
    </row>
    <row r="36" spans="2:6" x14ac:dyDescent="0.35">
      <c r="B36" s="80" t="s">
        <v>551</v>
      </c>
      <c r="C36" s="80" t="s">
        <v>552</v>
      </c>
      <c r="D36" s="80"/>
      <c r="E36" s="92">
        <f>E29+E35</f>
        <v>0</v>
      </c>
      <c r="F36" s="92">
        <f>F29+F35</f>
        <v>0</v>
      </c>
    </row>
    <row r="37" spans="2:6" x14ac:dyDescent="0.35">
      <c r="B37" t="s">
        <v>553</v>
      </c>
      <c r="C37" t="s">
        <v>554</v>
      </c>
      <c r="D37">
        <v>34</v>
      </c>
      <c r="E37" s="78">
        <f>SUMIF('Balance Générale'!$B:$B,8210,'Balance Générale'!$H:$H)</f>
        <v>0</v>
      </c>
      <c r="F37" s="78">
        <f>SUMIF('Balance N-1'!$B:$B,8210,'Balance N-1'!$G:$G)</f>
        <v>0</v>
      </c>
    </row>
    <row r="38" spans="2:6" x14ac:dyDescent="0.35">
      <c r="B38" t="s">
        <v>555</v>
      </c>
      <c r="C38" t="s">
        <v>556</v>
      </c>
      <c r="D38">
        <v>34</v>
      </c>
      <c r="E38" s="78">
        <f>SUMIF('Balance Générale'!$B:$B,8410,'Balance Générale'!$H:$H)+SUMIF('Balance Générale'!$B:$B,8610,'Balance Générale'!$H:$H)</f>
        <v>0</v>
      </c>
      <c r="F38" s="78">
        <f>SUMIF('Balance N-1'!$B:$B,8410,'Balance N-1'!$G:$G)+SUMIF('Balance N-1'!$B:$B,8610,'Balance N-1'!$G:$G)</f>
        <v>0</v>
      </c>
    </row>
    <row r="39" spans="2:6" x14ac:dyDescent="0.35">
      <c r="B39" t="s">
        <v>557</v>
      </c>
      <c r="C39" t="s">
        <v>558</v>
      </c>
      <c r="D39">
        <v>34</v>
      </c>
      <c r="E39" s="78">
        <f>SUMIF('Balance Générale'!$B:$B,8310,'Balance Générale'!$G:$G)</f>
        <v>0</v>
      </c>
      <c r="F39" s="78">
        <f>SUMIF('Balance N-1'!$B:$B,8310,'Balance N-1'!$F:$F)</f>
        <v>0</v>
      </c>
    </row>
    <row r="40" spans="2:6" x14ac:dyDescent="0.35">
      <c r="B40" t="s">
        <v>559</v>
      </c>
      <c r="C40" t="s">
        <v>560</v>
      </c>
      <c r="D40">
        <v>34</v>
      </c>
      <c r="E40" s="78">
        <f>SUMIF('Balance Générale'!$B:$B,8510,'Balance Générale'!$G:$G)</f>
        <v>0</v>
      </c>
      <c r="F40" s="78">
        <f>SUMIF('Balance N-1'!$B:$B,8510,'Balance N-1'!$F:$F)</f>
        <v>0</v>
      </c>
    </row>
    <row r="41" spans="2:6" x14ac:dyDescent="0.35">
      <c r="B41" s="80" t="s">
        <v>561</v>
      </c>
      <c r="C41" s="80" t="s">
        <v>562</v>
      </c>
      <c r="D41" s="80"/>
      <c r="E41" s="92">
        <f>E37+E38-E39-E40</f>
        <v>0</v>
      </c>
      <c r="F41" s="92">
        <f>F37+F38-F39-F40</f>
        <v>0</v>
      </c>
    </row>
    <row r="42" spans="2:6" x14ac:dyDescent="0.35">
      <c r="B42" t="s">
        <v>563</v>
      </c>
      <c r="C42" t="s">
        <v>564</v>
      </c>
      <c r="E42" s="78">
        <f>0</f>
        <v>0</v>
      </c>
      <c r="F42" s="78">
        <f>0</f>
        <v>0</v>
      </c>
    </row>
    <row r="43" spans="2:6" x14ac:dyDescent="0.35">
      <c r="B43" s="80" t="s">
        <v>565</v>
      </c>
      <c r="C43" s="80" t="s">
        <v>566</v>
      </c>
      <c r="D43" s="80"/>
      <c r="E43" s="92">
        <f>SUMIF('Balance Générale'!$B:$B,8910,'Balance Générale'!$G:$G)</f>
        <v>0</v>
      </c>
      <c r="F43" s="92">
        <f>SUMIF('Balance N-1'!$B:$B,8910,'Balance N-1'!$F:$F)</f>
        <v>0</v>
      </c>
    </row>
    <row r="44" spans="2:6" x14ac:dyDescent="0.35">
      <c r="B44" s="80" t="s">
        <v>567</v>
      </c>
      <c r="C44" s="80" t="s">
        <v>568</v>
      </c>
      <c r="D44" s="80"/>
      <c r="E44" s="92">
        <f>E36+E41-E42-E43</f>
        <v>0</v>
      </c>
      <c r="F44" s="92">
        <f>F36+F41-F42-F43</f>
        <v>0</v>
      </c>
    </row>
  </sheetData>
  <sheetProtection sheet="1" objects="1" scenarios="1" sort="0" autoFilter="0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A11A9-BCA7-4F42-9513-5D1599ABF31F}">
  <sheetPr codeName="Feuil18"/>
  <dimension ref="A1:E29"/>
  <sheetViews>
    <sheetView showGridLines="0" workbookViewId="0"/>
  </sheetViews>
  <sheetFormatPr baseColWidth="10" defaultRowHeight="14.5" x14ac:dyDescent="0.35"/>
  <cols>
    <col min="2" max="2" width="41.81640625" bestFit="1" customWidth="1"/>
    <col min="3" max="3" width="57.1796875" bestFit="1" customWidth="1"/>
    <col min="4" max="4" width="12.1796875" bestFit="1" customWidth="1"/>
    <col min="5" max="5" width="13.81640625" bestFit="1" customWidth="1"/>
  </cols>
  <sheetData>
    <row r="1" spans="1:5" x14ac:dyDescent="0.35">
      <c r="A1" s="15" t="str">
        <f>HYPERLINK("#'PAGE DE GARDE'!A1","⬅ Menu")</f>
        <v>⬅ Menu</v>
      </c>
    </row>
    <row r="2" spans="1:5" ht="18.5" x14ac:dyDescent="0.45">
      <c r="B2" s="18" t="s">
        <v>569</v>
      </c>
      <c r="C2" s="18"/>
      <c r="D2" s="18"/>
      <c r="E2" s="18"/>
    </row>
    <row r="4" spans="1:5" x14ac:dyDescent="0.35">
      <c r="B4" s="31" t="s">
        <v>336</v>
      </c>
      <c r="C4" s="31" t="s">
        <v>489</v>
      </c>
      <c r="D4" s="31" t="s">
        <v>490</v>
      </c>
      <c r="E4" s="31" t="s">
        <v>491</v>
      </c>
    </row>
    <row r="5" spans="1:5" x14ac:dyDescent="0.35">
      <c r="B5" s="80" t="s">
        <v>570</v>
      </c>
      <c r="C5" s="80" t="s">
        <v>571</v>
      </c>
      <c r="D5" s="92">
        <f>ACTIF!H41-PASSIF!F37</f>
        <v>0</v>
      </c>
      <c r="E5" s="92"/>
    </row>
    <row r="6" spans="1:5" x14ac:dyDescent="0.35">
      <c r="B6" s="157"/>
      <c r="C6" s="157" t="s">
        <v>572</v>
      </c>
      <c r="D6" s="158"/>
      <c r="E6" s="158"/>
    </row>
    <row r="7" spans="1:5" x14ac:dyDescent="0.35">
      <c r="B7" t="s">
        <v>573</v>
      </c>
      <c r="C7" t="s">
        <v>574</v>
      </c>
      <c r="D7" s="78">
        <f>'Compte de Résultat'!E44+'Compte de Résultat'!E28-'Compte de Résultat'!E26+'Compte de Résultat'!E34-'Compte de Résultat'!E31</f>
        <v>0</v>
      </c>
      <c r="E7" s="78"/>
    </row>
    <row r="8" spans="1:5" x14ac:dyDescent="0.35">
      <c r="B8" t="s">
        <v>575</v>
      </c>
      <c r="C8" t="s">
        <v>576</v>
      </c>
      <c r="D8" s="78">
        <f>-(SUMIFS('Balance Générale'!$G:$G,'Balance Générale'!$B:$B,"&gt;=4850",'Balance Générale'!$B:$B,"&lt;4860")-SUMIFS('Balance N-1'!$F:$F,'Balance N-1'!$B:$B,"&gt;=4850",'Balance N-1'!$B:$B,"&lt;4860"))</f>
        <v>0</v>
      </c>
      <c r="E8" s="78"/>
    </row>
    <row r="9" spans="1:5" x14ac:dyDescent="0.35">
      <c r="B9" t="s">
        <v>577</v>
      </c>
      <c r="C9" t="s">
        <v>578</v>
      </c>
      <c r="D9" s="78">
        <f>-(ACTIF!E28+ACTIF!E29+ACTIF!E30+ACTIF!E31-ACTIF!H28-ACTIF!H29-ACTIF!H30-ACTIF!H31)</f>
        <v>0</v>
      </c>
      <c r="E9" s="78"/>
    </row>
    <row r="10" spans="1:5" x14ac:dyDescent="0.35">
      <c r="B10" t="s">
        <v>579</v>
      </c>
      <c r="C10" t="s">
        <v>580</v>
      </c>
      <c r="D10" s="78">
        <f>-(ACTIF!G33+ACTIF!G34+ACTIF!G35-ACTIF!H33-ACTIF!H34-ACTIF!H35)</f>
        <v>0</v>
      </c>
      <c r="E10" s="78"/>
    </row>
    <row r="11" spans="1:5" x14ac:dyDescent="0.35">
      <c r="B11" t="s">
        <v>581</v>
      </c>
      <c r="C11" t="s">
        <v>582</v>
      </c>
      <c r="D11" s="78">
        <f>PASSIF!E27+PASSIF!E28+PASSIF!E29+PASSIF!E30+PASSIF!E31-PASSIF!F27-PASSIF!F28-PASSIF!F29-PASSIF!F30-PASSIF!F31</f>
        <v>0</v>
      </c>
      <c r="E11" s="78"/>
    </row>
    <row r="12" spans="1:5" x14ac:dyDescent="0.35">
      <c r="B12" s="80" t="s">
        <v>583</v>
      </c>
      <c r="C12" s="80" t="s">
        <v>584</v>
      </c>
      <c r="D12" s="92">
        <f>D7+D8+D9+D10+D11</f>
        <v>0</v>
      </c>
      <c r="E12" s="92"/>
    </row>
    <row r="13" spans="1:5" x14ac:dyDescent="0.35">
      <c r="B13" s="157"/>
      <c r="C13" s="157" t="s">
        <v>585</v>
      </c>
      <c r="D13" s="158"/>
      <c r="E13" s="158"/>
    </row>
    <row r="14" spans="1:5" x14ac:dyDescent="0.35">
      <c r="B14" t="s">
        <v>586</v>
      </c>
      <c r="C14" t="s">
        <v>587</v>
      </c>
      <c r="D14" s="78">
        <f>-SUMIFS('Balance Générale'!$G:$G,'Balance Générale'!$B:$B,"&gt;=2000",'Balance Générale'!$B:$B,"&lt;2800")</f>
        <v>0</v>
      </c>
      <c r="E14" s="78"/>
    </row>
    <row r="15" spans="1:5" x14ac:dyDescent="0.35">
      <c r="B15" t="s">
        <v>588</v>
      </c>
      <c r="C15" t="s">
        <v>589</v>
      </c>
      <c r="D15" s="78">
        <f>'Compte de Résultat'!E37</f>
        <v>0</v>
      </c>
      <c r="E15" s="78"/>
    </row>
    <row r="16" spans="1:5" x14ac:dyDescent="0.35">
      <c r="B16" t="s">
        <v>590</v>
      </c>
      <c r="C16" t="s">
        <v>591</v>
      </c>
      <c r="D16" s="78">
        <f>SUMIF('Balance Générale'!$B:$B,7530,'Balance Générale'!$H:$H)</f>
        <v>0</v>
      </c>
      <c r="E16" s="78"/>
    </row>
    <row r="17" spans="2:5" x14ac:dyDescent="0.35">
      <c r="B17" t="s">
        <v>592</v>
      </c>
      <c r="C17" t="s">
        <v>593</v>
      </c>
      <c r="D17" s="78">
        <f>SUMIF('Balance Générale'!$B:$B,7510,'Balance Générale'!$H:$H)</f>
        <v>0</v>
      </c>
      <c r="E17" s="78"/>
    </row>
    <row r="18" spans="2:5" x14ac:dyDescent="0.35">
      <c r="B18" s="80" t="s">
        <v>594</v>
      </c>
      <c r="C18" s="80" t="s">
        <v>595</v>
      </c>
      <c r="D18" s="92">
        <f>D14+D15+D16+D17</f>
        <v>0</v>
      </c>
      <c r="E18" s="92"/>
    </row>
    <row r="19" spans="2:5" x14ac:dyDescent="0.35">
      <c r="B19" s="157"/>
      <c r="C19" s="157" t="s">
        <v>596</v>
      </c>
      <c r="D19" s="158"/>
      <c r="E19" s="158"/>
    </row>
    <row r="20" spans="2:5" x14ac:dyDescent="0.35">
      <c r="B20" t="s">
        <v>597</v>
      </c>
      <c r="C20" t="s">
        <v>598</v>
      </c>
      <c r="D20" s="78">
        <f>SUMIFS('Balance Générale'!$H:$H,'Balance Générale'!$B:$B,"&gt;=1011",'Balance Générale'!$B:$B,"&lt;1030")-SUMIFS('Balance N-1'!$G:$G,'Balance N-1'!$B:$B,"&gt;=1011",'Balance N-1'!$B:$B,"&lt;1030")</f>
        <v>0</v>
      </c>
      <c r="E20" s="78"/>
    </row>
    <row r="21" spans="2:5" x14ac:dyDescent="0.35">
      <c r="B21" t="s">
        <v>599</v>
      </c>
      <c r="C21" t="s">
        <v>600</v>
      </c>
      <c r="D21" s="78">
        <f>SUMIFS('Balance Générale'!$H:$H,'Balance Générale'!$B:$B,"&gt;=1301",'Balance Générale'!$B:$B,"&lt;1400")-SUMIFS('Balance N-1'!$G:$G,'Balance N-1'!$B:$B,"&gt;=1301",'Balance N-1'!$B:$B,"&lt;1400")</f>
        <v>0</v>
      </c>
      <c r="E21" s="78"/>
    </row>
    <row r="22" spans="2:5" x14ac:dyDescent="0.35">
      <c r="B22" t="s">
        <v>601</v>
      </c>
      <c r="C22" t="s">
        <v>602</v>
      </c>
      <c r="D22" s="78">
        <f>MAX(0,PASSIF!E19-PASSIF!F19)</f>
        <v>0</v>
      </c>
      <c r="E22" s="78"/>
    </row>
    <row r="23" spans="2:5" x14ac:dyDescent="0.35">
      <c r="B23" t="s">
        <v>603</v>
      </c>
      <c r="C23" t="s">
        <v>604</v>
      </c>
      <c r="D23" s="78">
        <f>-MAX(0,PASSIF!F19-PASSIF!E19)</f>
        <v>0</v>
      </c>
      <c r="E23" s="78"/>
    </row>
    <row r="24" spans="2:5" x14ac:dyDescent="0.35">
      <c r="B24" t="s">
        <v>605</v>
      </c>
      <c r="C24" t="s">
        <v>606</v>
      </c>
      <c r="D24" s="78">
        <f>-'Compte de Résultat'!E33</f>
        <v>0</v>
      </c>
      <c r="E24" s="78"/>
    </row>
    <row r="25" spans="2:5" x14ac:dyDescent="0.35">
      <c r="B25" t="s">
        <v>607</v>
      </c>
      <c r="C25" t="s">
        <v>608</v>
      </c>
      <c r="D25" s="78">
        <f>-SUMIF('Balance Générale'!$B:$B,4650,'Balance Générale'!$G:$G)</f>
        <v>0</v>
      </c>
      <c r="E25" s="78"/>
    </row>
    <row r="26" spans="2:5" x14ac:dyDescent="0.35">
      <c r="B26" s="80" t="s">
        <v>609</v>
      </c>
      <c r="C26" s="80" t="s">
        <v>610</v>
      </c>
      <c r="D26" s="92">
        <f>D20+D21+D22+D23+D24+D25</f>
        <v>0</v>
      </c>
      <c r="E26" s="92"/>
    </row>
    <row r="27" spans="2:5" x14ac:dyDescent="0.35">
      <c r="B27" s="80" t="s">
        <v>611</v>
      </c>
      <c r="C27" s="80" t="s">
        <v>612</v>
      </c>
      <c r="D27" s="92">
        <f>D12+D18+D26</f>
        <v>0</v>
      </c>
      <c r="E27" s="92"/>
    </row>
    <row r="28" spans="2:5" x14ac:dyDescent="0.35">
      <c r="B28" s="80" t="s">
        <v>613</v>
      </c>
      <c r="C28" s="80" t="s">
        <v>614</v>
      </c>
      <c r="D28" s="92">
        <f>D5+D27</f>
        <v>0</v>
      </c>
      <c r="E28" s="92"/>
    </row>
    <row r="29" spans="2:5" x14ac:dyDescent="0.35">
      <c r="C29" t="s">
        <v>615</v>
      </c>
      <c r="D29" s="78">
        <f>(ACTIF!G41-PASSIF!E37)-D28</f>
        <v>0</v>
      </c>
      <c r="E29" s="78"/>
    </row>
  </sheetData>
  <sheetProtection sheet="1" objects="1" scenarios="1" sort="0" autoFilter="0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353859-167E-44D4-A341-2D4CCECCE515}">
  <dimension ref="A1:F36"/>
  <sheetViews>
    <sheetView workbookViewId="0"/>
  </sheetViews>
  <sheetFormatPr baseColWidth="10" defaultRowHeight="14.5" x14ac:dyDescent="0.35"/>
  <cols>
    <col min="2" max="2" width="70.81640625" bestFit="1" customWidth="1"/>
    <col min="3" max="3" width="48.7265625" bestFit="1" customWidth="1"/>
    <col min="4" max="4" width="5.453125" bestFit="1" customWidth="1"/>
    <col min="5" max="5" width="12.1796875" bestFit="1" customWidth="1"/>
    <col min="6" max="6" width="13.81640625" bestFit="1" customWidth="1"/>
  </cols>
  <sheetData>
    <row r="1" spans="1:6" x14ac:dyDescent="0.35">
      <c r="A1" s="15" t="str">
        <f>HYPERLINK("#'PAGE DE GARDE'!A1","⬅ Menu")</f>
        <v>⬅ Menu</v>
      </c>
    </row>
    <row r="2" spans="1:6" ht="18.5" x14ac:dyDescent="0.35">
      <c r="B2" s="159" t="s">
        <v>990</v>
      </c>
      <c r="C2" s="159"/>
      <c r="D2" s="159"/>
      <c r="E2" s="159"/>
      <c r="F2" s="159"/>
    </row>
    <row r="3" spans="1:6" x14ac:dyDescent="0.35">
      <c r="B3" s="86" t="s">
        <v>991</v>
      </c>
      <c r="C3" s="86"/>
      <c r="D3" s="86"/>
      <c r="E3" s="86"/>
      <c r="F3" s="86"/>
    </row>
    <row r="5" spans="1:6" x14ac:dyDescent="0.35">
      <c r="B5" s="74" t="s">
        <v>336</v>
      </c>
      <c r="C5" s="74" t="s">
        <v>489</v>
      </c>
      <c r="D5" s="74" t="s">
        <v>338</v>
      </c>
      <c r="E5" s="74" t="s">
        <v>490</v>
      </c>
      <c r="F5" s="74" t="s">
        <v>491</v>
      </c>
    </row>
    <row r="6" spans="1:6" x14ac:dyDescent="0.35">
      <c r="B6" s="89" t="s">
        <v>992</v>
      </c>
      <c r="C6" s="89"/>
      <c r="D6" s="89"/>
      <c r="E6" s="89"/>
      <c r="F6" s="89"/>
    </row>
    <row r="7" spans="1:6" x14ac:dyDescent="0.35">
      <c r="B7" s="75" t="s">
        <v>573</v>
      </c>
      <c r="C7" s="77" t="s">
        <v>993</v>
      </c>
      <c r="E7" s="78">
        <f>'Compte de Résultat'!E44+'Compte de Résultat'!E27+'Compte de Résultat'!E31</f>
        <v>0</v>
      </c>
      <c r="F7" s="78">
        <f>'Compte de Résultat'!F44+'Compte de Résultat'!F27+'Compte de Résultat'!F31</f>
        <v>0</v>
      </c>
    </row>
    <row r="8" spans="1:6" x14ac:dyDescent="0.35">
      <c r="B8" s="75" t="s">
        <v>575</v>
      </c>
      <c r="C8" s="77" t="s">
        <v>576</v>
      </c>
      <c r="E8" s="83"/>
      <c r="F8" s="83"/>
    </row>
    <row r="9" spans="1:6" x14ac:dyDescent="0.35">
      <c r="B9" s="75" t="s">
        <v>577</v>
      </c>
      <c r="C9" s="77" t="s">
        <v>994</v>
      </c>
      <c r="E9" s="83"/>
      <c r="F9" s="83"/>
    </row>
    <row r="10" spans="1:6" x14ac:dyDescent="0.35">
      <c r="B10" s="160" t="s">
        <v>579</v>
      </c>
      <c r="C10" s="160" t="s">
        <v>995</v>
      </c>
      <c r="D10" s="160"/>
      <c r="E10" s="161">
        <f>E7+E8+E9</f>
        <v>0</v>
      </c>
      <c r="F10" s="161">
        <f>F7+F8+F9</f>
        <v>0</v>
      </c>
    </row>
    <row r="11" spans="1:6" x14ac:dyDescent="0.35">
      <c r="E11" s="78"/>
      <c r="F11" s="78"/>
    </row>
    <row r="12" spans="1:6" x14ac:dyDescent="0.35">
      <c r="B12" s="89" t="s">
        <v>996</v>
      </c>
      <c r="C12" s="89"/>
      <c r="D12" s="89"/>
      <c r="E12" s="90"/>
      <c r="F12" s="90"/>
    </row>
    <row r="13" spans="1:6" x14ac:dyDescent="0.35">
      <c r="B13" s="75" t="s">
        <v>581</v>
      </c>
      <c r="C13" s="77" t="s">
        <v>997</v>
      </c>
      <c r="E13" s="83"/>
      <c r="F13" s="83"/>
    </row>
    <row r="14" spans="1:6" x14ac:dyDescent="0.35">
      <c r="B14" s="75" t="s">
        <v>586</v>
      </c>
      <c r="C14" s="77" t="s">
        <v>998</v>
      </c>
      <c r="E14" s="83"/>
      <c r="F14" s="83"/>
    </row>
    <row r="15" spans="1:6" x14ac:dyDescent="0.35">
      <c r="B15" s="75" t="s">
        <v>588</v>
      </c>
      <c r="C15" s="77" t="s">
        <v>999</v>
      </c>
      <c r="E15" s="83"/>
      <c r="F15" s="83"/>
    </row>
    <row r="16" spans="1:6" x14ac:dyDescent="0.35">
      <c r="B16" s="75" t="s">
        <v>590</v>
      </c>
      <c r="C16" s="77" t="s">
        <v>1000</v>
      </c>
      <c r="E16" s="83"/>
      <c r="F16" s="83"/>
    </row>
    <row r="17" spans="2:6" x14ac:dyDescent="0.35">
      <c r="B17" s="75" t="s">
        <v>592</v>
      </c>
      <c r="C17" s="77" t="s">
        <v>1001</v>
      </c>
      <c r="E17" s="83"/>
      <c r="F17" s="83"/>
    </row>
    <row r="18" spans="2:6" x14ac:dyDescent="0.35">
      <c r="B18" s="75" t="s">
        <v>597</v>
      </c>
      <c r="C18" s="77" t="s">
        <v>1002</v>
      </c>
      <c r="E18" s="83"/>
      <c r="F18" s="83"/>
    </row>
    <row r="19" spans="2:6" x14ac:dyDescent="0.35">
      <c r="B19" s="160" t="s">
        <v>599</v>
      </c>
      <c r="C19" s="160" t="s">
        <v>1003</v>
      </c>
      <c r="D19" s="160"/>
      <c r="E19" s="161">
        <f>SUM(E13:E18)</f>
        <v>0</v>
      </c>
      <c r="F19" s="161">
        <f>SUM(F13:F18)</f>
        <v>0</v>
      </c>
    </row>
    <row r="20" spans="2:6" x14ac:dyDescent="0.35">
      <c r="E20" s="78"/>
      <c r="F20" s="78"/>
    </row>
    <row r="21" spans="2:6" x14ac:dyDescent="0.35">
      <c r="B21" s="89" t="s">
        <v>1004</v>
      </c>
      <c r="C21" s="89"/>
      <c r="D21" s="89"/>
      <c r="E21" s="90"/>
      <c r="F21" s="90"/>
    </row>
    <row r="22" spans="2:6" x14ac:dyDescent="0.35">
      <c r="B22" s="75" t="s">
        <v>601</v>
      </c>
      <c r="C22" s="77" t="s">
        <v>598</v>
      </c>
      <c r="E22" s="83"/>
      <c r="F22" s="83"/>
    </row>
    <row r="23" spans="2:6" x14ac:dyDescent="0.35">
      <c r="B23" s="75" t="s">
        <v>603</v>
      </c>
      <c r="C23" s="77" t="s">
        <v>600</v>
      </c>
      <c r="E23" s="83"/>
      <c r="F23" s="83"/>
    </row>
    <row r="24" spans="2:6" x14ac:dyDescent="0.35">
      <c r="B24" s="75" t="s">
        <v>605</v>
      </c>
      <c r="C24" s="77" t="s">
        <v>1005</v>
      </c>
      <c r="E24" s="83"/>
      <c r="F24" s="83"/>
    </row>
    <row r="25" spans="2:6" x14ac:dyDescent="0.35">
      <c r="B25" s="75" t="s">
        <v>607</v>
      </c>
      <c r="C25" s="77" t="s">
        <v>1006</v>
      </c>
      <c r="E25" s="83"/>
      <c r="F25" s="83"/>
    </row>
    <row r="26" spans="2:6" x14ac:dyDescent="0.35">
      <c r="B26" s="75" t="s">
        <v>1007</v>
      </c>
      <c r="C26" s="77" t="s">
        <v>608</v>
      </c>
      <c r="E26" s="83"/>
      <c r="F26" s="83"/>
    </row>
    <row r="27" spans="2:6" x14ac:dyDescent="0.35">
      <c r="B27" s="160" t="s">
        <v>1008</v>
      </c>
      <c r="C27" s="160" t="s">
        <v>1009</v>
      </c>
      <c r="D27" s="160"/>
      <c r="E27" s="161">
        <f>SUM(E22:E26)</f>
        <v>0</v>
      </c>
      <c r="F27" s="161">
        <f>SUM(F22:F26)</f>
        <v>0</v>
      </c>
    </row>
    <row r="28" spans="2:6" x14ac:dyDescent="0.35">
      <c r="E28" s="78"/>
      <c r="F28" s="78"/>
    </row>
    <row r="29" spans="2:6" x14ac:dyDescent="0.35">
      <c r="B29" s="89" t="s">
        <v>1010</v>
      </c>
      <c r="C29" s="89"/>
      <c r="D29" s="89"/>
      <c r="E29" s="90"/>
      <c r="F29" s="90"/>
    </row>
    <row r="30" spans="2:6" x14ac:dyDescent="0.35">
      <c r="B30" s="162" t="s">
        <v>1011</v>
      </c>
      <c r="C30" s="162" t="s">
        <v>1012</v>
      </c>
      <c r="D30" s="162"/>
      <c r="E30" s="163">
        <f>E10+E19+E27</f>
        <v>0</v>
      </c>
      <c r="F30" s="163">
        <f>F10+F19+F27</f>
        <v>0</v>
      </c>
    </row>
    <row r="31" spans="2:6" x14ac:dyDescent="0.35">
      <c r="E31" s="78"/>
      <c r="F31" s="78"/>
    </row>
    <row r="32" spans="2:6" x14ac:dyDescent="0.35">
      <c r="B32" s="6" t="s">
        <v>1013</v>
      </c>
      <c r="C32" s="6"/>
      <c r="D32" s="6"/>
      <c r="E32" s="164"/>
      <c r="F32" s="164"/>
    </row>
    <row r="33" spans="2:6" x14ac:dyDescent="0.35">
      <c r="B33" s="75" t="s">
        <v>1014</v>
      </c>
      <c r="C33" s="77" t="s">
        <v>1015</v>
      </c>
      <c r="E33" s="83">
        <f>ACTIF!H41-PASSIF!F37</f>
        <v>0</v>
      </c>
      <c r="F33" s="78"/>
    </row>
    <row r="34" spans="2:6" x14ac:dyDescent="0.35">
      <c r="B34" s="75" t="s">
        <v>1016</v>
      </c>
      <c r="C34" s="77" t="s">
        <v>1017</v>
      </c>
      <c r="E34" s="83">
        <f>ACTIF!G41-PASSIF!E37</f>
        <v>0</v>
      </c>
      <c r="F34" s="78">
        <f>ACTIF!H41-PASSIF!F37</f>
        <v>0</v>
      </c>
    </row>
    <row r="35" spans="2:6" x14ac:dyDescent="0.35">
      <c r="B35" s="121" t="s">
        <v>1018</v>
      </c>
      <c r="C35" s="88" t="s">
        <v>1019</v>
      </c>
      <c r="D35" s="88"/>
      <c r="E35" s="165">
        <f>E34-E33</f>
        <v>0</v>
      </c>
      <c r="F35" s="165">
        <f>F34-F33</f>
        <v>0</v>
      </c>
    </row>
    <row r="36" spans="2:6" x14ac:dyDescent="0.35">
      <c r="B36" s="121" t="s">
        <v>1020</v>
      </c>
      <c r="C36" s="88" t="s">
        <v>1021</v>
      </c>
      <c r="D36" s="88"/>
      <c r="E36" s="165">
        <f>E35-E30</f>
        <v>0</v>
      </c>
      <c r="F36" s="165">
        <f>F35-F30</f>
        <v>0</v>
      </c>
    </row>
  </sheetData>
  <sheetProtection sheet="1" objects="1" scenarios="1" sort="0" autoFilter="0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765B-0D3B-4584-90CF-EE54BA14FFBB}">
  <sheetPr codeName="Feuil11"/>
  <dimension ref="A1:G50"/>
  <sheetViews>
    <sheetView showGridLines="0" workbookViewId="0"/>
  </sheetViews>
  <sheetFormatPr baseColWidth="10" defaultRowHeight="14.5" x14ac:dyDescent="0.35"/>
  <cols>
    <col min="2" max="2" width="48.26953125" bestFit="1" customWidth="1"/>
    <col min="3" max="3" width="11.54296875" bestFit="1" customWidth="1"/>
  </cols>
  <sheetData>
    <row r="1" spans="1:7" x14ac:dyDescent="0.35">
      <c r="A1" s="15" t="str">
        <f>HYPERLINK("#'PAGE DE GARDE'!A1","⬅ Menu")</f>
        <v>⬅ Menu</v>
      </c>
    </row>
    <row r="2" spans="1:7" ht="18.5" x14ac:dyDescent="0.45">
      <c r="B2" s="18" t="s">
        <v>314</v>
      </c>
      <c r="C2" s="18"/>
      <c r="D2" s="18"/>
      <c r="E2" s="18"/>
      <c r="F2" s="18"/>
      <c r="G2" s="18"/>
    </row>
    <row r="4" spans="1:7" x14ac:dyDescent="0.35">
      <c r="B4" s="166" t="s">
        <v>2</v>
      </c>
      <c r="C4" s="166" t="s">
        <v>315</v>
      </c>
    </row>
    <row r="5" spans="1:7" x14ac:dyDescent="0.35">
      <c r="B5" s="14" t="s">
        <v>316</v>
      </c>
      <c r="C5" s="14"/>
      <c r="D5" s="14"/>
      <c r="E5" s="14"/>
    </row>
    <row r="6" spans="1:7" x14ac:dyDescent="0.35">
      <c r="B6" s="14" t="s">
        <v>317</v>
      </c>
      <c r="C6" s="14"/>
      <c r="D6" s="14"/>
      <c r="E6" s="14"/>
    </row>
    <row r="7" spans="1:7" x14ac:dyDescent="0.35">
      <c r="B7" s="14" t="s">
        <v>318</v>
      </c>
      <c r="C7" s="14"/>
      <c r="D7" s="14"/>
      <c r="E7" s="14"/>
    </row>
    <row r="8" spans="1:7" x14ac:dyDescent="0.35">
      <c r="B8" s="14" t="s">
        <v>319</v>
      </c>
      <c r="C8" s="14"/>
      <c r="D8" s="14"/>
      <c r="E8" s="14"/>
    </row>
    <row r="9" spans="1:7" x14ac:dyDescent="0.35">
      <c r="B9" s="14"/>
      <c r="C9" s="14"/>
      <c r="D9" s="14"/>
      <c r="E9" s="14"/>
    </row>
    <row r="10" spans="1:7" x14ac:dyDescent="0.35">
      <c r="B10" s="14"/>
      <c r="C10" s="14"/>
      <c r="D10" s="14"/>
      <c r="E10" s="14"/>
    </row>
    <row r="11" spans="1:7" x14ac:dyDescent="0.35">
      <c r="B11" s="14"/>
      <c r="C11" s="14"/>
      <c r="D11" s="14"/>
      <c r="E11" s="14"/>
    </row>
    <row r="12" spans="1:7" x14ac:dyDescent="0.35">
      <c r="B12" s="14"/>
      <c r="C12" s="14"/>
      <c r="D12" s="14"/>
      <c r="E12" s="14"/>
    </row>
    <row r="13" spans="1:7" x14ac:dyDescent="0.35">
      <c r="B13" s="14"/>
      <c r="C13" s="14"/>
      <c r="D13" s="14"/>
      <c r="E13" s="14"/>
    </row>
    <row r="14" spans="1:7" x14ac:dyDescent="0.35">
      <c r="B14" s="14"/>
      <c r="C14" s="14"/>
      <c r="D14" s="14"/>
      <c r="E14" s="14"/>
    </row>
    <row r="15" spans="1:7" x14ac:dyDescent="0.35">
      <c r="B15" s="14"/>
      <c r="C15" s="14"/>
      <c r="D15" s="14"/>
      <c r="E15" s="14"/>
    </row>
    <row r="16" spans="1:7" x14ac:dyDescent="0.35">
      <c r="B16" s="14"/>
      <c r="C16" s="14"/>
      <c r="D16" s="14"/>
      <c r="E16" s="14"/>
    </row>
    <row r="17" spans="2:5" x14ac:dyDescent="0.35">
      <c r="B17" s="14"/>
      <c r="C17" s="14"/>
      <c r="D17" s="14"/>
      <c r="E17" s="14"/>
    </row>
    <row r="18" spans="2:5" x14ac:dyDescent="0.35">
      <c r="B18" s="14"/>
      <c r="C18" s="14"/>
      <c r="D18" s="14"/>
      <c r="E18" s="14"/>
    </row>
    <row r="19" spans="2:5" x14ac:dyDescent="0.35">
      <c r="B19" s="14"/>
      <c r="C19" s="14"/>
      <c r="D19" s="14"/>
      <c r="E19" s="14"/>
    </row>
    <row r="20" spans="2:5" x14ac:dyDescent="0.35">
      <c r="B20" s="14"/>
      <c r="C20" s="14"/>
      <c r="D20" s="14"/>
      <c r="E20" s="14"/>
    </row>
    <row r="21" spans="2:5" x14ac:dyDescent="0.35">
      <c r="B21" s="14"/>
      <c r="C21" s="14"/>
      <c r="D21" s="14"/>
      <c r="E21" s="14"/>
    </row>
    <row r="22" spans="2:5" x14ac:dyDescent="0.35">
      <c r="B22" s="14"/>
      <c r="C22" s="14"/>
      <c r="D22" s="14"/>
      <c r="E22" s="14"/>
    </row>
    <row r="23" spans="2:5" x14ac:dyDescent="0.35">
      <c r="B23" s="14"/>
      <c r="C23" s="14"/>
      <c r="D23" s="14"/>
      <c r="E23" s="14"/>
    </row>
    <row r="24" spans="2:5" x14ac:dyDescent="0.35">
      <c r="B24" s="14"/>
      <c r="C24" s="14"/>
      <c r="D24" s="14"/>
      <c r="E24" s="14"/>
    </row>
    <row r="25" spans="2:5" x14ac:dyDescent="0.35">
      <c r="B25" s="14"/>
      <c r="C25" s="14"/>
      <c r="D25" s="14"/>
      <c r="E25" s="14"/>
    </row>
    <row r="26" spans="2:5" x14ac:dyDescent="0.35">
      <c r="B26" s="14"/>
      <c r="C26" s="14"/>
      <c r="D26" s="14"/>
      <c r="E26" s="14"/>
    </row>
    <row r="27" spans="2:5" x14ac:dyDescent="0.35">
      <c r="B27" s="14"/>
      <c r="C27" s="14"/>
      <c r="D27" s="14"/>
      <c r="E27" s="14"/>
    </row>
    <row r="28" spans="2:5" x14ac:dyDescent="0.35">
      <c r="B28" s="14"/>
      <c r="C28" s="14"/>
      <c r="D28" s="14"/>
      <c r="E28" s="14"/>
    </row>
    <row r="29" spans="2:5" x14ac:dyDescent="0.35">
      <c r="B29" s="14"/>
      <c r="C29" s="14"/>
      <c r="D29" s="14"/>
      <c r="E29" s="14"/>
    </row>
    <row r="30" spans="2:5" x14ac:dyDescent="0.35">
      <c r="B30" s="14"/>
      <c r="C30" s="14"/>
      <c r="D30" s="14"/>
      <c r="E30" s="14"/>
    </row>
    <row r="31" spans="2:5" x14ac:dyDescent="0.35">
      <c r="B31" s="14"/>
      <c r="C31" s="14"/>
      <c r="D31" s="14"/>
      <c r="E31" s="14"/>
    </row>
    <row r="32" spans="2:5" x14ac:dyDescent="0.35">
      <c r="B32" s="14"/>
      <c r="C32" s="14"/>
      <c r="D32" s="14"/>
      <c r="E32" s="14"/>
    </row>
    <row r="33" spans="2:5" x14ac:dyDescent="0.35">
      <c r="B33" s="14"/>
      <c r="C33" s="14"/>
      <c r="D33" s="14"/>
      <c r="E33" s="14"/>
    </row>
    <row r="34" spans="2:5" x14ac:dyDescent="0.35">
      <c r="B34" s="14"/>
      <c r="C34" s="14"/>
      <c r="D34" s="14"/>
      <c r="E34" s="14"/>
    </row>
    <row r="35" spans="2:5" x14ac:dyDescent="0.35">
      <c r="B35" s="14"/>
      <c r="C35" s="14"/>
      <c r="D35" s="14"/>
      <c r="E35" s="14"/>
    </row>
    <row r="36" spans="2:5" x14ac:dyDescent="0.35">
      <c r="B36" s="14"/>
      <c r="C36" s="14"/>
      <c r="D36" s="14"/>
      <c r="E36" s="14"/>
    </row>
    <row r="37" spans="2:5" x14ac:dyDescent="0.35">
      <c r="B37" s="14"/>
      <c r="C37" s="14"/>
      <c r="D37" s="14"/>
      <c r="E37" s="14"/>
    </row>
    <row r="38" spans="2:5" x14ac:dyDescent="0.35">
      <c r="B38" s="14"/>
      <c r="C38" s="14"/>
      <c r="D38" s="14"/>
      <c r="E38" s="14"/>
    </row>
    <row r="39" spans="2:5" x14ac:dyDescent="0.35">
      <c r="B39" s="14"/>
      <c r="C39" s="14"/>
      <c r="D39" s="14"/>
      <c r="E39" s="14"/>
    </row>
    <row r="40" spans="2:5" x14ac:dyDescent="0.35">
      <c r="B40" s="14"/>
      <c r="C40" s="14"/>
      <c r="D40" s="14"/>
      <c r="E40" s="14"/>
    </row>
    <row r="41" spans="2:5" x14ac:dyDescent="0.35">
      <c r="B41" s="14"/>
      <c r="C41" s="14"/>
      <c r="D41" s="14"/>
      <c r="E41" s="14"/>
    </row>
    <row r="42" spans="2:5" x14ac:dyDescent="0.35">
      <c r="B42" s="14"/>
      <c r="C42" s="14"/>
      <c r="D42" s="14"/>
      <c r="E42" s="14"/>
    </row>
    <row r="43" spans="2:5" x14ac:dyDescent="0.35">
      <c r="B43" s="14"/>
      <c r="C43" s="14"/>
      <c r="D43" s="14"/>
      <c r="E43" s="14"/>
    </row>
    <row r="44" spans="2:5" x14ac:dyDescent="0.35">
      <c r="B44" s="14"/>
      <c r="C44" s="14"/>
      <c r="D44" s="14"/>
      <c r="E44" s="14"/>
    </row>
    <row r="45" spans="2:5" x14ac:dyDescent="0.35">
      <c r="B45" s="14"/>
      <c r="C45" s="14"/>
      <c r="D45" s="14"/>
      <c r="E45" s="14"/>
    </row>
    <row r="46" spans="2:5" x14ac:dyDescent="0.35">
      <c r="B46" s="14"/>
      <c r="C46" s="14"/>
      <c r="D46" s="14"/>
      <c r="E46" s="14"/>
    </row>
    <row r="47" spans="2:5" x14ac:dyDescent="0.35">
      <c r="B47" s="14"/>
      <c r="C47" s="14"/>
      <c r="D47" s="14"/>
      <c r="E47" s="14"/>
    </row>
    <row r="48" spans="2:5" x14ac:dyDescent="0.35">
      <c r="B48" s="14"/>
      <c r="C48" s="14"/>
      <c r="D48" s="14"/>
      <c r="E48" s="14"/>
    </row>
    <row r="49" spans="2:5" x14ac:dyDescent="0.35">
      <c r="B49" s="14"/>
      <c r="C49" s="14"/>
      <c r="D49" s="14"/>
      <c r="E49" s="14"/>
    </row>
    <row r="50" spans="2:5" x14ac:dyDescent="0.35">
      <c r="B50" s="14"/>
      <c r="C50" s="14"/>
      <c r="D50" s="14"/>
      <c r="E50" s="14"/>
    </row>
  </sheetData>
  <sheetProtection sheet="1" objects="1" scenarios="1" sort="0" autoFilter="0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8C44-BB5E-4DEC-A3E7-1D8668106AA0}">
  <sheetPr codeName="Feuil12"/>
  <dimension ref="A1:G50"/>
  <sheetViews>
    <sheetView showGridLines="0" workbookViewId="0"/>
  </sheetViews>
  <sheetFormatPr baseColWidth="10" defaultRowHeight="14.5" x14ac:dyDescent="0.35"/>
  <cols>
    <col min="2" max="2" width="52.81640625" bestFit="1" customWidth="1"/>
    <col min="3" max="3" width="9.7265625" bestFit="1" customWidth="1"/>
    <col min="4" max="4" width="5.453125" bestFit="1" customWidth="1"/>
    <col min="5" max="5" width="7.1796875" bestFit="1" customWidth="1"/>
  </cols>
  <sheetData>
    <row r="1" spans="1:7" x14ac:dyDescent="0.35">
      <c r="A1" s="15" t="str">
        <f>HYPERLINK("#'PAGE DE GARDE'!A1","⬅ Menu")</f>
        <v>⬅ Menu</v>
      </c>
    </row>
    <row r="2" spans="1:7" ht="18.5" x14ac:dyDescent="0.45">
      <c r="B2" s="18" t="s">
        <v>320</v>
      </c>
      <c r="C2" s="18"/>
      <c r="D2" s="18"/>
      <c r="E2" s="18"/>
      <c r="F2" s="18"/>
      <c r="G2" s="18"/>
    </row>
    <row r="4" spans="1:7" x14ac:dyDescent="0.35">
      <c r="B4" s="166" t="s">
        <v>321</v>
      </c>
      <c r="C4" s="166" t="s">
        <v>322</v>
      </c>
      <c r="D4" s="166" t="s">
        <v>323</v>
      </c>
      <c r="E4" s="166" t="s">
        <v>324</v>
      </c>
    </row>
    <row r="5" spans="1:7" x14ac:dyDescent="0.35">
      <c r="B5" s="14"/>
      <c r="C5" s="14"/>
      <c r="D5" s="14"/>
      <c r="E5" s="14"/>
    </row>
    <row r="6" spans="1:7" x14ac:dyDescent="0.35">
      <c r="B6" s="14"/>
      <c r="C6" s="14"/>
      <c r="D6" s="14"/>
      <c r="E6" s="14"/>
    </row>
    <row r="7" spans="1:7" x14ac:dyDescent="0.35">
      <c r="B7" s="14"/>
      <c r="C7" s="14"/>
      <c r="D7" s="14"/>
      <c r="E7" s="14"/>
    </row>
    <row r="8" spans="1:7" x14ac:dyDescent="0.35">
      <c r="B8" s="14"/>
      <c r="C8" s="14"/>
      <c r="D8" s="14"/>
      <c r="E8" s="14"/>
    </row>
    <row r="9" spans="1:7" x14ac:dyDescent="0.35">
      <c r="B9" s="14"/>
      <c r="C9" s="14"/>
      <c r="D9" s="14"/>
      <c r="E9" s="14"/>
    </row>
    <row r="10" spans="1:7" x14ac:dyDescent="0.35">
      <c r="B10" s="14"/>
      <c r="C10" s="14"/>
      <c r="D10" s="14"/>
      <c r="E10" s="14"/>
    </row>
    <row r="11" spans="1:7" x14ac:dyDescent="0.35">
      <c r="B11" s="14"/>
      <c r="C11" s="14"/>
      <c r="D11" s="14"/>
      <c r="E11" s="14"/>
    </row>
    <row r="12" spans="1:7" x14ac:dyDescent="0.35">
      <c r="B12" s="14"/>
      <c r="C12" s="14"/>
      <c r="D12" s="14"/>
      <c r="E12" s="14"/>
    </row>
    <row r="13" spans="1:7" x14ac:dyDescent="0.35">
      <c r="B13" s="14"/>
      <c r="C13" s="14"/>
      <c r="D13" s="14"/>
      <c r="E13" s="14"/>
    </row>
    <row r="14" spans="1:7" x14ac:dyDescent="0.35">
      <c r="B14" s="14"/>
      <c r="C14" s="14"/>
      <c r="D14" s="14"/>
      <c r="E14" s="14"/>
    </row>
    <row r="15" spans="1:7" x14ac:dyDescent="0.35">
      <c r="B15" s="14"/>
      <c r="C15" s="14"/>
      <c r="D15" s="14"/>
      <c r="E15" s="14"/>
    </row>
    <row r="16" spans="1:7" x14ac:dyDescent="0.35">
      <c r="B16" s="14"/>
      <c r="C16" s="14"/>
      <c r="D16" s="14"/>
      <c r="E16" s="14"/>
    </row>
    <row r="17" spans="2:5" x14ac:dyDescent="0.35">
      <c r="B17" s="14"/>
      <c r="C17" s="14"/>
      <c r="D17" s="14"/>
      <c r="E17" s="14"/>
    </row>
    <row r="18" spans="2:5" x14ac:dyDescent="0.35">
      <c r="B18" s="14"/>
      <c r="C18" s="14"/>
      <c r="D18" s="14"/>
      <c r="E18" s="14"/>
    </row>
    <row r="19" spans="2:5" x14ac:dyDescent="0.35">
      <c r="B19" s="14"/>
      <c r="C19" s="14"/>
      <c r="D19" s="14"/>
      <c r="E19" s="14"/>
    </row>
    <row r="20" spans="2:5" x14ac:dyDescent="0.35">
      <c r="B20" s="14"/>
      <c r="C20" s="14"/>
      <c r="D20" s="14"/>
      <c r="E20" s="14"/>
    </row>
    <row r="21" spans="2:5" x14ac:dyDescent="0.35">
      <c r="B21" s="14"/>
      <c r="C21" s="14"/>
      <c r="D21" s="14"/>
      <c r="E21" s="14"/>
    </row>
    <row r="22" spans="2:5" x14ac:dyDescent="0.35">
      <c r="B22" s="14"/>
      <c r="C22" s="14"/>
      <c r="D22" s="14"/>
      <c r="E22" s="14"/>
    </row>
    <row r="23" spans="2:5" x14ac:dyDescent="0.35">
      <c r="B23" s="14"/>
      <c r="C23" s="14"/>
      <c r="D23" s="14"/>
      <c r="E23" s="14"/>
    </row>
    <row r="24" spans="2:5" x14ac:dyDescent="0.35">
      <c r="B24" s="14"/>
      <c r="C24" s="14"/>
      <c r="D24" s="14"/>
      <c r="E24" s="14"/>
    </row>
    <row r="25" spans="2:5" x14ac:dyDescent="0.35">
      <c r="B25" s="14"/>
      <c r="C25" s="14"/>
      <c r="D25" s="14"/>
      <c r="E25" s="14"/>
    </row>
    <row r="26" spans="2:5" x14ac:dyDescent="0.35">
      <c r="B26" s="14"/>
      <c r="C26" s="14"/>
      <c r="D26" s="14"/>
      <c r="E26" s="14"/>
    </row>
    <row r="27" spans="2:5" x14ac:dyDescent="0.35">
      <c r="B27" s="14"/>
      <c r="C27" s="14"/>
      <c r="D27" s="14"/>
      <c r="E27" s="14"/>
    </row>
    <row r="28" spans="2:5" x14ac:dyDescent="0.35">
      <c r="B28" s="14"/>
      <c r="C28" s="14"/>
      <c r="D28" s="14"/>
      <c r="E28" s="14"/>
    </row>
    <row r="29" spans="2:5" x14ac:dyDescent="0.35">
      <c r="B29" s="14"/>
      <c r="C29" s="14"/>
      <c r="D29" s="14"/>
      <c r="E29" s="14"/>
    </row>
    <row r="30" spans="2:5" x14ac:dyDescent="0.35">
      <c r="B30" s="14"/>
      <c r="C30" s="14"/>
      <c r="D30" s="14"/>
      <c r="E30" s="14"/>
    </row>
    <row r="31" spans="2:5" x14ac:dyDescent="0.35">
      <c r="B31" s="14"/>
      <c r="C31" s="14"/>
      <c r="D31" s="14"/>
      <c r="E31" s="14"/>
    </row>
    <row r="32" spans="2:5" x14ac:dyDescent="0.35">
      <c r="B32" s="14"/>
      <c r="C32" s="14"/>
      <c r="D32" s="14"/>
      <c r="E32" s="14"/>
    </row>
    <row r="33" spans="2:5" x14ac:dyDescent="0.35">
      <c r="B33" s="14"/>
      <c r="C33" s="14"/>
      <c r="D33" s="14"/>
      <c r="E33" s="14"/>
    </row>
    <row r="34" spans="2:5" x14ac:dyDescent="0.35">
      <c r="B34" s="14"/>
      <c r="C34" s="14"/>
      <c r="D34" s="14"/>
      <c r="E34" s="14"/>
    </row>
    <row r="35" spans="2:5" x14ac:dyDescent="0.35">
      <c r="B35" s="14"/>
      <c r="C35" s="14"/>
      <c r="D35" s="14"/>
      <c r="E35" s="14"/>
    </row>
    <row r="36" spans="2:5" x14ac:dyDescent="0.35">
      <c r="B36" s="14"/>
      <c r="C36" s="14"/>
      <c r="D36" s="14"/>
      <c r="E36" s="14"/>
    </row>
    <row r="37" spans="2:5" x14ac:dyDescent="0.35">
      <c r="B37" s="14"/>
      <c r="C37" s="14"/>
      <c r="D37" s="14"/>
      <c r="E37" s="14"/>
    </row>
    <row r="38" spans="2:5" x14ac:dyDescent="0.35">
      <c r="B38" s="14"/>
      <c r="C38" s="14"/>
      <c r="D38" s="14"/>
      <c r="E38" s="14"/>
    </row>
    <row r="39" spans="2:5" x14ac:dyDescent="0.35">
      <c r="B39" s="14"/>
      <c r="C39" s="14"/>
      <c r="D39" s="14"/>
      <c r="E39" s="14"/>
    </row>
    <row r="40" spans="2:5" x14ac:dyDescent="0.35">
      <c r="B40" s="14"/>
      <c r="C40" s="14"/>
      <c r="D40" s="14"/>
      <c r="E40" s="14"/>
    </row>
    <row r="41" spans="2:5" x14ac:dyDescent="0.35">
      <c r="B41" s="14"/>
      <c r="C41" s="14"/>
      <c r="D41" s="14"/>
      <c r="E41" s="14"/>
    </row>
    <row r="42" spans="2:5" x14ac:dyDescent="0.35">
      <c r="B42" s="14"/>
      <c r="C42" s="14"/>
      <c r="D42" s="14"/>
      <c r="E42" s="14"/>
    </row>
    <row r="43" spans="2:5" x14ac:dyDescent="0.35">
      <c r="B43" s="14"/>
      <c r="C43" s="14"/>
      <c r="D43" s="14"/>
      <c r="E43" s="14"/>
    </row>
    <row r="44" spans="2:5" x14ac:dyDescent="0.35">
      <c r="B44" s="14"/>
      <c r="C44" s="14"/>
      <c r="D44" s="14"/>
      <c r="E44" s="14"/>
    </row>
    <row r="45" spans="2:5" x14ac:dyDescent="0.35">
      <c r="B45" s="14"/>
      <c r="C45" s="14"/>
      <c r="D45" s="14"/>
      <c r="E45" s="14"/>
    </row>
    <row r="46" spans="2:5" x14ac:dyDescent="0.35">
      <c r="B46" s="14"/>
      <c r="C46" s="14"/>
      <c r="D46" s="14"/>
      <c r="E46" s="14"/>
    </row>
    <row r="47" spans="2:5" x14ac:dyDescent="0.35">
      <c r="B47" s="14"/>
      <c r="C47" s="14"/>
      <c r="D47" s="14"/>
      <c r="E47" s="14"/>
    </row>
    <row r="48" spans="2:5" x14ac:dyDescent="0.35">
      <c r="B48" s="14"/>
      <c r="C48" s="14"/>
      <c r="D48" s="14"/>
      <c r="E48" s="14"/>
    </row>
    <row r="49" spans="2:5" x14ac:dyDescent="0.35">
      <c r="B49" s="14"/>
      <c r="C49" s="14"/>
      <c r="D49" s="14"/>
      <c r="E49" s="14"/>
    </row>
    <row r="50" spans="2:5" x14ac:dyDescent="0.35">
      <c r="B50" s="14"/>
      <c r="C50" s="14"/>
      <c r="D50" s="14"/>
      <c r="E50" s="14"/>
    </row>
  </sheetData>
  <sheetProtection sheet="1" objects="1" scenarios="1" sort="0" autoFilter="0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D997A-6F11-4DF8-A552-FEBAD5311571}">
  <sheetPr codeName="Feuil13"/>
  <dimension ref="A1:G50"/>
  <sheetViews>
    <sheetView showGridLines="0" workbookViewId="0"/>
  </sheetViews>
  <sheetFormatPr baseColWidth="10" defaultRowHeight="14.5" x14ac:dyDescent="0.35"/>
  <cols>
    <col min="2" max="2" width="53.54296875" bestFit="1" customWidth="1"/>
    <col min="3" max="3" width="8.81640625" bestFit="1" customWidth="1"/>
    <col min="4" max="4" width="16.1796875" bestFit="1" customWidth="1"/>
    <col min="5" max="5" width="13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8.5" x14ac:dyDescent="0.45">
      <c r="B2" s="18" t="s">
        <v>325</v>
      </c>
      <c r="C2" s="18"/>
      <c r="D2" s="18"/>
      <c r="E2" s="18"/>
      <c r="F2" s="18"/>
      <c r="G2" s="18"/>
    </row>
    <row r="4" spans="1:7" x14ac:dyDescent="0.35">
      <c r="B4" s="166" t="s">
        <v>326</v>
      </c>
      <c r="C4" s="166" t="s">
        <v>327</v>
      </c>
      <c r="D4" s="166" t="s">
        <v>328</v>
      </c>
      <c r="E4" s="166" t="s">
        <v>329</v>
      </c>
    </row>
    <row r="5" spans="1:7" x14ac:dyDescent="0.35">
      <c r="B5" s="14"/>
      <c r="C5" s="14"/>
      <c r="D5" s="14"/>
      <c r="E5" s="14"/>
    </row>
    <row r="6" spans="1:7" x14ac:dyDescent="0.35">
      <c r="B6" s="14"/>
      <c r="C6" s="14"/>
      <c r="D6" s="14"/>
      <c r="E6" s="14"/>
    </row>
    <row r="7" spans="1:7" x14ac:dyDescent="0.35">
      <c r="B7" s="14"/>
      <c r="C7" s="14"/>
      <c r="D7" s="14"/>
      <c r="E7" s="14"/>
    </row>
    <row r="8" spans="1:7" x14ac:dyDescent="0.35">
      <c r="B8" s="14"/>
      <c r="C8" s="14"/>
      <c r="D8" s="14"/>
      <c r="E8" s="14"/>
    </row>
    <row r="9" spans="1:7" x14ac:dyDescent="0.35">
      <c r="B9" s="14"/>
      <c r="C9" s="14"/>
      <c r="D9" s="14"/>
      <c r="E9" s="14"/>
    </row>
    <row r="10" spans="1:7" x14ac:dyDescent="0.35">
      <c r="B10" s="14"/>
      <c r="C10" s="14"/>
      <c r="D10" s="14"/>
      <c r="E10" s="14"/>
    </row>
    <row r="11" spans="1:7" x14ac:dyDescent="0.35">
      <c r="B11" s="14"/>
      <c r="C11" s="14"/>
      <c r="D11" s="14"/>
      <c r="E11" s="14"/>
    </row>
    <row r="12" spans="1:7" x14ac:dyDescent="0.35">
      <c r="B12" s="14"/>
      <c r="C12" s="14"/>
      <c r="D12" s="14"/>
      <c r="E12" s="14"/>
    </row>
    <row r="13" spans="1:7" x14ac:dyDescent="0.35">
      <c r="B13" s="14"/>
      <c r="C13" s="14"/>
      <c r="D13" s="14"/>
      <c r="E13" s="14"/>
    </row>
    <row r="14" spans="1:7" x14ac:dyDescent="0.35">
      <c r="B14" s="14"/>
      <c r="C14" s="14"/>
      <c r="D14" s="14"/>
      <c r="E14" s="14"/>
    </row>
    <row r="15" spans="1:7" x14ac:dyDescent="0.35">
      <c r="B15" s="14"/>
      <c r="C15" s="14"/>
      <c r="D15" s="14"/>
      <c r="E15" s="14"/>
    </row>
    <row r="16" spans="1:7" x14ac:dyDescent="0.35">
      <c r="B16" s="14"/>
      <c r="C16" s="14"/>
      <c r="D16" s="14"/>
      <c r="E16" s="14"/>
    </row>
    <row r="17" spans="2:5" x14ac:dyDescent="0.35">
      <c r="B17" s="14"/>
      <c r="C17" s="14"/>
      <c r="D17" s="14"/>
      <c r="E17" s="14"/>
    </row>
    <row r="18" spans="2:5" x14ac:dyDescent="0.35">
      <c r="B18" s="14"/>
      <c r="C18" s="14"/>
      <c r="D18" s="14"/>
      <c r="E18" s="14"/>
    </row>
    <row r="19" spans="2:5" x14ac:dyDescent="0.35">
      <c r="B19" s="14"/>
      <c r="C19" s="14"/>
      <c r="D19" s="14"/>
      <c r="E19" s="14"/>
    </row>
    <row r="20" spans="2:5" x14ac:dyDescent="0.35">
      <c r="B20" s="14"/>
      <c r="C20" s="14"/>
      <c r="D20" s="14"/>
      <c r="E20" s="14"/>
    </row>
    <row r="21" spans="2:5" x14ac:dyDescent="0.35">
      <c r="B21" s="14"/>
      <c r="C21" s="14"/>
      <c r="D21" s="14"/>
      <c r="E21" s="14"/>
    </row>
    <row r="22" spans="2:5" x14ac:dyDescent="0.35">
      <c r="B22" s="14"/>
      <c r="C22" s="14"/>
      <c r="D22" s="14"/>
      <c r="E22" s="14"/>
    </row>
    <row r="23" spans="2:5" x14ac:dyDescent="0.35">
      <c r="B23" s="14"/>
      <c r="C23" s="14"/>
      <c r="D23" s="14"/>
      <c r="E23" s="14"/>
    </row>
    <row r="24" spans="2:5" x14ac:dyDescent="0.35">
      <c r="B24" s="14"/>
      <c r="C24" s="14"/>
      <c r="D24" s="14"/>
      <c r="E24" s="14"/>
    </row>
    <row r="25" spans="2:5" x14ac:dyDescent="0.35">
      <c r="B25" s="14"/>
      <c r="C25" s="14"/>
      <c r="D25" s="14"/>
      <c r="E25" s="14"/>
    </row>
    <row r="26" spans="2:5" x14ac:dyDescent="0.35">
      <c r="B26" s="14"/>
      <c r="C26" s="14"/>
      <c r="D26" s="14"/>
      <c r="E26" s="14"/>
    </row>
    <row r="27" spans="2:5" x14ac:dyDescent="0.35">
      <c r="B27" s="14"/>
      <c r="C27" s="14"/>
      <c r="D27" s="14"/>
      <c r="E27" s="14"/>
    </row>
    <row r="28" spans="2:5" x14ac:dyDescent="0.35">
      <c r="B28" s="14"/>
      <c r="C28" s="14"/>
      <c r="D28" s="14"/>
      <c r="E28" s="14"/>
    </row>
    <row r="29" spans="2:5" x14ac:dyDescent="0.35">
      <c r="B29" s="14"/>
      <c r="C29" s="14"/>
      <c r="D29" s="14"/>
      <c r="E29" s="14"/>
    </row>
    <row r="30" spans="2:5" x14ac:dyDescent="0.35">
      <c r="B30" s="14"/>
      <c r="C30" s="14"/>
      <c r="D30" s="14"/>
      <c r="E30" s="14"/>
    </row>
    <row r="31" spans="2:5" x14ac:dyDescent="0.35">
      <c r="B31" s="14"/>
      <c r="C31" s="14"/>
      <c r="D31" s="14"/>
      <c r="E31" s="14"/>
    </row>
    <row r="32" spans="2:5" x14ac:dyDescent="0.35">
      <c r="B32" s="14"/>
      <c r="C32" s="14"/>
      <c r="D32" s="14"/>
      <c r="E32" s="14"/>
    </row>
    <row r="33" spans="2:5" x14ac:dyDescent="0.35">
      <c r="B33" s="14"/>
      <c r="C33" s="14"/>
      <c r="D33" s="14"/>
      <c r="E33" s="14"/>
    </row>
    <row r="34" spans="2:5" x14ac:dyDescent="0.35">
      <c r="B34" s="14"/>
      <c r="C34" s="14"/>
      <c r="D34" s="14"/>
      <c r="E34" s="14"/>
    </row>
    <row r="35" spans="2:5" x14ac:dyDescent="0.35">
      <c r="B35" s="14"/>
      <c r="C35" s="14"/>
      <c r="D35" s="14"/>
      <c r="E35" s="14"/>
    </row>
    <row r="36" spans="2:5" x14ac:dyDescent="0.35">
      <c r="B36" s="14"/>
      <c r="C36" s="14"/>
      <c r="D36" s="14"/>
      <c r="E36" s="14"/>
    </row>
    <row r="37" spans="2:5" x14ac:dyDescent="0.35">
      <c r="B37" s="14"/>
      <c r="C37" s="14"/>
      <c r="D37" s="14"/>
      <c r="E37" s="14"/>
    </row>
    <row r="38" spans="2:5" x14ac:dyDescent="0.35">
      <c r="B38" s="14"/>
      <c r="C38" s="14"/>
      <c r="D38" s="14"/>
      <c r="E38" s="14"/>
    </row>
    <row r="39" spans="2:5" x14ac:dyDescent="0.35">
      <c r="B39" s="14"/>
      <c r="C39" s="14"/>
      <c r="D39" s="14"/>
      <c r="E39" s="14"/>
    </row>
    <row r="40" spans="2:5" x14ac:dyDescent="0.35">
      <c r="B40" s="14"/>
      <c r="C40" s="14"/>
      <c r="D40" s="14"/>
      <c r="E40" s="14"/>
    </row>
    <row r="41" spans="2:5" x14ac:dyDescent="0.35">
      <c r="B41" s="14"/>
      <c r="C41" s="14"/>
      <c r="D41" s="14"/>
      <c r="E41" s="14"/>
    </row>
    <row r="42" spans="2:5" x14ac:dyDescent="0.35">
      <c r="B42" s="14"/>
      <c r="C42" s="14"/>
      <c r="D42" s="14"/>
      <c r="E42" s="14"/>
    </row>
    <row r="43" spans="2:5" x14ac:dyDescent="0.35">
      <c r="B43" s="14"/>
      <c r="C43" s="14"/>
      <c r="D43" s="14"/>
      <c r="E43" s="14"/>
    </row>
    <row r="44" spans="2:5" x14ac:dyDescent="0.35">
      <c r="B44" s="14"/>
      <c r="C44" s="14"/>
      <c r="D44" s="14"/>
      <c r="E44" s="14"/>
    </row>
    <row r="45" spans="2:5" x14ac:dyDescent="0.35">
      <c r="B45" s="14"/>
      <c r="C45" s="14"/>
      <c r="D45" s="14"/>
      <c r="E45" s="14"/>
    </row>
    <row r="46" spans="2:5" x14ac:dyDescent="0.35">
      <c r="B46" s="14"/>
      <c r="C46" s="14"/>
      <c r="D46" s="14"/>
      <c r="E46" s="14"/>
    </row>
    <row r="47" spans="2:5" x14ac:dyDescent="0.35">
      <c r="B47" s="14"/>
      <c r="C47" s="14"/>
      <c r="D47" s="14"/>
      <c r="E47" s="14"/>
    </row>
    <row r="48" spans="2:5" x14ac:dyDescent="0.35">
      <c r="B48" s="14"/>
      <c r="C48" s="14"/>
      <c r="D48" s="14"/>
      <c r="E48" s="14"/>
    </row>
    <row r="49" spans="2:5" x14ac:dyDescent="0.35">
      <c r="B49" s="14"/>
      <c r="C49" s="14"/>
      <c r="D49" s="14"/>
      <c r="E49" s="14"/>
    </row>
    <row r="50" spans="2:5" x14ac:dyDescent="0.35">
      <c r="B50" s="14"/>
      <c r="C50" s="14"/>
      <c r="D50" s="14"/>
      <c r="E50" s="14"/>
    </row>
  </sheetData>
  <sheetProtection sheet="1" objects="1" scenarios="1" sort="0" autoFilter="0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19BA-0B46-49EF-8DF3-94E6B7B88717}">
  <sheetPr codeName="Feuil14"/>
  <dimension ref="A1:G50"/>
  <sheetViews>
    <sheetView showGridLines="0" workbookViewId="0"/>
  </sheetViews>
  <sheetFormatPr baseColWidth="10" defaultRowHeight="14.5" x14ac:dyDescent="0.35"/>
  <cols>
    <col min="2" max="2" width="47.54296875" bestFit="1" customWidth="1"/>
    <col min="3" max="3" width="8.26953125" bestFit="1" customWidth="1"/>
    <col min="4" max="4" width="15.81640625" bestFit="1" customWidth="1"/>
    <col min="5" max="5" width="9" bestFit="1" customWidth="1"/>
  </cols>
  <sheetData>
    <row r="1" spans="1:7" x14ac:dyDescent="0.35">
      <c r="A1" s="15" t="str">
        <f>HYPERLINK("#'PAGE DE GARDE'!A1","⬅ Menu")</f>
        <v>⬅ Menu</v>
      </c>
    </row>
    <row r="2" spans="1:7" ht="18.5" x14ac:dyDescent="0.45">
      <c r="B2" s="18" t="s">
        <v>330</v>
      </c>
      <c r="C2" s="18"/>
      <c r="D2" s="18"/>
      <c r="E2" s="18"/>
      <c r="F2" s="18"/>
      <c r="G2" s="18"/>
    </row>
    <row r="4" spans="1:7" x14ac:dyDescent="0.35">
      <c r="B4" s="166" t="s">
        <v>331</v>
      </c>
      <c r="C4" s="166" t="s">
        <v>332</v>
      </c>
      <c r="D4" s="166" t="s">
        <v>333</v>
      </c>
      <c r="E4" s="166" t="s">
        <v>334</v>
      </c>
    </row>
    <row r="5" spans="1:7" x14ac:dyDescent="0.35">
      <c r="B5" s="14"/>
      <c r="C5" s="14"/>
      <c r="D5" s="14"/>
      <c r="E5" s="14"/>
    </row>
    <row r="6" spans="1:7" x14ac:dyDescent="0.35">
      <c r="B6" s="14"/>
      <c r="C6" s="14"/>
      <c r="D6" s="14"/>
      <c r="E6" s="14"/>
    </row>
    <row r="7" spans="1:7" x14ac:dyDescent="0.35">
      <c r="B7" s="14"/>
      <c r="C7" s="14"/>
      <c r="D7" s="14"/>
      <c r="E7" s="14"/>
    </row>
    <row r="8" spans="1:7" x14ac:dyDescent="0.35">
      <c r="B8" s="14"/>
      <c r="C8" s="14"/>
      <c r="D8" s="14"/>
      <c r="E8" s="14"/>
    </row>
    <row r="9" spans="1:7" x14ac:dyDescent="0.35">
      <c r="B9" s="14"/>
      <c r="C9" s="14"/>
      <c r="D9" s="14"/>
      <c r="E9" s="14"/>
    </row>
    <row r="10" spans="1:7" x14ac:dyDescent="0.35">
      <c r="B10" s="14"/>
      <c r="C10" s="14"/>
      <c r="D10" s="14"/>
      <c r="E10" s="14"/>
    </row>
    <row r="11" spans="1:7" x14ac:dyDescent="0.35">
      <c r="B11" s="14"/>
      <c r="C11" s="14"/>
      <c r="D11" s="14"/>
      <c r="E11" s="14"/>
    </row>
    <row r="12" spans="1:7" x14ac:dyDescent="0.35">
      <c r="B12" s="14"/>
      <c r="C12" s="14"/>
      <c r="D12" s="14"/>
      <c r="E12" s="14"/>
    </row>
    <row r="13" spans="1:7" x14ac:dyDescent="0.35">
      <c r="B13" s="14"/>
      <c r="C13" s="14"/>
      <c r="D13" s="14"/>
      <c r="E13" s="14"/>
    </row>
    <row r="14" spans="1:7" x14ac:dyDescent="0.35">
      <c r="B14" s="14"/>
      <c r="C14" s="14"/>
      <c r="D14" s="14"/>
      <c r="E14" s="14"/>
    </row>
    <row r="15" spans="1:7" x14ac:dyDescent="0.35">
      <c r="B15" s="14"/>
      <c r="C15" s="14"/>
      <c r="D15" s="14"/>
      <c r="E15" s="14"/>
    </row>
    <row r="16" spans="1:7" x14ac:dyDescent="0.35">
      <c r="B16" s="14"/>
      <c r="C16" s="14"/>
      <c r="D16" s="14"/>
      <c r="E16" s="14"/>
    </row>
    <row r="17" spans="2:5" x14ac:dyDescent="0.35">
      <c r="B17" s="14"/>
      <c r="C17" s="14"/>
      <c r="D17" s="14"/>
      <c r="E17" s="14"/>
    </row>
    <row r="18" spans="2:5" x14ac:dyDescent="0.35">
      <c r="B18" s="14"/>
      <c r="C18" s="14"/>
      <c r="D18" s="14"/>
      <c r="E18" s="14"/>
    </row>
    <row r="19" spans="2:5" x14ac:dyDescent="0.35">
      <c r="B19" s="14"/>
      <c r="C19" s="14"/>
      <c r="D19" s="14"/>
      <c r="E19" s="14"/>
    </row>
    <row r="20" spans="2:5" x14ac:dyDescent="0.35">
      <c r="B20" s="14"/>
      <c r="C20" s="14"/>
      <c r="D20" s="14"/>
      <c r="E20" s="14"/>
    </row>
    <row r="21" spans="2:5" x14ac:dyDescent="0.35">
      <c r="B21" s="14"/>
      <c r="C21" s="14"/>
      <c r="D21" s="14"/>
      <c r="E21" s="14"/>
    </row>
    <row r="22" spans="2:5" x14ac:dyDescent="0.35">
      <c r="B22" s="14"/>
      <c r="C22" s="14"/>
      <c r="D22" s="14"/>
      <c r="E22" s="14"/>
    </row>
    <row r="23" spans="2:5" x14ac:dyDescent="0.35">
      <c r="B23" s="14"/>
      <c r="C23" s="14"/>
      <c r="D23" s="14"/>
      <c r="E23" s="14"/>
    </row>
    <row r="24" spans="2:5" x14ac:dyDescent="0.35">
      <c r="B24" s="14"/>
      <c r="C24" s="14"/>
      <c r="D24" s="14"/>
      <c r="E24" s="14"/>
    </row>
    <row r="25" spans="2:5" x14ac:dyDescent="0.35">
      <c r="B25" s="14"/>
      <c r="C25" s="14"/>
      <c r="D25" s="14"/>
      <c r="E25" s="14"/>
    </row>
    <row r="26" spans="2:5" x14ac:dyDescent="0.35">
      <c r="B26" s="14"/>
      <c r="C26" s="14"/>
      <c r="D26" s="14"/>
      <c r="E26" s="14"/>
    </row>
    <row r="27" spans="2:5" x14ac:dyDescent="0.35">
      <c r="B27" s="14"/>
      <c r="C27" s="14"/>
      <c r="D27" s="14"/>
      <c r="E27" s="14"/>
    </row>
    <row r="28" spans="2:5" x14ac:dyDescent="0.35">
      <c r="B28" s="14"/>
      <c r="C28" s="14"/>
      <c r="D28" s="14"/>
      <c r="E28" s="14"/>
    </row>
    <row r="29" spans="2:5" x14ac:dyDescent="0.35">
      <c r="B29" s="14"/>
      <c r="C29" s="14"/>
      <c r="D29" s="14"/>
      <c r="E29" s="14"/>
    </row>
    <row r="30" spans="2:5" x14ac:dyDescent="0.35">
      <c r="B30" s="14"/>
      <c r="C30" s="14"/>
      <c r="D30" s="14"/>
      <c r="E30" s="14"/>
    </row>
    <row r="31" spans="2:5" x14ac:dyDescent="0.35">
      <c r="B31" s="14"/>
      <c r="C31" s="14"/>
      <c r="D31" s="14"/>
      <c r="E31" s="14"/>
    </row>
    <row r="32" spans="2:5" x14ac:dyDescent="0.35">
      <c r="B32" s="14"/>
      <c r="C32" s="14"/>
      <c r="D32" s="14"/>
      <c r="E32" s="14"/>
    </row>
    <row r="33" spans="2:5" x14ac:dyDescent="0.35">
      <c r="B33" s="14"/>
      <c r="C33" s="14"/>
      <c r="D33" s="14"/>
      <c r="E33" s="14"/>
    </row>
    <row r="34" spans="2:5" x14ac:dyDescent="0.35">
      <c r="B34" s="14"/>
      <c r="C34" s="14"/>
      <c r="D34" s="14"/>
      <c r="E34" s="14"/>
    </row>
    <row r="35" spans="2:5" x14ac:dyDescent="0.35">
      <c r="B35" s="14"/>
      <c r="C35" s="14"/>
      <c r="D35" s="14"/>
      <c r="E35" s="14"/>
    </row>
    <row r="36" spans="2:5" x14ac:dyDescent="0.35">
      <c r="B36" s="14"/>
      <c r="C36" s="14"/>
      <c r="D36" s="14"/>
      <c r="E36" s="14"/>
    </row>
    <row r="37" spans="2:5" x14ac:dyDescent="0.35">
      <c r="B37" s="14"/>
      <c r="C37" s="14"/>
      <c r="D37" s="14"/>
      <c r="E37" s="14"/>
    </row>
    <row r="38" spans="2:5" x14ac:dyDescent="0.35">
      <c r="B38" s="14"/>
      <c r="C38" s="14"/>
      <c r="D38" s="14"/>
      <c r="E38" s="14"/>
    </row>
    <row r="39" spans="2:5" x14ac:dyDescent="0.35">
      <c r="B39" s="14"/>
      <c r="C39" s="14"/>
      <c r="D39" s="14"/>
      <c r="E39" s="14"/>
    </row>
    <row r="40" spans="2:5" x14ac:dyDescent="0.35">
      <c r="B40" s="14"/>
      <c r="C40" s="14"/>
      <c r="D40" s="14"/>
      <c r="E40" s="14"/>
    </row>
    <row r="41" spans="2:5" x14ac:dyDescent="0.35">
      <c r="B41" s="14"/>
      <c r="C41" s="14"/>
      <c r="D41" s="14"/>
      <c r="E41" s="14"/>
    </row>
    <row r="42" spans="2:5" x14ac:dyDescent="0.35">
      <c r="B42" s="14"/>
      <c r="C42" s="14"/>
      <c r="D42" s="14"/>
      <c r="E42" s="14"/>
    </row>
    <row r="43" spans="2:5" x14ac:dyDescent="0.35">
      <c r="B43" s="14"/>
      <c r="C43" s="14"/>
      <c r="D43" s="14"/>
      <c r="E43" s="14"/>
    </row>
    <row r="44" spans="2:5" x14ac:dyDescent="0.35">
      <c r="B44" s="14"/>
      <c r="C44" s="14"/>
      <c r="D44" s="14"/>
      <c r="E44" s="14"/>
    </row>
    <row r="45" spans="2:5" x14ac:dyDescent="0.35">
      <c r="B45" s="14"/>
      <c r="C45" s="14"/>
      <c r="D45" s="14"/>
      <c r="E45" s="14"/>
    </row>
    <row r="46" spans="2:5" x14ac:dyDescent="0.35">
      <c r="B46" s="14"/>
      <c r="C46" s="14"/>
      <c r="D46" s="14"/>
      <c r="E46" s="14"/>
    </row>
    <row r="47" spans="2:5" x14ac:dyDescent="0.35">
      <c r="B47" s="14"/>
      <c r="C47" s="14"/>
      <c r="D47" s="14"/>
      <c r="E47" s="14"/>
    </row>
    <row r="48" spans="2:5" x14ac:dyDescent="0.35">
      <c r="B48" s="14"/>
      <c r="C48" s="14"/>
      <c r="D48" s="14"/>
      <c r="E48" s="14"/>
    </row>
    <row r="49" spans="2:5" x14ac:dyDescent="0.35">
      <c r="B49" s="14"/>
      <c r="C49" s="14"/>
      <c r="D49" s="14"/>
      <c r="E49" s="14"/>
    </row>
    <row r="50" spans="2:5" x14ac:dyDescent="0.35">
      <c r="B50" s="14"/>
      <c r="C50" s="14"/>
      <c r="D50" s="14"/>
      <c r="E50" s="14"/>
    </row>
  </sheetData>
  <sheetProtection sheet="1" objects="1" scenarios="1" sort="0" autoFilter="0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2CD85-4A55-4E6F-946C-25D95260EDB7}">
  <sheetPr codeName="Feuil19"/>
  <dimension ref="A1:G50"/>
  <sheetViews>
    <sheetView showGridLines="0" workbookViewId="0"/>
  </sheetViews>
  <sheetFormatPr baseColWidth="10" defaultRowHeight="14.5" x14ac:dyDescent="0.35"/>
  <cols>
    <col min="2" max="2" width="59.2695312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616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76C6-45BC-4AEE-B12D-6F6F9A5982CD}">
  <sheetPr codeName="Feuil20"/>
  <dimension ref="A1:G50"/>
  <sheetViews>
    <sheetView showGridLines="0" workbookViewId="0"/>
  </sheetViews>
  <sheetFormatPr baseColWidth="10" defaultRowHeight="14.5" x14ac:dyDescent="0.35"/>
  <cols>
    <col min="2" max="2" width="39.5429687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621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50CE-F46C-428E-AF7C-FFEE8220DA82}">
  <sheetPr codeName="Feuil21"/>
  <dimension ref="A1:G50"/>
  <sheetViews>
    <sheetView showGridLines="0" workbookViewId="0"/>
  </sheetViews>
  <sheetFormatPr baseColWidth="10" defaultRowHeight="14.5" x14ac:dyDescent="0.35"/>
  <cols>
    <col min="2" max="2" width="30.2695312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622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06441-25CF-41E3-B54D-EDA387C73635}">
  <sheetPr codeName="Feuil22"/>
  <dimension ref="A1:G50"/>
  <sheetViews>
    <sheetView showGridLines="0" workbookViewId="0"/>
  </sheetViews>
  <sheetFormatPr baseColWidth="10" defaultRowHeight="14.5" x14ac:dyDescent="0.35"/>
  <cols>
    <col min="2" max="2" width="37.5429687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623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51BEA-FBF9-4502-83D5-02238A2E9607}">
  <sheetPr codeName="Feuil23"/>
  <dimension ref="A1:G50"/>
  <sheetViews>
    <sheetView showGridLines="0" workbookViewId="0"/>
  </sheetViews>
  <sheetFormatPr baseColWidth="10" defaultRowHeight="14.5" x14ac:dyDescent="0.35"/>
  <cols>
    <col min="2" max="2" width="35.726562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624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62E2B-F9B6-4917-A1A4-A6AA2E1B5410}">
  <sheetPr codeName="Feuil24"/>
  <dimension ref="A1:G50"/>
  <sheetViews>
    <sheetView showGridLines="0" workbookViewId="0"/>
  </sheetViews>
  <sheetFormatPr baseColWidth="10" defaultRowHeight="14.5" x14ac:dyDescent="0.35"/>
  <cols>
    <col min="2" max="2" width="55.45312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625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01DF7-4D1F-40C5-A03E-868A5A03B020}">
  <sheetPr codeName="Feuil25"/>
  <dimension ref="A1:G50"/>
  <sheetViews>
    <sheetView showGridLines="0" workbookViewId="0"/>
  </sheetViews>
  <sheetFormatPr baseColWidth="10" defaultRowHeight="14.5" x14ac:dyDescent="0.35"/>
  <cols>
    <col min="2" max="2" width="35.726562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626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F902A-9DA3-4713-802A-7348C014F3B0}">
  <sheetPr codeName="Feuil26"/>
  <dimension ref="A1:G50"/>
  <sheetViews>
    <sheetView showGridLines="0" workbookViewId="0"/>
  </sheetViews>
  <sheetFormatPr baseColWidth="10" defaultRowHeight="14.5" x14ac:dyDescent="0.35"/>
  <cols>
    <col min="2" max="2" width="27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627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0E3CD-E7D1-4190-94F5-852DB103C4F5}">
  <sheetPr codeName="Feuil27"/>
  <dimension ref="A1:G50"/>
  <sheetViews>
    <sheetView showGridLines="0" workbookViewId="0"/>
  </sheetViews>
  <sheetFormatPr baseColWidth="10" defaultRowHeight="14.5" x14ac:dyDescent="0.35"/>
  <cols>
    <col min="2" max="2" width="37.5429687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628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EADA0-B092-4E9B-AFA8-30135904A725}">
  <sheetPr codeName="Feuil28"/>
  <dimension ref="A1:G50"/>
  <sheetViews>
    <sheetView showGridLines="0" workbookViewId="0"/>
  </sheetViews>
  <sheetFormatPr baseColWidth="10" defaultRowHeight="14.5" x14ac:dyDescent="0.35"/>
  <cols>
    <col min="2" max="2" width="17.179687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629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099CB-FCA4-440F-9C70-B15EA6E93413}">
  <sheetPr codeName="Feuil29"/>
  <dimension ref="A1:G50"/>
  <sheetViews>
    <sheetView showGridLines="0" workbookViewId="0"/>
  </sheetViews>
  <sheetFormatPr baseColWidth="10" defaultRowHeight="14.5" x14ac:dyDescent="0.35"/>
  <cols>
    <col min="2" max="2" width="25.726562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630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7E480-C18C-43CA-AD5B-686F94AC6ABE}">
  <sheetPr codeName="Feuil30"/>
  <dimension ref="A1:G50"/>
  <sheetViews>
    <sheetView showGridLines="0" workbookViewId="0"/>
  </sheetViews>
  <sheetFormatPr baseColWidth="10" defaultRowHeight="14.5" x14ac:dyDescent="0.35"/>
  <cols>
    <col min="2" max="2" width="29.1796875" bestFit="1" customWidth="1"/>
    <col min="3" max="3" width="6.54296875" bestFit="1" customWidth="1"/>
    <col min="4" max="4" width="11.1796875" bestFit="1" customWidth="1"/>
    <col min="5" max="5" width="6.1796875" bestFit="1" customWidth="1"/>
    <col min="6" max="6" width="7.816406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631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617</v>
      </c>
      <c r="D4" s="166" t="s">
        <v>618</v>
      </c>
      <c r="E4" s="166" t="s">
        <v>619</v>
      </c>
      <c r="F4" s="166" t="s">
        <v>620</v>
      </c>
    </row>
    <row r="5" spans="1:7" x14ac:dyDescent="0.35">
      <c r="B5" s="14"/>
      <c r="C5" s="83"/>
      <c r="D5" s="83"/>
      <c r="E5" s="83"/>
      <c r="F5" s="83"/>
    </row>
    <row r="6" spans="1:7" x14ac:dyDescent="0.35">
      <c r="B6" s="14"/>
      <c r="C6" s="83"/>
      <c r="D6" s="83"/>
      <c r="E6" s="83"/>
      <c r="F6" s="83"/>
    </row>
    <row r="7" spans="1:7" x14ac:dyDescent="0.35">
      <c r="B7" s="14"/>
      <c r="C7" s="83"/>
      <c r="D7" s="83"/>
      <c r="E7" s="83"/>
      <c r="F7" s="83"/>
    </row>
    <row r="8" spans="1:7" x14ac:dyDescent="0.35">
      <c r="B8" s="14"/>
      <c r="C8" s="83"/>
      <c r="D8" s="83"/>
      <c r="E8" s="83"/>
      <c r="F8" s="83"/>
    </row>
    <row r="9" spans="1:7" x14ac:dyDescent="0.35">
      <c r="B9" s="14"/>
      <c r="C9" s="83"/>
      <c r="D9" s="83"/>
      <c r="E9" s="83"/>
      <c r="F9" s="83"/>
    </row>
    <row r="10" spans="1:7" x14ac:dyDescent="0.35">
      <c r="B10" s="14"/>
      <c r="C10" s="83"/>
      <c r="D10" s="83"/>
      <c r="E10" s="83"/>
      <c r="F10" s="83"/>
    </row>
    <row r="11" spans="1:7" x14ac:dyDescent="0.35">
      <c r="B11" s="14"/>
      <c r="C11" s="83"/>
      <c r="D11" s="83"/>
      <c r="E11" s="83"/>
      <c r="F11" s="83"/>
    </row>
    <row r="12" spans="1:7" x14ac:dyDescent="0.35">
      <c r="B12" s="14"/>
      <c r="C12" s="83"/>
      <c r="D12" s="83"/>
      <c r="E12" s="83"/>
      <c r="F12" s="83"/>
    </row>
    <row r="13" spans="1:7" x14ac:dyDescent="0.35">
      <c r="B13" s="14"/>
      <c r="C13" s="83"/>
      <c r="D13" s="83"/>
      <c r="E13" s="83"/>
      <c r="F13" s="83"/>
    </row>
    <row r="14" spans="1:7" x14ac:dyDescent="0.35">
      <c r="B14" s="14"/>
      <c r="C14" s="83"/>
      <c r="D14" s="83"/>
      <c r="E14" s="83"/>
      <c r="F14" s="83"/>
    </row>
    <row r="15" spans="1:7" x14ac:dyDescent="0.35">
      <c r="B15" s="14"/>
      <c r="C15" s="83"/>
      <c r="D15" s="83"/>
      <c r="E15" s="83"/>
      <c r="F15" s="83"/>
    </row>
    <row r="16" spans="1:7" x14ac:dyDescent="0.35">
      <c r="B16" s="14"/>
      <c r="C16" s="83"/>
      <c r="D16" s="83"/>
      <c r="E16" s="83"/>
      <c r="F16" s="83"/>
    </row>
    <row r="17" spans="2:6" x14ac:dyDescent="0.35">
      <c r="B17" s="14"/>
      <c r="C17" s="83"/>
      <c r="D17" s="83"/>
      <c r="E17" s="83"/>
      <c r="F17" s="83"/>
    </row>
    <row r="18" spans="2:6" x14ac:dyDescent="0.35">
      <c r="B18" s="14"/>
      <c r="C18" s="83"/>
      <c r="D18" s="83"/>
      <c r="E18" s="83"/>
      <c r="F18" s="83"/>
    </row>
    <row r="19" spans="2:6" x14ac:dyDescent="0.35">
      <c r="B19" s="14"/>
      <c r="C19" s="83"/>
      <c r="D19" s="83"/>
      <c r="E19" s="83"/>
      <c r="F19" s="83"/>
    </row>
    <row r="20" spans="2:6" x14ac:dyDescent="0.35">
      <c r="B20" s="14"/>
      <c r="C20" s="83"/>
      <c r="D20" s="83"/>
      <c r="E20" s="83"/>
      <c r="F20" s="83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A4AD6-128F-4646-AA25-BD7CAA65DF90}">
  <sheetPr codeName="Feuil31"/>
  <dimension ref="A1:G50"/>
  <sheetViews>
    <sheetView showGridLines="0" workbookViewId="0"/>
  </sheetViews>
  <sheetFormatPr baseColWidth="10" defaultRowHeight="14.5" x14ac:dyDescent="0.35"/>
  <cols>
    <col min="2" max="2" width="39.7265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632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048C1-1617-4D86-976A-461AEC1EA05C}">
  <sheetPr codeName="Feuil32"/>
  <dimension ref="A1:G50"/>
  <sheetViews>
    <sheetView showGridLines="0" workbookViewId="0"/>
  </sheetViews>
  <sheetFormatPr baseColWidth="10" defaultRowHeight="14.5" x14ac:dyDescent="0.35"/>
  <cols>
    <col min="2" max="2" width="28.179687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635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E136E-685B-42D3-BA33-7F26C944B627}">
  <sheetPr codeName="Feuil33"/>
  <dimension ref="A1:G50"/>
  <sheetViews>
    <sheetView showGridLines="0" workbookViewId="0"/>
  </sheetViews>
  <sheetFormatPr baseColWidth="10" defaultRowHeight="14.5" x14ac:dyDescent="0.35"/>
  <cols>
    <col min="2" max="2" width="39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636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F9D4B-F281-4513-B525-84E0545D87B1}">
  <sheetPr codeName="Feuil34"/>
  <dimension ref="A1:G50"/>
  <sheetViews>
    <sheetView showGridLines="0" workbookViewId="0"/>
  </sheetViews>
  <sheetFormatPr baseColWidth="10" defaultRowHeight="14.5" x14ac:dyDescent="0.35"/>
  <cols>
    <col min="2" max="2" width="53.7265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637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16479-5C9B-4337-AA75-C8BE2132F5F0}">
  <sheetPr codeName="Feuil35"/>
  <dimension ref="A1:G50"/>
  <sheetViews>
    <sheetView showGridLines="0" workbookViewId="0"/>
  </sheetViews>
  <sheetFormatPr baseColWidth="10" defaultRowHeight="14.5" x14ac:dyDescent="0.35"/>
  <cols>
    <col min="2" max="2" width="32.7265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638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86D89-D054-46FB-937A-F9EAAF42BFCA}">
  <sheetPr codeName="Feuil36"/>
  <dimension ref="A1:G50"/>
  <sheetViews>
    <sheetView showGridLines="0" workbookViewId="0"/>
  </sheetViews>
  <sheetFormatPr baseColWidth="10" defaultRowHeight="14.5" x14ac:dyDescent="0.35"/>
  <cols>
    <col min="2" max="2" width="32.4531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639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AC4184-3F78-4DDC-8853-0F50A68E6FE7}">
  <sheetPr codeName="Feuil37"/>
  <dimension ref="A1:G50"/>
  <sheetViews>
    <sheetView showGridLines="0" workbookViewId="0"/>
  </sheetViews>
  <sheetFormatPr baseColWidth="10" defaultRowHeight="14.5" x14ac:dyDescent="0.35"/>
  <cols>
    <col min="2" max="2" width="35.81640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640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D38E8-9882-42D2-9234-01C2A25D647F}">
  <sheetPr codeName="Feuil38"/>
  <dimension ref="A1:G50"/>
  <sheetViews>
    <sheetView showGridLines="0" workbookViewId="0"/>
  </sheetViews>
  <sheetFormatPr baseColWidth="10" defaultRowHeight="14.5" x14ac:dyDescent="0.35"/>
  <cols>
    <col min="2" max="2" width="24.5429687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641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4D044-D8DA-45F5-8B9C-0D1BE980DD52}">
  <sheetPr codeName="Feuil39"/>
  <dimension ref="A1:G50"/>
  <sheetViews>
    <sheetView showGridLines="0" workbookViewId="0"/>
  </sheetViews>
  <sheetFormatPr baseColWidth="10" defaultRowHeight="14.5" x14ac:dyDescent="0.35"/>
  <cols>
    <col min="2" max="2" width="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642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C5680-0D0B-493A-9E49-555C2F48F700}">
  <sheetPr codeName="Feuil40"/>
  <dimension ref="A1:G50"/>
  <sheetViews>
    <sheetView showGridLines="0" workbookViewId="0"/>
  </sheetViews>
  <sheetFormatPr baseColWidth="10" defaultRowHeight="14.5" x14ac:dyDescent="0.35"/>
  <cols>
    <col min="2" max="2" width="45.179687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643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4B63-60CB-4F56-BB34-4C1077FD7282}">
  <sheetPr codeName="Feuil41"/>
  <dimension ref="A1:G50"/>
  <sheetViews>
    <sheetView showGridLines="0" workbookViewId="0"/>
  </sheetViews>
  <sheetFormatPr baseColWidth="10" defaultRowHeight="14.5" x14ac:dyDescent="0.35"/>
  <cols>
    <col min="2" max="2" width="43.81640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644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D5914-5F0F-4FC8-BEE4-443C47655EB2}">
  <sheetPr codeName="Feuil42"/>
  <dimension ref="A1:G50"/>
  <sheetViews>
    <sheetView showGridLines="0" workbookViewId="0"/>
  </sheetViews>
  <sheetFormatPr baseColWidth="10" defaultRowHeight="14.5" x14ac:dyDescent="0.35"/>
  <cols>
    <col min="2" max="2" width="43.4531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645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F85EB-C904-4D38-BCDC-F6655A9C3078}">
  <sheetPr codeName="Feuil43"/>
  <dimension ref="A1:G50"/>
  <sheetViews>
    <sheetView showGridLines="0" workbookViewId="0"/>
  </sheetViews>
  <sheetFormatPr baseColWidth="10" defaultRowHeight="14.5" x14ac:dyDescent="0.35"/>
  <cols>
    <col min="2" max="2" width="17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646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E38AE-6BF8-4068-BDB5-2EB4DF42E26B}">
  <sheetPr codeName="Feuil44"/>
  <dimension ref="A1:G50"/>
  <sheetViews>
    <sheetView showGridLines="0" workbookViewId="0"/>
  </sheetViews>
  <sheetFormatPr baseColWidth="10" defaultRowHeight="14.5" x14ac:dyDescent="0.35"/>
  <cols>
    <col min="2" max="2" width="23.4531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647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A2091-E222-4E72-8EE8-064E5521A589}">
  <sheetPr codeName="Feuil45"/>
  <dimension ref="A1:G50"/>
  <sheetViews>
    <sheetView showGridLines="0" workbookViewId="0"/>
  </sheetViews>
  <sheetFormatPr baseColWidth="10" defaultRowHeight="14.5" x14ac:dyDescent="0.35"/>
  <cols>
    <col min="2" max="2" width="20.269531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648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B645F-537F-4F7C-8C7B-C1D9D6D6E222}">
  <sheetPr codeName="Feuil46"/>
  <dimension ref="A1:G50"/>
  <sheetViews>
    <sheetView showGridLines="0" workbookViewId="0"/>
  </sheetViews>
  <sheetFormatPr baseColWidth="10" defaultRowHeight="14.5" x14ac:dyDescent="0.35"/>
  <cols>
    <col min="2" max="2" width="28.5429687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649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1C7FF-30E5-4862-906B-60BBEBC62EC6}">
  <sheetPr codeName="Feuil47"/>
  <dimension ref="A1:G50"/>
  <sheetViews>
    <sheetView showGridLines="0" workbookViewId="0"/>
  </sheetViews>
  <sheetFormatPr baseColWidth="10" defaultRowHeight="14.5" x14ac:dyDescent="0.35"/>
  <cols>
    <col min="2" max="2" width="24.81640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650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B5289-F3AF-491E-A803-1C2568FE0CAE}">
  <sheetPr codeName="Feuil48"/>
  <dimension ref="A1:G50"/>
  <sheetViews>
    <sheetView showGridLines="0" workbookViewId="0"/>
  </sheetViews>
  <sheetFormatPr baseColWidth="10" defaultRowHeight="14.5" x14ac:dyDescent="0.35"/>
  <cols>
    <col min="2" max="2" width="24.4531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651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CC78E-0D7C-487B-8892-592B51AEC3B7}">
  <sheetPr codeName="Feuil49"/>
  <dimension ref="A1:G50"/>
  <sheetViews>
    <sheetView showGridLines="0" workbookViewId="0"/>
  </sheetViews>
  <sheetFormatPr baseColWidth="10" defaultRowHeight="14.5" x14ac:dyDescent="0.35"/>
  <cols>
    <col min="2" max="2" width="30.7265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652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F5F4F-CD33-4F91-9BF6-FA668D8C9F75}">
  <sheetPr codeName="Feuil50"/>
  <dimension ref="A1:G50"/>
  <sheetViews>
    <sheetView showGridLines="0" workbookViewId="0"/>
  </sheetViews>
  <sheetFormatPr baseColWidth="10" defaultRowHeight="14.5" x14ac:dyDescent="0.35"/>
  <cols>
    <col min="2" max="2" width="30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653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96339-532D-4E99-BBF0-BF78D9FAE93D}">
  <sheetPr codeName="Feuil51"/>
  <dimension ref="A1:G50"/>
  <sheetViews>
    <sheetView showGridLines="0" workbookViewId="0"/>
  </sheetViews>
  <sheetFormatPr baseColWidth="10" defaultRowHeight="14.5" x14ac:dyDescent="0.35"/>
  <cols>
    <col min="2" max="2" width="38.7265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654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D8B81-B64B-4753-B953-1F9D950D6276}">
  <sheetPr codeName="Feuil52"/>
  <dimension ref="A1:G50"/>
  <sheetViews>
    <sheetView showGridLines="0" workbookViewId="0"/>
  </sheetViews>
  <sheetFormatPr baseColWidth="10" defaultRowHeight="14.5" x14ac:dyDescent="0.35"/>
  <cols>
    <col min="2" max="2" width="33.5429687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655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33179-BD77-4B9B-AF25-528C30B5A974}">
  <sheetPr codeName="Feuil53"/>
  <dimension ref="A1:G50"/>
  <sheetViews>
    <sheetView showGridLines="0" workbookViewId="0"/>
  </sheetViews>
  <sheetFormatPr baseColWidth="10" defaultRowHeight="14.5" x14ac:dyDescent="0.35"/>
  <cols>
    <col min="2" max="2" width="32.8164062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656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F3B2-CA07-4299-B323-E4982264B19D}">
  <sheetPr codeName="Feuil54"/>
  <dimension ref="A1:G50"/>
  <sheetViews>
    <sheetView showGridLines="0" workbookViewId="0"/>
  </sheetViews>
  <sheetFormatPr baseColWidth="10" defaultRowHeight="14.5" x14ac:dyDescent="0.35"/>
  <cols>
    <col min="2" max="2" width="29.1796875" bestFit="1" customWidth="1"/>
    <col min="3" max="3" width="10.54296875" bestFit="1" customWidth="1"/>
    <col min="4" max="4" width="12.26953125" bestFit="1" customWidth="1"/>
  </cols>
  <sheetData>
    <row r="1" spans="1:7" x14ac:dyDescent="0.35">
      <c r="A1" s="15" t="str">
        <f>HYPERLINK("#'PAGE DE GARDE'!A1","⬅ Menu")</f>
        <v>⬅ Menu</v>
      </c>
    </row>
    <row r="2" spans="1:7" ht="16" x14ac:dyDescent="0.4">
      <c r="B2" s="36" t="s">
        <v>657</v>
      </c>
      <c r="C2" s="36"/>
      <c r="D2" s="36"/>
      <c r="E2" s="36"/>
      <c r="F2" s="36"/>
      <c r="G2" s="36"/>
    </row>
    <row r="4" spans="1:7" x14ac:dyDescent="0.35">
      <c r="B4" s="166" t="s">
        <v>2</v>
      </c>
      <c r="C4" s="166" t="s">
        <v>633</v>
      </c>
      <c r="D4" s="166" t="s">
        <v>634</v>
      </c>
    </row>
    <row r="5" spans="1:7" x14ac:dyDescent="0.35">
      <c r="B5" s="14"/>
      <c r="C5" s="83"/>
      <c r="D5" s="83"/>
      <c r="E5" s="14"/>
      <c r="F5" s="14"/>
    </row>
    <row r="6" spans="1:7" x14ac:dyDescent="0.35">
      <c r="B6" s="14"/>
      <c r="C6" s="83"/>
      <c r="D6" s="83"/>
      <c r="E6" s="14"/>
      <c r="F6" s="14"/>
    </row>
    <row r="7" spans="1:7" x14ac:dyDescent="0.35">
      <c r="B7" s="14"/>
      <c r="C7" s="83"/>
      <c r="D7" s="83"/>
      <c r="E7" s="14"/>
      <c r="F7" s="14"/>
    </row>
    <row r="8" spans="1:7" x14ac:dyDescent="0.35">
      <c r="B8" s="14"/>
      <c r="C8" s="83"/>
      <c r="D8" s="83"/>
      <c r="E8" s="14"/>
      <c r="F8" s="14"/>
    </row>
    <row r="9" spans="1:7" x14ac:dyDescent="0.35">
      <c r="B9" s="14"/>
      <c r="C9" s="83"/>
      <c r="D9" s="83"/>
      <c r="E9" s="14"/>
      <c r="F9" s="14"/>
    </row>
    <row r="10" spans="1:7" x14ac:dyDescent="0.35">
      <c r="B10" s="14"/>
      <c r="C10" s="83"/>
      <c r="D10" s="83"/>
      <c r="E10" s="14"/>
      <c r="F10" s="14"/>
    </row>
    <row r="11" spans="1:7" x14ac:dyDescent="0.35">
      <c r="B11" s="14"/>
      <c r="C11" s="83"/>
      <c r="D11" s="83"/>
      <c r="E11" s="14"/>
      <c r="F11" s="14"/>
    </row>
    <row r="12" spans="1:7" x14ac:dyDescent="0.35">
      <c r="B12" s="14"/>
      <c r="C12" s="83"/>
      <c r="D12" s="83"/>
      <c r="E12" s="14"/>
      <c r="F12" s="14"/>
    </row>
    <row r="13" spans="1:7" x14ac:dyDescent="0.35">
      <c r="B13" s="14"/>
      <c r="C13" s="83"/>
      <c r="D13" s="83"/>
      <c r="E13" s="14"/>
      <c r="F13" s="14"/>
    </row>
    <row r="14" spans="1:7" x14ac:dyDescent="0.35">
      <c r="B14" s="14"/>
      <c r="C14" s="83"/>
      <c r="D14" s="83"/>
      <c r="E14" s="14"/>
      <c r="F14" s="14"/>
    </row>
    <row r="15" spans="1:7" x14ac:dyDescent="0.35">
      <c r="B15" s="14"/>
      <c r="C15" s="83"/>
      <c r="D15" s="83"/>
      <c r="E15" s="14"/>
      <c r="F15" s="14"/>
    </row>
    <row r="16" spans="1:7" x14ac:dyDescent="0.35">
      <c r="B16" s="14"/>
      <c r="C16" s="83"/>
      <c r="D16" s="83"/>
      <c r="E16" s="14"/>
      <c r="F16" s="14"/>
    </row>
    <row r="17" spans="2:6" x14ac:dyDescent="0.35">
      <c r="B17" s="14"/>
      <c r="C17" s="83"/>
      <c r="D17" s="83"/>
      <c r="E17" s="14"/>
      <c r="F17" s="14"/>
    </row>
    <row r="18" spans="2:6" x14ac:dyDescent="0.35">
      <c r="B18" s="14"/>
      <c r="C18" s="83"/>
      <c r="D18" s="83"/>
      <c r="E18" s="14"/>
      <c r="F18" s="14"/>
    </row>
    <row r="19" spans="2:6" x14ac:dyDescent="0.35">
      <c r="B19" s="14"/>
      <c r="C19" s="83"/>
      <c r="D19" s="83"/>
      <c r="E19" s="14"/>
      <c r="F19" s="14"/>
    </row>
    <row r="20" spans="2:6" x14ac:dyDescent="0.35">
      <c r="B20" s="14"/>
      <c r="C20" s="83"/>
      <c r="D20" s="83"/>
      <c r="E20" s="14"/>
      <c r="F20" s="14"/>
    </row>
    <row r="21" spans="2:6" x14ac:dyDescent="0.35">
      <c r="B21" s="14"/>
      <c r="C21" s="14"/>
      <c r="D21" s="14"/>
      <c r="E21" s="14"/>
      <c r="F21" s="14"/>
    </row>
    <row r="22" spans="2:6" x14ac:dyDescent="0.35">
      <c r="B22" s="14"/>
      <c r="C22" s="14"/>
      <c r="D22" s="14"/>
      <c r="E22" s="14"/>
      <c r="F22" s="14"/>
    </row>
    <row r="23" spans="2:6" x14ac:dyDescent="0.35">
      <c r="B23" s="14"/>
      <c r="C23" s="14"/>
      <c r="D23" s="14"/>
      <c r="E23" s="14"/>
      <c r="F23" s="14"/>
    </row>
    <row r="24" spans="2:6" x14ac:dyDescent="0.35">
      <c r="B24" s="14"/>
      <c r="C24" s="14"/>
      <c r="D24" s="14"/>
      <c r="E24" s="14"/>
      <c r="F24" s="14"/>
    </row>
    <row r="25" spans="2:6" x14ac:dyDescent="0.35">
      <c r="B25" s="14"/>
      <c r="C25" s="14"/>
      <c r="D25" s="14"/>
      <c r="E25" s="14"/>
      <c r="F25" s="14"/>
    </row>
    <row r="26" spans="2:6" x14ac:dyDescent="0.35">
      <c r="B26" s="14"/>
      <c r="C26" s="14"/>
      <c r="D26" s="14"/>
      <c r="E26" s="14"/>
      <c r="F26" s="14"/>
    </row>
    <row r="27" spans="2:6" x14ac:dyDescent="0.35">
      <c r="B27" s="14"/>
      <c r="C27" s="14"/>
      <c r="D27" s="14"/>
      <c r="E27" s="14"/>
      <c r="F27" s="14"/>
    </row>
    <row r="28" spans="2:6" x14ac:dyDescent="0.35">
      <c r="B28" s="14"/>
      <c r="C28" s="14"/>
      <c r="D28" s="14"/>
      <c r="E28" s="14"/>
      <c r="F28" s="14"/>
    </row>
    <row r="29" spans="2:6" x14ac:dyDescent="0.35">
      <c r="B29" s="14"/>
      <c r="C29" s="14"/>
      <c r="D29" s="14"/>
      <c r="E29" s="14"/>
      <c r="F29" s="14"/>
    </row>
    <row r="30" spans="2:6" x14ac:dyDescent="0.35">
      <c r="B30" s="14"/>
      <c r="C30" s="14"/>
      <c r="D30" s="14"/>
      <c r="E30" s="14"/>
      <c r="F30" s="14"/>
    </row>
    <row r="31" spans="2:6" x14ac:dyDescent="0.35">
      <c r="B31" s="14"/>
      <c r="C31" s="14"/>
      <c r="D31" s="14"/>
      <c r="E31" s="14"/>
      <c r="F31" s="14"/>
    </row>
    <row r="32" spans="2:6" x14ac:dyDescent="0.35">
      <c r="B32" s="14"/>
      <c r="C32" s="14"/>
      <c r="D32" s="14"/>
      <c r="E32" s="14"/>
      <c r="F32" s="14"/>
    </row>
    <row r="33" spans="2:6" x14ac:dyDescent="0.35">
      <c r="B33" s="14"/>
      <c r="C33" s="14"/>
      <c r="D33" s="14"/>
      <c r="E33" s="14"/>
      <c r="F33" s="14"/>
    </row>
    <row r="34" spans="2:6" x14ac:dyDescent="0.35">
      <c r="B34" s="14"/>
      <c r="C34" s="14"/>
      <c r="D34" s="14"/>
      <c r="E34" s="14"/>
      <c r="F34" s="14"/>
    </row>
    <row r="35" spans="2:6" x14ac:dyDescent="0.35">
      <c r="B35" s="14"/>
      <c r="C35" s="14"/>
      <c r="D35" s="14"/>
      <c r="E35" s="14"/>
      <c r="F35" s="14"/>
    </row>
    <row r="36" spans="2:6" x14ac:dyDescent="0.35">
      <c r="B36" s="14"/>
      <c r="C36" s="14"/>
      <c r="D36" s="14"/>
      <c r="E36" s="14"/>
      <c r="F36" s="14"/>
    </row>
    <row r="37" spans="2:6" x14ac:dyDescent="0.35">
      <c r="B37" s="14"/>
      <c r="C37" s="14"/>
      <c r="D37" s="14"/>
      <c r="E37" s="14"/>
      <c r="F37" s="14"/>
    </row>
    <row r="38" spans="2:6" x14ac:dyDescent="0.35">
      <c r="B38" s="14"/>
      <c r="C38" s="14"/>
      <c r="D38" s="14"/>
      <c r="E38" s="14"/>
      <c r="F38" s="14"/>
    </row>
    <row r="39" spans="2:6" x14ac:dyDescent="0.35">
      <c r="B39" s="14"/>
      <c r="C39" s="14"/>
      <c r="D39" s="14"/>
      <c r="E39" s="14"/>
      <c r="F39" s="14"/>
    </row>
    <row r="40" spans="2:6" x14ac:dyDescent="0.35">
      <c r="B40" s="14"/>
      <c r="C40" s="14"/>
      <c r="D40" s="14"/>
      <c r="E40" s="14"/>
      <c r="F40" s="14"/>
    </row>
    <row r="41" spans="2:6" x14ac:dyDescent="0.35">
      <c r="B41" s="14"/>
      <c r="C41" s="14"/>
      <c r="D41" s="14"/>
      <c r="E41" s="14"/>
      <c r="F41" s="14"/>
    </row>
    <row r="42" spans="2:6" x14ac:dyDescent="0.35">
      <c r="B42" s="14"/>
      <c r="C42" s="14"/>
      <c r="D42" s="14"/>
      <c r="E42" s="14"/>
      <c r="F42" s="14"/>
    </row>
    <row r="43" spans="2:6" x14ac:dyDescent="0.35">
      <c r="B43" s="14"/>
      <c r="C43" s="14"/>
      <c r="D43" s="14"/>
      <c r="E43" s="14"/>
      <c r="F43" s="14"/>
    </row>
    <row r="44" spans="2:6" x14ac:dyDescent="0.35">
      <c r="B44" s="14"/>
      <c r="C44" s="14"/>
      <c r="D44" s="14"/>
      <c r="E44" s="14"/>
      <c r="F44" s="14"/>
    </row>
    <row r="45" spans="2:6" x14ac:dyDescent="0.35">
      <c r="B45" s="14"/>
      <c r="C45" s="14"/>
      <c r="D45" s="14"/>
      <c r="E45" s="14"/>
      <c r="F45" s="14"/>
    </row>
    <row r="46" spans="2:6" x14ac:dyDescent="0.35">
      <c r="B46" s="14"/>
      <c r="C46" s="14"/>
      <c r="D46" s="14"/>
      <c r="E46" s="14"/>
      <c r="F46" s="14"/>
    </row>
    <row r="47" spans="2:6" x14ac:dyDescent="0.35">
      <c r="B47" s="14"/>
      <c r="C47" s="14"/>
      <c r="D47" s="14"/>
      <c r="E47" s="14"/>
      <c r="F47" s="14"/>
    </row>
    <row r="48" spans="2:6" x14ac:dyDescent="0.35">
      <c r="B48" s="14"/>
      <c r="C48" s="14"/>
      <c r="D48" s="14"/>
      <c r="E48" s="14"/>
      <c r="F48" s="14"/>
    </row>
    <row r="49" spans="2:6" x14ac:dyDescent="0.35">
      <c r="B49" s="14"/>
      <c r="C49" s="14"/>
      <c r="D49" s="14"/>
      <c r="E49" s="14"/>
      <c r="F49" s="14"/>
    </row>
    <row r="50" spans="2:6" x14ac:dyDescent="0.35">
      <c r="B50" s="14"/>
      <c r="C50" s="14"/>
      <c r="D50" s="14"/>
      <c r="E50" s="14"/>
      <c r="F50" s="14"/>
    </row>
  </sheetData>
  <sheetProtection sheet="1" objects="1" scenarios="1" sort="0" autoFilter="0"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DFFAB-B86A-4446-B450-D5D73FBD9D77}">
  <sheetPr codeName="Feuil55"/>
  <dimension ref="A1:E58"/>
  <sheetViews>
    <sheetView showGridLines="0" workbookViewId="0"/>
  </sheetViews>
  <sheetFormatPr baseColWidth="10" defaultRowHeight="14.5" x14ac:dyDescent="0.35"/>
  <cols>
    <col min="2" max="2" width="52" bestFit="1" customWidth="1"/>
    <col min="3" max="3" width="6.81640625" bestFit="1" customWidth="1"/>
    <col min="4" max="4" width="6.1796875" bestFit="1" customWidth="1"/>
    <col min="5" max="5" width="30.26953125" bestFit="1" customWidth="1"/>
  </cols>
  <sheetData>
    <row r="1" spans="1:5" x14ac:dyDescent="0.35">
      <c r="A1" s="15" t="str">
        <f>HYPERLINK("#'PAGE DE GARDE'!A1","⬅ Menu")</f>
        <v>⬅ Menu</v>
      </c>
    </row>
    <row r="2" spans="1:5" ht="18.5" x14ac:dyDescent="0.45">
      <c r="B2" s="18" t="s">
        <v>658</v>
      </c>
      <c r="C2" s="18"/>
      <c r="D2" s="18"/>
      <c r="E2" s="18"/>
    </row>
    <row r="4" spans="1:5" x14ac:dyDescent="0.35">
      <c r="B4" s="166" t="s">
        <v>659</v>
      </c>
      <c r="C4" s="166" t="s">
        <v>660</v>
      </c>
      <c r="D4" s="166" t="s">
        <v>661</v>
      </c>
      <c r="E4" s="166" t="s">
        <v>662</v>
      </c>
    </row>
    <row r="5" spans="1:5" x14ac:dyDescent="0.35">
      <c r="B5" t="s">
        <v>663</v>
      </c>
      <c r="C5" t="s">
        <v>337</v>
      </c>
      <c r="D5" t="s">
        <v>664</v>
      </c>
      <c r="E5" t="s">
        <v>665</v>
      </c>
    </row>
    <row r="6" spans="1:5" x14ac:dyDescent="0.35">
      <c r="B6" t="s">
        <v>666</v>
      </c>
      <c r="C6" t="s">
        <v>337</v>
      </c>
      <c r="D6" t="s">
        <v>667</v>
      </c>
      <c r="E6" t="s">
        <v>668</v>
      </c>
    </row>
    <row r="7" spans="1:5" x14ac:dyDescent="0.35">
      <c r="B7" t="s">
        <v>669</v>
      </c>
      <c r="C7" t="s">
        <v>419</v>
      </c>
      <c r="D7" t="s">
        <v>670</v>
      </c>
      <c r="E7" t="s">
        <v>671</v>
      </c>
    </row>
    <row r="8" spans="1:5" x14ac:dyDescent="0.35">
      <c r="B8" t="s">
        <v>672</v>
      </c>
      <c r="C8" t="s">
        <v>419</v>
      </c>
      <c r="D8" t="s">
        <v>673</v>
      </c>
      <c r="E8" t="s">
        <v>674</v>
      </c>
    </row>
    <row r="9" spans="1:5" x14ac:dyDescent="0.35">
      <c r="B9" t="s">
        <v>675</v>
      </c>
      <c r="C9" t="s">
        <v>676</v>
      </c>
      <c r="D9" t="s">
        <v>677</v>
      </c>
      <c r="E9" t="s">
        <v>678</v>
      </c>
    </row>
    <row r="10" spans="1:5" x14ac:dyDescent="0.35">
      <c r="B10" t="s">
        <v>679</v>
      </c>
      <c r="C10" t="s">
        <v>676</v>
      </c>
      <c r="D10" t="s">
        <v>680</v>
      </c>
      <c r="E10" t="s">
        <v>681</v>
      </c>
    </row>
    <row r="11" spans="1:5" x14ac:dyDescent="0.35">
      <c r="B11" t="s">
        <v>682</v>
      </c>
      <c r="C11" t="s">
        <v>676</v>
      </c>
      <c r="D11" t="s">
        <v>683</v>
      </c>
      <c r="E11" t="s">
        <v>684</v>
      </c>
    </row>
    <row r="12" spans="1:5" x14ac:dyDescent="0.35">
      <c r="B12" t="s">
        <v>685</v>
      </c>
      <c r="C12" t="s">
        <v>686</v>
      </c>
      <c r="D12" t="s">
        <v>687</v>
      </c>
      <c r="E12" t="s">
        <v>688</v>
      </c>
    </row>
    <row r="13" spans="1:5" x14ac:dyDescent="0.35">
      <c r="B13" t="s">
        <v>689</v>
      </c>
      <c r="C13" t="s">
        <v>686</v>
      </c>
      <c r="D13" t="s">
        <v>690</v>
      </c>
      <c r="E13" t="s">
        <v>691</v>
      </c>
    </row>
    <row r="16" spans="1:5" ht="18.5" x14ac:dyDescent="0.45">
      <c r="B16" s="18" t="s">
        <v>791</v>
      </c>
      <c r="C16" s="18"/>
      <c r="D16" s="18"/>
      <c r="E16" s="18"/>
    </row>
    <row r="18" spans="2:5" x14ac:dyDescent="0.35">
      <c r="B18" s="31" t="s">
        <v>659</v>
      </c>
      <c r="C18" s="31" t="s">
        <v>792</v>
      </c>
      <c r="D18" s="31" t="s">
        <v>662</v>
      </c>
    </row>
    <row r="19" spans="2:5" x14ac:dyDescent="0.35">
      <c r="B19" s="167" t="s">
        <v>347</v>
      </c>
      <c r="C19" t="s">
        <v>793</v>
      </c>
      <c r="D19" t="s">
        <v>794</v>
      </c>
    </row>
    <row r="20" spans="2:5" x14ac:dyDescent="0.35">
      <c r="B20" s="167" t="s">
        <v>795</v>
      </c>
      <c r="C20" t="s">
        <v>796</v>
      </c>
      <c r="D20" t="s">
        <v>797</v>
      </c>
    </row>
    <row r="21" spans="2:5" x14ac:dyDescent="0.35">
      <c r="B21" s="167" t="s">
        <v>406</v>
      </c>
      <c r="C21" t="s">
        <v>798</v>
      </c>
      <c r="D21" t="s">
        <v>799</v>
      </c>
    </row>
    <row r="22" spans="2:5" x14ac:dyDescent="0.35">
      <c r="B22" s="167" t="s">
        <v>420</v>
      </c>
      <c r="C22" t="s">
        <v>800</v>
      </c>
      <c r="D22" t="s">
        <v>801</v>
      </c>
    </row>
    <row r="23" spans="2:5" x14ac:dyDescent="0.35">
      <c r="B23" s="167" t="s">
        <v>802</v>
      </c>
      <c r="C23" t="s">
        <v>803</v>
      </c>
      <c r="D23" t="s">
        <v>804</v>
      </c>
    </row>
    <row r="24" spans="2:5" x14ac:dyDescent="0.35">
      <c r="B24" s="167" t="s">
        <v>368</v>
      </c>
      <c r="C24" t="s">
        <v>805</v>
      </c>
      <c r="D24" t="s">
        <v>806</v>
      </c>
    </row>
    <row r="25" spans="2:5" x14ac:dyDescent="0.35">
      <c r="B25" s="167" t="s">
        <v>807</v>
      </c>
      <c r="C25" t="s">
        <v>808</v>
      </c>
      <c r="D25" t="s">
        <v>809</v>
      </c>
    </row>
    <row r="26" spans="2:5" x14ac:dyDescent="0.35">
      <c r="B26" s="167" t="s">
        <v>810</v>
      </c>
      <c r="C26" t="s">
        <v>811</v>
      </c>
      <c r="D26" t="s">
        <v>812</v>
      </c>
    </row>
    <row r="27" spans="2:5" x14ac:dyDescent="0.35">
      <c r="B27" s="167" t="s">
        <v>813</v>
      </c>
      <c r="C27" t="s">
        <v>814</v>
      </c>
      <c r="D27" t="s">
        <v>815</v>
      </c>
    </row>
    <row r="28" spans="2:5" x14ac:dyDescent="0.35">
      <c r="B28" s="167" t="s">
        <v>442</v>
      </c>
      <c r="C28" t="s">
        <v>816</v>
      </c>
      <c r="D28" t="s">
        <v>817</v>
      </c>
    </row>
    <row r="30" spans="2:5" ht="18.5" x14ac:dyDescent="0.45">
      <c r="B30" s="21" t="s">
        <v>1058</v>
      </c>
      <c r="C30" s="18"/>
      <c r="D30" s="18"/>
      <c r="E30" s="18"/>
    </row>
    <row r="32" spans="2:5" x14ac:dyDescent="0.35">
      <c r="B32" s="31" t="s">
        <v>659</v>
      </c>
      <c r="C32" s="31" t="s">
        <v>2</v>
      </c>
      <c r="D32" s="31" t="s">
        <v>662</v>
      </c>
    </row>
    <row r="33" spans="2:5" x14ac:dyDescent="0.35">
      <c r="B33" s="167" t="s">
        <v>867</v>
      </c>
      <c r="C33" t="s">
        <v>1059</v>
      </c>
      <c r="D33" t="s">
        <v>1060</v>
      </c>
    </row>
    <row r="34" spans="2:5" x14ac:dyDescent="0.35">
      <c r="B34" s="167" t="s">
        <v>1061</v>
      </c>
      <c r="C34" t="s">
        <v>1062</v>
      </c>
      <c r="D34" t="s">
        <v>1063</v>
      </c>
    </row>
    <row r="35" spans="2:5" x14ac:dyDescent="0.35">
      <c r="B35" s="167" t="s">
        <v>7</v>
      </c>
      <c r="C35" t="s">
        <v>1064</v>
      </c>
      <c r="D35" t="s">
        <v>1065</v>
      </c>
    </row>
    <row r="37" spans="2:5" ht="18.5" x14ac:dyDescent="0.45">
      <c r="B37" s="21" t="s">
        <v>1075</v>
      </c>
      <c r="C37" s="18"/>
      <c r="D37" s="18"/>
      <c r="E37" s="18"/>
    </row>
    <row r="39" spans="2:5" x14ac:dyDescent="0.35">
      <c r="B39" s="31" t="s">
        <v>659</v>
      </c>
      <c r="C39" s="31" t="s">
        <v>2</v>
      </c>
    </row>
    <row r="40" spans="2:5" x14ac:dyDescent="0.35">
      <c r="B40" s="167" t="s">
        <v>1067</v>
      </c>
      <c r="C40" t="s">
        <v>1076</v>
      </c>
    </row>
    <row r="41" spans="2:5" x14ac:dyDescent="0.35">
      <c r="B41" s="167">
        <v>1</v>
      </c>
      <c r="C41" t="s">
        <v>1077</v>
      </c>
    </row>
    <row r="42" spans="2:5" x14ac:dyDescent="0.35">
      <c r="B42" s="167">
        <v>2</v>
      </c>
      <c r="C42" t="s">
        <v>1078</v>
      </c>
    </row>
    <row r="43" spans="2:5" x14ac:dyDescent="0.35">
      <c r="B43" s="167">
        <v>3</v>
      </c>
      <c r="C43" t="s">
        <v>1079</v>
      </c>
    </row>
    <row r="44" spans="2:5" x14ac:dyDescent="0.35">
      <c r="B44" s="167">
        <v>4</v>
      </c>
      <c r="C44" t="s">
        <v>1080</v>
      </c>
    </row>
    <row r="45" spans="2:5" x14ac:dyDescent="0.35">
      <c r="B45" s="167">
        <v>5</v>
      </c>
      <c r="C45" t="s">
        <v>969</v>
      </c>
    </row>
    <row r="46" spans="2:5" x14ac:dyDescent="0.35">
      <c r="B46" s="167">
        <v>6</v>
      </c>
      <c r="C46" t="s">
        <v>1081</v>
      </c>
    </row>
    <row r="47" spans="2:5" x14ac:dyDescent="0.35">
      <c r="B47" s="167">
        <v>7</v>
      </c>
      <c r="C47" t="s">
        <v>1082</v>
      </c>
    </row>
    <row r="48" spans="2:5" x14ac:dyDescent="0.35">
      <c r="B48" s="167">
        <v>8</v>
      </c>
      <c r="C48" t="s">
        <v>1083</v>
      </c>
    </row>
    <row r="49" spans="2:3" x14ac:dyDescent="0.35">
      <c r="B49" s="167">
        <v>9</v>
      </c>
      <c r="C49" t="s">
        <v>1084</v>
      </c>
    </row>
    <row r="50" spans="2:3" x14ac:dyDescent="0.35">
      <c r="B50" s="167">
        <v>10</v>
      </c>
      <c r="C50" t="s">
        <v>1085</v>
      </c>
    </row>
    <row r="51" spans="2:3" x14ac:dyDescent="0.35">
      <c r="B51" s="167">
        <v>11</v>
      </c>
      <c r="C51" t="s">
        <v>1086</v>
      </c>
    </row>
    <row r="52" spans="2:3" x14ac:dyDescent="0.35">
      <c r="B52" s="167">
        <v>12</v>
      </c>
      <c r="C52" t="s">
        <v>1087</v>
      </c>
    </row>
    <row r="53" spans="2:3" x14ac:dyDescent="0.35">
      <c r="B53" s="167" t="s">
        <v>1088</v>
      </c>
      <c r="C53" t="s">
        <v>1089</v>
      </c>
    </row>
    <row r="54" spans="2:3" x14ac:dyDescent="0.35">
      <c r="B54" s="167" t="s">
        <v>1090</v>
      </c>
      <c r="C54" t="s">
        <v>1091</v>
      </c>
    </row>
    <row r="55" spans="2:3" x14ac:dyDescent="0.35">
      <c r="B55" s="167" t="s">
        <v>1092</v>
      </c>
      <c r="C55" t="s">
        <v>1093</v>
      </c>
    </row>
    <row r="56" spans="2:3" x14ac:dyDescent="0.35">
      <c r="B56" s="167" t="s">
        <v>1094</v>
      </c>
      <c r="C56" t="s">
        <v>1095</v>
      </c>
    </row>
    <row r="57" spans="2:3" x14ac:dyDescent="0.35">
      <c r="B57" s="167" t="s">
        <v>1096</v>
      </c>
      <c r="C57" t="s">
        <v>1097</v>
      </c>
    </row>
    <row r="58" spans="2:3" x14ac:dyDescent="0.35">
      <c r="B58" s="167" t="s">
        <v>1098</v>
      </c>
      <c r="C58" t="s">
        <v>1099</v>
      </c>
    </row>
  </sheetData>
  <sheetProtection sheet="1" objects="1" scenarios="1" sort="0" autoFilter="0"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C7FE2-9410-45AC-A25E-79971E1804C9}">
  <sheetPr codeName="Feuil56"/>
  <dimension ref="A1:G75"/>
  <sheetViews>
    <sheetView showGridLines="0" workbookViewId="0"/>
  </sheetViews>
  <sheetFormatPr baseColWidth="10" defaultRowHeight="14.5" x14ac:dyDescent="0.35"/>
  <cols>
    <col min="2" max="2" width="8.453125" customWidth="1"/>
    <col min="3" max="3" width="42.54296875" bestFit="1" customWidth="1"/>
    <col min="4" max="4" width="6.81640625" bestFit="1" customWidth="1"/>
    <col min="5" max="5" width="9.7265625" bestFit="1" customWidth="1"/>
    <col min="6" max="6" width="10.54296875" bestFit="1" customWidth="1"/>
    <col min="7" max="7" width="6" bestFit="1" customWidth="1"/>
  </cols>
  <sheetData>
    <row r="1" spans="1:7" x14ac:dyDescent="0.35">
      <c r="A1" s="15" t="str">
        <f>HYPERLINK("#'PAGE DE GARDE'!A1","⬅ Menu")</f>
        <v>⬅ Menu</v>
      </c>
    </row>
    <row r="2" spans="1:7" ht="18.5" x14ac:dyDescent="0.45">
      <c r="B2" s="18" t="s">
        <v>692</v>
      </c>
      <c r="C2" s="18"/>
      <c r="D2" s="18"/>
      <c r="E2" s="18"/>
      <c r="F2" s="18"/>
      <c r="G2" s="18"/>
    </row>
    <row r="4" spans="1:7" x14ac:dyDescent="0.35">
      <c r="B4" s="31" t="s">
        <v>693</v>
      </c>
      <c r="C4" s="31" t="s">
        <v>2</v>
      </c>
      <c r="D4" s="31" t="s">
        <v>660</v>
      </c>
      <c r="E4" s="31" t="s">
        <v>694</v>
      </c>
      <c r="F4" s="31" t="s">
        <v>695</v>
      </c>
      <c r="G4" s="31" t="s">
        <v>696</v>
      </c>
    </row>
    <row r="5" spans="1:7" x14ac:dyDescent="0.35">
      <c r="B5">
        <v>2011</v>
      </c>
      <c r="C5" t="s">
        <v>44</v>
      </c>
      <c r="D5" t="s">
        <v>337</v>
      </c>
      <c r="E5" t="s">
        <v>347</v>
      </c>
      <c r="F5" t="s">
        <v>697</v>
      </c>
      <c r="G5" t="s">
        <v>698</v>
      </c>
    </row>
    <row r="6" spans="1:7" x14ac:dyDescent="0.35">
      <c r="B6">
        <v>2012</v>
      </c>
      <c r="C6" t="s">
        <v>45</v>
      </c>
      <c r="D6" t="s">
        <v>337</v>
      </c>
      <c r="E6" t="s">
        <v>347</v>
      </c>
      <c r="F6" t="s">
        <v>697</v>
      </c>
      <c r="G6" t="s">
        <v>698</v>
      </c>
    </row>
    <row r="7" spans="1:7" x14ac:dyDescent="0.35">
      <c r="B7">
        <v>2017</v>
      </c>
      <c r="C7" t="s">
        <v>48</v>
      </c>
      <c r="D7" t="s">
        <v>337</v>
      </c>
      <c r="E7" t="s">
        <v>349</v>
      </c>
      <c r="F7" t="s">
        <v>699</v>
      </c>
      <c r="G7" t="s">
        <v>698</v>
      </c>
    </row>
    <row r="8" spans="1:7" x14ac:dyDescent="0.35">
      <c r="B8">
        <v>2018</v>
      </c>
      <c r="C8" t="s">
        <v>49</v>
      </c>
      <c r="D8" t="s">
        <v>337</v>
      </c>
      <c r="E8" t="s">
        <v>349</v>
      </c>
      <c r="F8" t="s">
        <v>699</v>
      </c>
      <c r="G8" t="s">
        <v>698</v>
      </c>
    </row>
    <row r="9" spans="1:7" x14ac:dyDescent="0.35">
      <c r="B9">
        <v>2021</v>
      </c>
      <c r="C9" t="s">
        <v>50</v>
      </c>
      <c r="D9" t="s">
        <v>337</v>
      </c>
      <c r="E9" t="s">
        <v>355</v>
      </c>
      <c r="F9" t="s">
        <v>700</v>
      </c>
      <c r="G9" t="s">
        <v>698</v>
      </c>
    </row>
    <row r="10" spans="1:7" x14ac:dyDescent="0.35">
      <c r="B10">
        <v>2111</v>
      </c>
      <c r="C10" t="s">
        <v>51</v>
      </c>
      <c r="D10" t="s">
        <v>337</v>
      </c>
      <c r="E10" t="s">
        <v>357</v>
      </c>
      <c r="F10" t="s">
        <v>701</v>
      </c>
      <c r="G10" t="s">
        <v>698</v>
      </c>
    </row>
    <row r="11" spans="1:7" x14ac:dyDescent="0.35">
      <c r="B11">
        <v>2121</v>
      </c>
      <c r="C11" t="s">
        <v>54</v>
      </c>
      <c r="D11" t="s">
        <v>337</v>
      </c>
      <c r="E11" t="s">
        <v>357</v>
      </c>
      <c r="F11" t="s">
        <v>701</v>
      </c>
      <c r="G11" t="s">
        <v>698</v>
      </c>
    </row>
    <row r="12" spans="1:7" x14ac:dyDescent="0.35">
      <c r="B12">
        <v>2131</v>
      </c>
      <c r="C12" t="s">
        <v>56</v>
      </c>
      <c r="D12" t="s">
        <v>337</v>
      </c>
      <c r="E12" t="s">
        <v>359</v>
      </c>
      <c r="F12" t="s">
        <v>702</v>
      </c>
      <c r="G12" t="s">
        <v>698</v>
      </c>
    </row>
    <row r="13" spans="1:7" x14ac:dyDescent="0.35">
      <c r="B13">
        <v>2132</v>
      </c>
      <c r="C13" t="s">
        <v>57</v>
      </c>
      <c r="D13" t="s">
        <v>337</v>
      </c>
      <c r="E13" t="s">
        <v>360</v>
      </c>
      <c r="F13" t="s">
        <v>703</v>
      </c>
      <c r="G13" t="s">
        <v>698</v>
      </c>
    </row>
    <row r="14" spans="1:7" x14ac:dyDescent="0.35">
      <c r="B14">
        <v>2140</v>
      </c>
      <c r="C14" t="s">
        <v>58</v>
      </c>
      <c r="D14" t="s">
        <v>337</v>
      </c>
      <c r="E14" t="s">
        <v>360</v>
      </c>
      <c r="F14" t="s">
        <v>703</v>
      </c>
      <c r="G14" t="s">
        <v>698</v>
      </c>
    </row>
    <row r="15" spans="1:7" x14ac:dyDescent="0.35">
      <c r="B15">
        <v>2211</v>
      </c>
      <c r="C15" t="s">
        <v>62</v>
      </c>
      <c r="D15" t="s">
        <v>337</v>
      </c>
      <c r="E15" t="s">
        <v>364</v>
      </c>
      <c r="F15" t="s">
        <v>704</v>
      </c>
      <c r="G15" t="s">
        <v>698</v>
      </c>
    </row>
    <row r="16" spans="1:7" x14ac:dyDescent="0.35">
      <c r="B16">
        <v>2212</v>
      </c>
      <c r="C16" t="s">
        <v>63</v>
      </c>
      <c r="D16" t="s">
        <v>337</v>
      </c>
      <c r="E16" t="s">
        <v>364</v>
      </c>
      <c r="F16" t="s">
        <v>704</v>
      </c>
      <c r="G16" t="s">
        <v>698</v>
      </c>
    </row>
    <row r="17" spans="2:7" x14ac:dyDescent="0.35">
      <c r="B17">
        <v>2213</v>
      </c>
      <c r="C17" t="s">
        <v>64</v>
      </c>
      <c r="D17" t="s">
        <v>337</v>
      </c>
      <c r="E17" t="s">
        <v>364</v>
      </c>
      <c r="F17" t="s">
        <v>704</v>
      </c>
      <c r="G17" t="s">
        <v>698</v>
      </c>
    </row>
    <row r="18" spans="2:7" x14ac:dyDescent="0.35">
      <c r="B18">
        <v>2311</v>
      </c>
      <c r="C18" t="s">
        <v>68</v>
      </c>
      <c r="D18" t="s">
        <v>337</v>
      </c>
      <c r="E18" t="s">
        <v>366</v>
      </c>
      <c r="F18" t="s">
        <v>705</v>
      </c>
      <c r="G18" t="s">
        <v>698</v>
      </c>
    </row>
    <row r="19" spans="2:7" x14ac:dyDescent="0.35">
      <c r="B19">
        <v>2313</v>
      </c>
      <c r="C19" t="s">
        <v>70</v>
      </c>
      <c r="D19" t="s">
        <v>337</v>
      </c>
      <c r="E19" t="s">
        <v>366</v>
      </c>
      <c r="F19" t="s">
        <v>705</v>
      </c>
      <c r="G19" t="s">
        <v>698</v>
      </c>
    </row>
    <row r="20" spans="2:7" x14ac:dyDescent="0.35">
      <c r="B20">
        <v>2322</v>
      </c>
      <c r="C20" t="s">
        <v>74</v>
      </c>
      <c r="D20" t="s">
        <v>337</v>
      </c>
      <c r="E20" t="s">
        <v>368</v>
      </c>
      <c r="F20" t="s">
        <v>706</v>
      </c>
      <c r="G20" t="s">
        <v>698</v>
      </c>
    </row>
    <row r="21" spans="2:7" x14ac:dyDescent="0.35">
      <c r="B21">
        <v>2323</v>
      </c>
      <c r="C21" t="s">
        <v>75</v>
      </c>
      <c r="D21" t="s">
        <v>337</v>
      </c>
      <c r="E21" t="s">
        <v>368</v>
      </c>
      <c r="F21" t="s">
        <v>706</v>
      </c>
      <c r="G21" t="s">
        <v>698</v>
      </c>
    </row>
    <row r="22" spans="2:7" x14ac:dyDescent="0.35">
      <c r="B22">
        <v>2411</v>
      </c>
      <c r="C22" t="s">
        <v>79</v>
      </c>
      <c r="D22" t="s">
        <v>337</v>
      </c>
      <c r="E22" t="s">
        <v>370</v>
      </c>
      <c r="F22" t="s">
        <v>707</v>
      </c>
      <c r="G22" t="s">
        <v>698</v>
      </c>
    </row>
    <row r="23" spans="2:7" x14ac:dyDescent="0.35">
      <c r="B23">
        <v>2441</v>
      </c>
      <c r="C23" t="s">
        <v>81</v>
      </c>
      <c r="D23" t="s">
        <v>337</v>
      </c>
      <c r="E23" t="s">
        <v>370</v>
      </c>
      <c r="F23" t="s">
        <v>707</v>
      </c>
      <c r="G23" t="s">
        <v>698</v>
      </c>
    </row>
    <row r="24" spans="2:7" x14ac:dyDescent="0.35">
      <c r="B24">
        <v>2442</v>
      </c>
      <c r="C24" t="s">
        <v>82</v>
      </c>
      <c r="D24" t="s">
        <v>337</v>
      </c>
      <c r="E24" t="s">
        <v>370</v>
      </c>
      <c r="F24" t="s">
        <v>707</v>
      </c>
      <c r="G24" t="s">
        <v>698</v>
      </c>
    </row>
    <row r="25" spans="2:7" x14ac:dyDescent="0.35">
      <c r="B25">
        <v>2451</v>
      </c>
      <c r="C25" t="s">
        <v>84</v>
      </c>
      <c r="D25" t="s">
        <v>337</v>
      </c>
      <c r="E25" t="s">
        <v>372</v>
      </c>
      <c r="F25" t="s">
        <v>708</v>
      </c>
      <c r="G25" t="s">
        <v>698</v>
      </c>
    </row>
    <row r="26" spans="2:7" x14ac:dyDescent="0.35">
      <c r="B26">
        <v>2610</v>
      </c>
      <c r="C26" t="s">
        <v>92</v>
      </c>
      <c r="D26" t="s">
        <v>337</v>
      </c>
      <c r="E26" t="s">
        <v>378</v>
      </c>
      <c r="F26" t="s">
        <v>709</v>
      </c>
      <c r="G26" t="s">
        <v>698</v>
      </c>
    </row>
    <row r="27" spans="2:7" x14ac:dyDescent="0.35">
      <c r="B27">
        <v>2620</v>
      </c>
      <c r="C27" t="s">
        <v>93</v>
      </c>
      <c r="D27" t="s">
        <v>337</v>
      </c>
      <c r="E27" t="s">
        <v>378</v>
      </c>
      <c r="F27" t="s">
        <v>709</v>
      </c>
      <c r="G27" t="s">
        <v>698</v>
      </c>
    </row>
    <row r="28" spans="2:7" x14ac:dyDescent="0.35">
      <c r="B28">
        <v>2750</v>
      </c>
      <c r="C28" t="s">
        <v>97</v>
      </c>
      <c r="D28" t="s">
        <v>337</v>
      </c>
      <c r="E28" t="s">
        <v>380</v>
      </c>
      <c r="F28" t="s">
        <v>710</v>
      </c>
      <c r="G28" t="s">
        <v>698</v>
      </c>
    </row>
    <row r="29" spans="2:7" x14ac:dyDescent="0.35">
      <c r="B29">
        <v>3110</v>
      </c>
      <c r="C29" t="s">
        <v>119</v>
      </c>
      <c r="D29" t="s">
        <v>337</v>
      </c>
      <c r="E29" t="s">
        <v>388</v>
      </c>
      <c r="F29" t="s">
        <v>711</v>
      </c>
      <c r="G29" t="s">
        <v>698</v>
      </c>
    </row>
    <row r="30" spans="2:7" x14ac:dyDescent="0.35">
      <c r="B30">
        <v>3210</v>
      </c>
      <c r="C30" t="s">
        <v>122</v>
      </c>
      <c r="D30" t="s">
        <v>337</v>
      </c>
      <c r="E30" t="s">
        <v>390</v>
      </c>
      <c r="F30" t="s">
        <v>712</v>
      </c>
      <c r="G30" t="s">
        <v>698</v>
      </c>
    </row>
    <row r="31" spans="2:7" x14ac:dyDescent="0.35">
      <c r="B31">
        <v>3510</v>
      </c>
      <c r="C31" t="s">
        <v>128</v>
      </c>
      <c r="D31" t="s">
        <v>337</v>
      </c>
      <c r="E31" t="s">
        <v>392</v>
      </c>
      <c r="F31" t="s">
        <v>713</v>
      </c>
      <c r="G31" t="s">
        <v>698</v>
      </c>
    </row>
    <row r="32" spans="2:7" x14ac:dyDescent="0.35">
      <c r="B32">
        <v>3620</v>
      </c>
      <c r="C32" t="s">
        <v>131</v>
      </c>
      <c r="D32" t="s">
        <v>337</v>
      </c>
      <c r="E32" t="s">
        <v>394</v>
      </c>
      <c r="F32" t="s">
        <v>714</v>
      </c>
      <c r="G32" t="s">
        <v>698</v>
      </c>
    </row>
    <row r="33" spans="2:7" x14ac:dyDescent="0.35">
      <c r="B33">
        <v>4090</v>
      </c>
      <c r="C33" t="s">
        <v>143</v>
      </c>
      <c r="D33" t="s">
        <v>337</v>
      </c>
      <c r="E33" t="s">
        <v>398</v>
      </c>
      <c r="F33" t="s">
        <v>715</v>
      </c>
      <c r="G33" t="s">
        <v>698</v>
      </c>
    </row>
    <row r="34" spans="2:7" x14ac:dyDescent="0.35">
      <c r="B34">
        <v>4111</v>
      </c>
      <c r="C34" t="s">
        <v>144</v>
      </c>
      <c r="D34" t="s">
        <v>337</v>
      </c>
      <c r="E34" t="s">
        <v>400</v>
      </c>
      <c r="F34" t="s">
        <v>716</v>
      </c>
      <c r="G34" t="s">
        <v>698</v>
      </c>
    </row>
    <row r="35" spans="2:7" x14ac:dyDescent="0.35">
      <c r="B35">
        <v>4120</v>
      </c>
      <c r="C35" t="s">
        <v>146</v>
      </c>
      <c r="D35" t="s">
        <v>337</v>
      </c>
      <c r="E35" t="s">
        <v>400</v>
      </c>
      <c r="F35" t="s">
        <v>716</v>
      </c>
      <c r="G35" t="s">
        <v>698</v>
      </c>
    </row>
    <row r="36" spans="2:7" x14ac:dyDescent="0.35">
      <c r="B36">
        <v>4710</v>
      </c>
      <c r="C36" t="s">
        <v>170</v>
      </c>
      <c r="D36" t="s">
        <v>337</v>
      </c>
      <c r="E36" t="s">
        <v>402</v>
      </c>
      <c r="F36" t="s">
        <v>717</v>
      </c>
      <c r="G36" t="s">
        <v>698</v>
      </c>
    </row>
    <row r="37" spans="2:7" x14ac:dyDescent="0.35">
      <c r="B37">
        <v>5510</v>
      </c>
      <c r="C37" t="s">
        <v>186</v>
      </c>
      <c r="D37" t="s">
        <v>337</v>
      </c>
      <c r="E37" t="s">
        <v>408</v>
      </c>
      <c r="F37" t="s">
        <v>718</v>
      </c>
      <c r="G37" t="s">
        <v>698</v>
      </c>
    </row>
    <row r="38" spans="2:7" x14ac:dyDescent="0.35">
      <c r="B38">
        <v>5210</v>
      </c>
      <c r="C38" t="s">
        <v>178</v>
      </c>
      <c r="D38" t="s">
        <v>337</v>
      </c>
      <c r="E38" t="s">
        <v>412</v>
      </c>
      <c r="F38" t="s">
        <v>719</v>
      </c>
      <c r="G38" t="s">
        <v>698</v>
      </c>
    </row>
    <row r="39" spans="2:7" x14ac:dyDescent="0.35">
      <c r="B39">
        <v>5610</v>
      </c>
      <c r="C39" t="s">
        <v>187</v>
      </c>
      <c r="D39" t="s">
        <v>337</v>
      </c>
      <c r="E39" t="s">
        <v>412</v>
      </c>
      <c r="F39" t="s">
        <v>719</v>
      </c>
      <c r="G39" t="s">
        <v>698</v>
      </c>
    </row>
    <row r="40" spans="2:7" x14ac:dyDescent="0.35">
      <c r="B40">
        <v>1011</v>
      </c>
      <c r="C40" t="s">
        <v>6</v>
      </c>
      <c r="D40" t="s">
        <v>419</v>
      </c>
      <c r="E40" t="s">
        <v>422</v>
      </c>
      <c r="F40" t="s">
        <v>720</v>
      </c>
      <c r="G40" t="s">
        <v>698</v>
      </c>
    </row>
    <row r="41" spans="2:7" x14ac:dyDescent="0.35">
      <c r="B41">
        <v>1041</v>
      </c>
      <c r="C41" t="s">
        <v>11</v>
      </c>
      <c r="D41" t="s">
        <v>419</v>
      </c>
      <c r="E41" t="s">
        <v>428</v>
      </c>
      <c r="F41" t="s">
        <v>721</v>
      </c>
      <c r="G41" t="s">
        <v>698</v>
      </c>
    </row>
    <row r="42" spans="2:7" x14ac:dyDescent="0.35">
      <c r="B42">
        <v>1051</v>
      </c>
      <c r="C42" t="s">
        <v>14</v>
      </c>
      <c r="D42" t="s">
        <v>419</v>
      </c>
      <c r="E42" t="s">
        <v>430</v>
      </c>
      <c r="F42" t="s">
        <v>722</v>
      </c>
      <c r="G42" t="s">
        <v>698</v>
      </c>
    </row>
    <row r="43" spans="2:7" x14ac:dyDescent="0.35">
      <c r="B43">
        <v>1061</v>
      </c>
      <c r="C43" t="s">
        <v>16</v>
      </c>
      <c r="D43" t="s">
        <v>419</v>
      </c>
      <c r="E43" t="s">
        <v>432</v>
      </c>
      <c r="F43" t="s">
        <v>700</v>
      </c>
      <c r="G43" t="s">
        <v>698</v>
      </c>
    </row>
    <row r="44" spans="2:7" x14ac:dyDescent="0.35">
      <c r="B44">
        <v>1064</v>
      </c>
      <c r="C44" t="s">
        <v>19</v>
      </c>
      <c r="D44" t="s">
        <v>419</v>
      </c>
      <c r="E44" t="s">
        <v>434</v>
      </c>
      <c r="F44" t="s">
        <v>701</v>
      </c>
      <c r="G44" t="s">
        <v>698</v>
      </c>
    </row>
    <row r="45" spans="2:7" x14ac:dyDescent="0.35">
      <c r="B45">
        <v>1101</v>
      </c>
      <c r="C45" t="s">
        <v>20</v>
      </c>
      <c r="D45" t="s">
        <v>419</v>
      </c>
      <c r="E45" t="s">
        <v>436</v>
      </c>
      <c r="F45" t="s">
        <v>702</v>
      </c>
      <c r="G45" t="s">
        <v>698</v>
      </c>
    </row>
    <row r="46" spans="2:7" x14ac:dyDescent="0.35">
      <c r="B46">
        <v>1109</v>
      </c>
      <c r="C46" t="s">
        <v>21</v>
      </c>
      <c r="D46" t="s">
        <v>419</v>
      </c>
      <c r="E46" t="s">
        <v>436</v>
      </c>
      <c r="F46" t="s">
        <v>702</v>
      </c>
      <c r="G46" t="s">
        <v>723</v>
      </c>
    </row>
    <row r="47" spans="2:7" x14ac:dyDescent="0.35">
      <c r="B47">
        <v>1201</v>
      </c>
      <c r="C47" t="s">
        <v>23</v>
      </c>
      <c r="D47" t="s">
        <v>419</v>
      </c>
      <c r="E47" t="s">
        <v>438</v>
      </c>
      <c r="F47" t="s">
        <v>703</v>
      </c>
      <c r="G47" t="s">
        <v>698</v>
      </c>
    </row>
    <row r="48" spans="2:7" x14ac:dyDescent="0.35">
      <c r="B48">
        <v>1209</v>
      </c>
      <c r="C48" t="s">
        <v>24</v>
      </c>
      <c r="D48" t="s">
        <v>419</v>
      </c>
      <c r="E48" t="s">
        <v>438</v>
      </c>
      <c r="F48" t="s">
        <v>703</v>
      </c>
      <c r="G48" t="s">
        <v>723</v>
      </c>
    </row>
    <row r="49" spans="2:7" x14ac:dyDescent="0.35">
      <c r="B49">
        <v>1301</v>
      </c>
      <c r="C49" t="s">
        <v>25</v>
      </c>
      <c r="D49" t="s">
        <v>419</v>
      </c>
      <c r="E49" t="s">
        <v>440</v>
      </c>
      <c r="F49" t="s">
        <v>724</v>
      </c>
      <c r="G49" t="s">
        <v>698</v>
      </c>
    </row>
    <row r="50" spans="2:7" x14ac:dyDescent="0.35">
      <c r="B50">
        <v>1420</v>
      </c>
      <c r="C50" t="s">
        <v>29</v>
      </c>
      <c r="D50" t="s">
        <v>419</v>
      </c>
      <c r="E50" t="s">
        <v>448</v>
      </c>
      <c r="F50" t="s">
        <v>707</v>
      </c>
      <c r="G50" t="s">
        <v>698</v>
      </c>
    </row>
    <row r="51" spans="2:7" x14ac:dyDescent="0.35">
      <c r="B51">
        <v>1511</v>
      </c>
      <c r="C51" t="s">
        <v>34</v>
      </c>
      <c r="D51" t="s">
        <v>419</v>
      </c>
      <c r="E51" t="s">
        <v>454</v>
      </c>
      <c r="F51" t="s">
        <v>725</v>
      </c>
      <c r="G51" t="s">
        <v>698</v>
      </c>
    </row>
    <row r="52" spans="2:7" x14ac:dyDescent="0.35">
      <c r="B52">
        <v>4011</v>
      </c>
      <c r="C52" t="s">
        <v>137</v>
      </c>
      <c r="D52" t="s">
        <v>419</v>
      </c>
      <c r="E52" t="s">
        <v>466</v>
      </c>
      <c r="F52" t="s">
        <v>711</v>
      </c>
      <c r="G52" t="s">
        <v>698</v>
      </c>
    </row>
    <row r="53" spans="2:7" x14ac:dyDescent="0.35">
      <c r="B53">
        <v>4220</v>
      </c>
      <c r="C53" t="s">
        <v>152</v>
      </c>
      <c r="D53" t="s">
        <v>419</v>
      </c>
      <c r="E53" t="s">
        <v>470</v>
      </c>
      <c r="F53" t="s">
        <v>713</v>
      </c>
      <c r="G53" t="s">
        <v>698</v>
      </c>
    </row>
    <row r="54" spans="2:7" x14ac:dyDescent="0.35">
      <c r="B54">
        <v>4310</v>
      </c>
      <c r="C54" t="s">
        <v>155</v>
      </c>
      <c r="D54" t="s">
        <v>419</v>
      </c>
      <c r="E54" t="s">
        <v>470</v>
      </c>
      <c r="F54" t="s">
        <v>713</v>
      </c>
      <c r="G54" t="s">
        <v>698</v>
      </c>
    </row>
    <row r="55" spans="2:7" x14ac:dyDescent="0.35">
      <c r="B55">
        <v>4410</v>
      </c>
      <c r="C55" t="s">
        <v>159</v>
      </c>
      <c r="D55" t="s">
        <v>419</v>
      </c>
      <c r="E55" t="s">
        <v>468</v>
      </c>
      <c r="F55" t="s">
        <v>712</v>
      </c>
      <c r="G55" t="s">
        <v>698</v>
      </c>
    </row>
    <row r="56" spans="2:7" x14ac:dyDescent="0.35">
      <c r="B56">
        <v>4431</v>
      </c>
      <c r="C56" t="s">
        <v>161</v>
      </c>
      <c r="D56" t="s">
        <v>419</v>
      </c>
      <c r="E56" t="s">
        <v>468</v>
      </c>
      <c r="F56" t="s">
        <v>712</v>
      </c>
      <c r="G56" t="s">
        <v>698</v>
      </c>
    </row>
    <row r="57" spans="2:7" x14ac:dyDescent="0.35">
      <c r="B57">
        <v>4520</v>
      </c>
      <c r="C57" t="s">
        <v>168</v>
      </c>
      <c r="D57" t="s">
        <v>419</v>
      </c>
      <c r="E57" t="s">
        <v>472</v>
      </c>
      <c r="F57" t="s">
        <v>714</v>
      </c>
      <c r="G57" t="s">
        <v>698</v>
      </c>
    </row>
    <row r="58" spans="2:7" x14ac:dyDescent="0.35">
      <c r="B58">
        <v>5910</v>
      </c>
      <c r="C58" t="s">
        <v>192</v>
      </c>
      <c r="D58" t="s">
        <v>419</v>
      </c>
      <c r="E58" t="s">
        <v>480</v>
      </c>
      <c r="F58" t="s">
        <v>717</v>
      </c>
      <c r="G58" t="s">
        <v>698</v>
      </c>
    </row>
    <row r="59" spans="2:7" x14ac:dyDescent="0.35">
      <c r="B59">
        <v>5940</v>
      </c>
      <c r="C59" t="s">
        <v>195</v>
      </c>
      <c r="D59" t="s">
        <v>419</v>
      </c>
      <c r="E59" t="s">
        <v>482</v>
      </c>
      <c r="F59" t="s">
        <v>726</v>
      </c>
      <c r="G59" t="s">
        <v>698</v>
      </c>
    </row>
    <row r="60" spans="2:7" x14ac:dyDescent="0.35">
      <c r="B60">
        <v>7010</v>
      </c>
      <c r="C60" t="s">
        <v>253</v>
      </c>
      <c r="D60" t="s">
        <v>676</v>
      </c>
      <c r="E60" t="s">
        <v>492</v>
      </c>
      <c r="F60" t="s">
        <v>727</v>
      </c>
      <c r="G60" t="s">
        <v>698</v>
      </c>
    </row>
    <row r="61" spans="2:7" x14ac:dyDescent="0.35">
      <c r="B61">
        <v>6010</v>
      </c>
      <c r="C61" t="s">
        <v>198</v>
      </c>
      <c r="D61" t="s">
        <v>676</v>
      </c>
      <c r="E61" t="s">
        <v>493</v>
      </c>
      <c r="F61" t="s">
        <v>720</v>
      </c>
      <c r="G61" t="s">
        <v>698</v>
      </c>
    </row>
    <row r="62" spans="2:7" x14ac:dyDescent="0.35">
      <c r="B62">
        <v>7020</v>
      </c>
      <c r="C62" t="s">
        <v>254</v>
      </c>
      <c r="D62" t="s">
        <v>676</v>
      </c>
      <c r="E62" t="s">
        <v>498</v>
      </c>
      <c r="F62" t="s">
        <v>721</v>
      </c>
      <c r="G62" t="s">
        <v>698</v>
      </c>
    </row>
    <row r="63" spans="2:7" x14ac:dyDescent="0.35">
      <c r="B63">
        <v>7050</v>
      </c>
      <c r="C63" t="s">
        <v>257</v>
      </c>
      <c r="D63" t="s">
        <v>676</v>
      </c>
      <c r="E63" t="s">
        <v>500</v>
      </c>
      <c r="F63" t="s">
        <v>722</v>
      </c>
      <c r="G63" t="s">
        <v>698</v>
      </c>
    </row>
    <row r="64" spans="2:7" x14ac:dyDescent="0.35">
      <c r="B64">
        <v>7060</v>
      </c>
      <c r="C64" t="s">
        <v>258</v>
      </c>
      <c r="D64" t="s">
        <v>676</v>
      </c>
      <c r="E64" t="s">
        <v>500</v>
      </c>
      <c r="F64" t="s">
        <v>722</v>
      </c>
      <c r="G64" t="s">
        <v>698</v>
      </c>
    </row>
    <row r="65" spans="2:7" x14ac:dyDescent="0.35">
      <c r="B65">
        <v>6040</v>
      </c>
      <c r="C65" t="s">
        <v>202</v>
      </c>
      <c r="D65" t="s">
        <v>676</v>
      </c>
      <c r="E65" t="s">
        <v>508</v>
      </c>
      <c r="F65" t="s">
        <v>703</v>
      </c>
      <c r="G65" t="s">
        <v>698</v>
      </c>
    </row>
    <row r="66" spans="2:7" x14ac:dyDescent="0.35">
      <c r="B66">
        <v>6050</v>
      </c>
      <c r="C66" t="s">
        <v>203</v>
      </c>
      <c r="D66" t="s">
        <v>676</v>
      </c>
      <c r="E66" t="s">
        <v>512</v>
      </c>
      <c r="F66" t="s">
        <v>704</v>
      </c>
      <c r="G66" t="s">
        <v>698</v>
      </c>
    </row>
    <row r="67" spans="2:7" x14ac:dyDescent="0.35">
      <c r="B67">
        <v>6110</v>
      </c>
      <c r="C67" t="s">
        <v>205</v>
      </c>
      <c r="D67" t="s">
        <v>676</v>
      </c>
      <c r="E67" t="s">
        <v>515</v>
      </c>
      <c r="F67" t="s">
        <v>706</v>
      </c>
      <c r="G67" t="s">
        <v>698</v>
      </c>
    </row>
    <row r="68" spans="2:7" x14ac:dyDescent="0.35">
      <c r="B68">
        <v>6220</v>
      </c>
      <c r="C68" t="s">
        <v>210</v>
      </c>
      <c r="D68" t="s">
        <v>676</v>
      </c>
      <c r="E68" t="s">
        <v>517</v>
      </c>
      <c r="F68" t="s">
        <v>707</v>
      </c>
      <c r="G68" t="s">
        <v>698</v>
      </c>
    </row>
    <row r="69" spans="2:7" x14ac:dyDescent="0.35">
      <c r="B69">
        <v>6240</v>
      </c>
      <c r="C69" t="s">
        <v>212</v>
      </c>
      <c r="D69" t="s">
        <v>676</v>
      </c>
      <c r="E69" t="s">
        <v>517</v>
      </c>
      <c r="F69" t="s">
        <v>707</v>
      </c>
      <c r="G69" t="s">
        <v>698</v>
      </c>
    </row>
    <row r="70" spans="2:7" x14ac:dyDescent="0.35">
      <c r="B70">
        <v>6410</v>
      </c>
      <c r="C70" t="s">
        <v>223</v>
      </c>
      <c r="D70" t="s">
        <v>676</v>
      </c>
      <c r="E70" t="s">
        <v>519</v>
      </c>
      <c r="F70" t="s">
        <v>708</v>
      </c>
      <c r="G70" t="s">
        <v>698</v>
      </c>
    </row>
    <row r="71" spans="2:7" x14ac:dyDescent="0.35">
      <c r="B71">
        <v>6610</v>
      </c>
      <c r="C71" t="s">
        <v>229</v>
      </c>
      <c r="D71" t="s">
        <v>676</v>
      </c>
      <c r="E71" t="s">
        <v>527</v>
      </c>
      <c r="F71" t="s">
        <v>710</v>
      </c>
      <c r="G71" t="s">
        <v>698</v>
      </c>
    </row>
    <row r="72" spans="2:7" x14ac:dyDescent="0.35">
      <c r="B72">
        <v>6710</v>
      </c>
      <c r="C72" t="s">
        <v>235</v>
      </c>
      <c r="D72" t="s">
        <v>676</v>
      </c>
      <c r="E72" t="s">
        <v>527</v>
      </c>
      <c r="F72" t="s">
        <v>710</v>
      </c>
      <c r="G72" t="s">
        <v>698</v>
      </c>
    </row>
    <row r="73" spans="2:7" x14ac:dyDescent="0.35">
      <c r="B73">
        <v>6810</v>
      </c>
      <c r="C73" t="s">
        <v>236</v>
      </c>
      <c r="D73" t="s">
        <v>676</v>
      </c>
      <c r="E73" t="s">
        <v>535</v>
      </c>
      <c r="F73" t="s">
        <v>711</v>
      </c>
      <c r="G73" t="s">
        <v>698</v>
      </c>
    </row>
    <row r="74" spans="2:7" x14ac:dyDescent="0.35">
      <c r="B74">
        <v>6730</v>
      </c>
      <c r="C74" t="s">
        <v>244</v>
      </c>
      <c r="D74" t="s">
        <v>676</v>
      </c>
      <c r="E74" t="s">
        <v>545</v>
      </c>
      <c r="F74" t="s">
        <v>715</v>
      </c>
      <c r="G74" t="s">
        <v>698</v>
      </c>
    </row>
    <row r="75" spans="2:7" x14ac:dyDescent="0.35">
      <c r="B75">
        <v>8910</v>
      </c>
      <c r="C75" t="s">
        <v>252</v>
      </c>
      <c r="D75" t="s">
        <v>676</v>
      </c>
      <c r="E75" t="s">
        <v>565</v>
      </c>
      <c r="F75" t="s">
        <v>728</v>
      </c>
      <c r="G75" t="s">
        <v>698</v>
      </c>
    </row>
  </sheetData>
  <sheetProtection sheet="1" objects="1" scenarios="1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60</vt:i4>
      </vt:variant>
    </vt:vector>
  </HeadingPairs>
  <TitlesOfParts>
    <vt:vector size="60" baseType="lpstr">
      <vt:lpstr>PAGE DE GARDE</vt:lpstr>
      <vt:lpstr>📖 GUIDE</vt:lpstr>
      <vt:lpstr>Plan Comptable</vt:lpstr>
      <vt:lpstr>Saisie Rapide</vt:lpstr>
      <vt:lpstr>Journal</vt:lpstr>
      <vt:lpstr>Grand Livre</vt:lpstr>
      <vt:lpstr>Balance Générale</vt:lpstr>
      <vt:lpstr>Balance N-1</vt:lpstr>
      <vt:lpstr>Rapprochement Bancaire</vt:lpstr>
      <vt:lpstr>Contrôles</vt:lpstr>
      <vt:lpstr>Audit Journal</vt:lpstr>
      <vt:lpstr>Dashboard</vt:lpstr>
      <vt:lpstr>Rapport Mensuel</vt:lpstr>
      <vt:lpstr>ACTIF</vt:lpstr>
      <vt:lpstr>PASSIF</vt:lpstr>
      <vt:lpstr>Compte de Résultat</vt:lpstr>
      <vt:lpstr>TFT</vt:lpstr>
      <vt:lpstr>TAFIRE</vt:lpstr>
      <vt:lpstr>FICHE R1</vt:lpstr>
      <vt:lpstr>FICHE R2</vt:lpstr>
      <vt:lpstr>FICHE R3</vt:lpstr>
      <vt:lpstr>FICHE R4</vt:lpstr>
      <vt:lpstr>Note 1</vt:lpstr>
      <vt:lpstr>Note 2</vt:lpstr>
      <vt:lpstr>Note 3</vt:lpstr>
      <vt:lpstr>Note 4</vt:lpstr>
      <vt:lpstr>Note 5</vt:lpstr>
      <vt:lpstr>Note 6</vt:lpstr>
      <vt:lpstr>Note 7</vt:lpstr>
      <vt:lpstr>Note 8</vt:lpstr>
      <vt:lpstr>Note 9</vt:lpstr>
      <vt:lpstr>Note 10</vt:lpstr>
      <vt:lpstr>Note 11</vt:lpstr>
      <vt:lpstr>Note 12</vt:lpstr>
      <vt:lpstr>Note 13</vt:lpstr>
      <vt:lpstr>Note 14</vt:lpstr>
      <vt:lpstr>Note 15</vt:lpstr>
      <vt:lpstr>Note 16</vt:lpstr>
      <vt:lpstr>Note 17</vt:lpstr>
      <vt:lpstr>Note 18</vt:lpstr>
      <vt:lpstr>Note 19</vt:lpstr>
      <vt:lpstr>Note 20</vt:lpstr>
      <vt:lpstr>Note 21</vt:lpstr>
      <vt:lpstr>Note 22</vt:lpstr>
      <vt:lpstr>Note 23</vt:lpstr>
      <vt:lpstr>Note 24</vt:lpstr>
      <vt:lpstr>Note 25</vt:lpstr>
      <vt:lpstr>Note 26</vt:lpstr>
      <vt:lpstr>Note 27</vt:lpstr>
      <vt:lpstr>Note 28</vt:lpstr>
      <vt:lpstr>Note 29</vt:lpstr>
      <vt:lpstr>Note 30</vt:lpstr>
      <vt:lpstr>Note 31</vt:lpstr>
      <vt:lpstr>Note 32</vt:lpstr>
      <vt:lpstr>Note 33</vt:lpstr>
      <vt:lpstr>Note 34</vt:lpstr>
      <vt:lpstr>Note 35</vt:lpstr>
      <vt:lpstr>Note 36</vt:lpstr>
      <vt:lpstr>CODES</vt:lpstr>
      <vt:lpstr>Mapping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Tarawendesida Kabore</dc:creator>
  <cp:lastModifiedBy>Tarawendesida Kabore</cp:lastModifiedBy>
  <dcterms:created xsi:type="dcterms:W3CDTF">2026-01-06T15:22:10Z</dcterms:created>
  <dcterms:modified xsi:type="dcterms:W3CDTF">2026-03-26T16:51:02Z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ortcut_file_id">
    <vt:lpwstr>d7580bf0-1027-40a5-989b-291dd93c4bdc</vt:lpwstr>
  </property>
</Properties>
</file>