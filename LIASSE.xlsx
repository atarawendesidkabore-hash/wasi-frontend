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Users\eu\OneDrive\Desktop\"/>
    </mc:Choice>
  </mc:AlternateContent>
  <xr:revisionPtr revIDLastSave="0" documentId="8_{DEC2660C-B353-4E1A-8E79-14C2C5E147BD}" xr6:coauthVersionLast="47" xr6:coauthVersionMax="47" xr10:uidLastSave="{00000000-0000-0000-0000-000000000000}"/>
  <bookViews>
    <workbookView xWindow="-110" yWindow="-110" windowWidth="19420" windowHeight="10300" tabRatio="794" firstSheet="4" activeTab="1" xr2:uid="{00000000-000D-0000-FFFF-FFFF00000000}"/>
  </bookViews>
  <sheets>
    <sheet name="COUVERTURE" sheetId="1" r:id="rId1"/>
    <sheet name="GARDE" sheetId="2" r:id="rId2"/>
    <sheet name="RECEVABILITE" sheetId="111" r:id="rId3"/>
    <sheet name="NOTE36 (TABLE DES CODES)" sheetId="85" r:id="rId4"/>
    <sheet name="NOTE36 Suite(nomenclature)" sheetId="114" r:id="rId5"/>
    <sheet name="FICHE R1" sheetId="4" r:id="rId6"/>
    <sheet name="FICHE R2" sheetId="5" r:id="rId7"/>
    <sheet name="FICHE R3" sheetId="6" r:id="rId8"/>
    <sheet name="BILAN" sheetId="8" r:id="rId9"/>
    <sheet name="RESULTAT" sheetId="11" r:id="rId10"/>
    <sheet name="TFT" sheetId="12" r:id="rId11"/>
    <sheet name="FICHE R4" sheetId="7" r:id="rId12"/>
    <sheet name="NOTE 1" sheetId="13" r:id="rId13"/>
    <sheet name="NOTE 2" sheetId="14" r:id="rId14"/>
    <sheet name="NOTE 3A" sheetId="15" r:id="rId15"/>
    <sheet name="NOTE 3B" sheetId="16" r:id="rId16"/>
    <sheet name="NOTE 3C" sheetId="17" r:id="rId17"/>
    <sheet name="NOTE 3C BIS" sheetId="96" r:id="rId18"/>
    <sheet name="NOTE 3D" sheetId="18" r:id="rId19"/>
    <sheet name="NOTE 3E" sheetId="19" r:id="rId20"/>
    <sheet name="NOTE 4" sheetId="20" r:id="rId21"/>
    <sheet name="NOTE 5" sheetId="21" r:id="rId22"/>
    <sheet name="NOTE 6" sheetId="22" r:id="rId23"/>
    <sheet name="NOTE 7" sheetId="23" r:id="rId24"/>
    <sheet name="NOTE 8" sheetId="24" r:id="rId25"/>
    <sheet name="NOTE 8A" sheetId="25" r:id="rId26"/>
    <sheet name="NOTE 8B" sheetId="75" r:id="rId27"/>
    <sheet name="NOTE 8C" sheetId="76" r:id="rId28"/>
    <sheet name="NOTE 9" sheetId="26" r:id="rId29"/>
    <sheet name="NOTE 10" sheetId="27" r:id="rId30"/>
    <sheet name="NOTE 11" sheetId="28" r:id="rId31"/>
    <sheet name="NOTE 12" sheetId="29" r:id="rId32"/>
    <sheet name="NOTE 13" sheetId="30" r:id="rId33"/>
    <sheet name="NOTE 14" sheetId="31" r:id="rId34"/>
    <sheet name="NOTE 15A" sheetId="32" r:id="rId35"/>
    <sheet name="NOTE 15B" sheetId="33" r:id="rId36"/>
    <sheet name="NOTE 16A" sheetId="34" r:id="rId37"/>
    <sheet name="NOTE 16B" sheetId="35" r:id="rId38"/>
    <sheet name="NOTE 16B BIS" sheetId="36" r:id="rId39"/>
    <sheet name="NOTE 16C" sheetId="37" r:id="rId40"/>
    <sheet name="NOTE 17" sheetId="38" r:id="rId41"/>
    <sheet name="NOTE 18" sheetId="39" r:id="rId42"/>
    <sheet name="NOTE 19" sheetId="40" r:id="rId43"/>
    <sheet name="NOTE 20" sheetId="41" r:id="rId44"/>
    <sheet name="NOTE 21" sheetId="42" r:id="rId45"/>
    <sheet name="NOTE 22" sheetId="43" r:id="rId46"/>
    <sheet name="NOTE 23" sheetId="44" r:id="rId47"/>
    <sheet name="NOTE 24" sheetId="45" r:id="rId48"/>
    <sheet name="NOTE 25" sheetId="46" r:id="rId49"/>
    <sheet name="NOTE 26" sheetId="47" r:id="rId50"/>
    <sheet name="NOTE 27A" sheetId="48" r:id="rId51"/>
    <sheet name="NOTE 27B" sheetId="49" r:id="rId52"/>
    <sheet name="NOTE 28" sheetId="50" r:id="rId53"/>
    <sheet name="NOTE 29" sheetId="51" r:id="rId54"/>
    <sheet name="NOTE 30" sheetId="52" r:id="rId55"/>
    <sheet name="NOTE 31" sheetId="53" r:id="rId56"/>
    <sheet name="NOTE 32" sheetId="54" r:id="rId57"/>
    <sheet name="NOTE 33" sheetId="55" r:id="rId58"/>
    <sheet name="NOTE 34" sheetId="69" r:id="rId59"/>
    <sheet name="NOTE 35" sheetId="57" r:id="rId60"/>
    <sheet name="NOTE 37" sheetId="79" r:id="rId61"/>
    <sheet name="NOTE 38" sheetId="80" r:id="rId62"/>
    <sheet name="PAGE GARDE COMMENTAIRES" sheetId="67" r:id="rId63"/>
    <sheet name="NOTE 39 COMMENTAIRES" sheetId="68" r:id="rId64"/>
    <sheet name="GARDE (DGI)" sheetId="59" r:id="rId65"/>
    <sheet name="Liste ETATS SUPPL DGI" sheetId="82" r:id="rId66"/>
    <sheet name="SUPPL1-CHARGES" sheetId="92" r:id="rId67"/>
    <sheet name="SUPPL2-PRODUITS" sheetId="100" r:id="rId68"/>
    <sheet name="SUPPL3-TVA (1)" sheetId="72" r:id="rId69"/>
    <sheet name="SUPPL4-TVA (2)" sheetId="83" r:id="rId70"/>
    <sheet name="SUPPL5" sheetId="60" r:id="rId71"/>
    <sheet name="SUPPL6" sheetId="61" r:id="rId72"/>
    <sheet name="SUPPL7" sheetId="62" r:id="rId73"/>
    <sheet name="SUPPL8" sheetId="63" r:id="rId74"/>
    <sheet name="SUPPL9" sheetId="64" r:id="rId75"/>
    <sheet name="SUPPL10" sheetId="65" r:id="rId76"/>
    <sheet name="SUPPL  11" sheetId="73" r:id="rId77"/>
    <sheet name="SUPPL12" sheetId="101" r:id="rId78"/>
    <sheet name="SUPPL13" sheetId="102" r:id="rId79"/>
    <sheet name="SUPPL14" sheetId="103" r:id="rId80"/>
    <sheet name="SUPPL15" sheetId="104" r:id="rId81"/>
    <sheet name="SUPPL16" sheetId="105" r:id="rId82"/>
    <sheet name="SUPPL17" sheetId="106" r:id="rId83"/>
    <sheet name="SUPPL18" sheetId="108" r:id="rId84"/>
    <sheet name="SUPPL19 RESULTAT FISCAL" sheetId="97" r:id="rId85"/>
    <sheet name="SUPPL20 BAV IS" sheetId="115" r:id="rId86"/>
    <sheet name="PAGE GARDE IS" sheetId="110" r:id="rId87"/>
    <sheet name="PAGE GARDE IBICA " sheetId="87" r:id="rId88"/>
    <sheet name="PAGE GARDE BNC" sheetId="88" r:id="rId89"/>
  </sheets>
  <externalReferences>
    <externalReference r:id="rId90"/>
  </externalReferences>
  <definedNames>
    <definedName name="_dFin">42735</definedName>
    <definedName name="_soNumFisc">3201201523617</definedName>
    <definedName name="_soSigle">"PYTHAGORE CONSULTAN"</definedName>
    <definedName name="_xlnm.Print_Area" localSheetId="8">BILAN!$A$1:$N$39</definedName>
    <definedName name="_xlnm.Print_Area" localSheetId="0">COUVERTURE!#REF!</definedName>
    <definedName name="_xlnm.Print_Area" localSheetId="5">'FICHE R1'!$A$1:$V$64</definedName>
    <definedName name="_xlnm.Print_Area" localSheetId="6">'FICHE R2'!$A$1:$AL$61</definedName>
    <definedName name="_xlnm.Print_Area" localSheetId="7">'FICHE R3'!$A$1:$J$36</definedName>
    <definedName name="_xlnm.Print_Area" localSheetId="11">'FICHE R4'!$A$1:$J$65</definedName>
    <definedName name="_xlnm.Print_Area" localSheetId="1">GARDE!$A$1:$L$48</definedName>
    <definedName name="_xlnm.Print_Area" localSheetId="65">'Liste ETATS SUPPL DGI'!$A$1:$J$36</definedName>
    <definedName name="_xlnm.Print_Area" localSheetId="12">'NOTE 1'!$A$1:$I$53</definedName>
    <definedName name="_xlnm.Print_Area" localSheetId="29">'NOTE 10'!$A$1:$I$20</definedName>
    <definedName name="_xlnm.Print_Area" localSheetId="30">'NOTE 11'!$A$1:$I$31</definedName>
    <definedName name="_xlnm.Print_Area" localSheetId="31">'NOTE 12'!$A$1:$I$44</definedName>
    <definedName name="_xlnm.Print_Area" localSheetId="32">'NOTE 13'!$A$1:$M$34</definedName>
    <definedName name="_xlnm.Print_Area" localSheetId="33">'NOTE 14'!$A$1:$H$27</definedName>
    <definedName name="_xlnm.Print_Area" localSheetId="34">'NOTE 15A'!$A$1:$J$30</definedName>
    <definedName name="_xlnm.Print_Area" localSheetId="35">'NOTE 15B'!$A$1:$K$20</definedName>
    <definedName name="_xlnm.Print_Area" localSheetId="36">'NOTE 16A'!$A$1:$K$46</definedName>
    <definedName name="_xlnm.Print_Area" localSheetId="37">'NOTE 16B'!$A$1:$I$38</definedName>
    <definedName name="_xlnm.Print_Area" localSheetId="38">'NOTE 16B BIS'!$A$1:$I$25</definedName>
    <definedName name="_xlnm.Print_Area" localSheetId="39">'NOTE 16C'!$A$1:$H$30</definedName>
    <definedName name="_xlnm.Print_Area" localSheetId="40">'NOTE 17'!$A$1:$K$22</definedName>
    <definedName name="_xlnm.Print_Area" localSheetId="41">'NOTE 18'!$A$1:$K$25</definedName>
    <definedName name="_xlnm.Print_Area" localSheetId="42">'NOTE 19'!$A$1:$K$34</definedName>
    <definedName name="_xlnm.Print_Area" localSheetId="13">'NOTE 2'!$A$1:$I$20</definedName>
    <definedName name="_xlnm.Print_Area" localSheetId="43">'NOTE 20'!$A$1:$H$23</definedName>
    <definedName name="_xlnm.Print_Area" localSheetId="44">'NOTE 21'!$A$1:$H$51</definedName>
    <definedName name="_xlnm.Print_Area" localSheetId="45">'NOTE 22'!$A$1:$H$36</definedName>
    <definedName name="_xlnm.Print_Area" localSheetId="46">'NOTE 23'!$A$1:$H$18</definedName>
    <definedName name="_xlnm.Print_Area" localSheetId="47">'NOTE 24'!$A$1:$H$26</definedName>
    <definedName name="_xlnm.Print_Area" localSheetId="48">'NOTE 25'!$A$1:$H$17</definedName>
    <definedName name="_xlnm.Print_Area" localSheetId="49">'NOTE 26'!$A$1:$H$23</definedName>
    <definedName name="_xlnm.Print_Area" localSheetId="50">'NOTE 27A'!$A$1:$H$20</definedName>
    <definedName name="_xlnm.Print_Area" localSheetId="51">'NOTE 27B'!$A$1:$S$31</definedName>
    <definedName name="_xlnm.Print_Area" localSheetId="52">'NOTE 28'!$A$1:$L$31</definedName>
    <definedName name="_xlnm.Print_Area" localSheetId="53">'NOTE 29'!$A$1:$H$38</definedName>
    <definedName name="_xlnm.Print_Area" localSheetId="54">'NOTE 30'!$A$1:$H$42</definedName>
    <definedName name="_xlnm.Print_Area" localSheetId="55">'NOTE 31'!$A$1:$K$37</definedName>
    <definedName name="_xlnm.Print_Area" localSheetId="56">'NOTE 32'!$A$1:$P$31</definedName>
    <definedName name="_xlnm.Print_Area" localSheetId="57">'NOTE 33'!$A$1:$L$32</definedName>
    <definedName name="_xlnm.Print_Area" localSheetId="58">'NOTE 34'!$A$1:$H$65</definedName>
    <definedName name="_xlnm.Print_Area" localSheetId="59">'NOTE 35'!$A$1:$I$52</definedName>
    <definedName name="_xlnm.Print_Area" localSheetId="60">'NOTE 37'!$A$1:$I$31</definedName>
    <definedName name="_xlnm.Print_Area" localSheetId="61">'NOTE 38'!$A$1:$I$47</definedName>
    <definedName name="_xlnm.Print_Area" localSheetId="14">'NOTE 3A'!$A$1:$J$38</definedName>
    <definedName name="_xlnm.Print_Area" localSheetId="15">'NOTE 3B'!$A$1:$L$18</definedName>
    <definedName name="_xlnm.Print_Area" localSheetId="16">'NOTE 3C'!$A$1:$O$28</definedName>
    <definedName name="_xlnm.Print_Area" localSheetId="17">'NOTE 3C BIS'!$A$1:$K$26</definedName>
    <definedName name="_xlnm.Print_Area" localSheetId="18">'NOTE 3D'!$A$1:$H$26</definedName>
    <definedName name="_xlnm.Print_Area" localSheetId="19">'NOTE 3E'!$A$1:$I$23</definedName>
    <definedName name="_xlnm.Print_Area" localSheetId="20">'NOTE 4'!$A$1:$K$39</definedName>
    <definedName name="_xlnm.Print_Area" localSheetId="21">'NOTE 5'!$A$1:$I$29</definedName>
    <definedName name="_xlnm.Print_Area" localSheetId="22">'NOTE 6'!$A$1:$J$24</definedName>
    <definedName name="_xlnm.Print_Area" localSheetId="23">'NOTE 7'!$A$1:$J$28</definedName>
    <definedName name="_xlnm.Print_Area" localSheetId="24">'NOTE 8'!$A$1:$J$27</definedName>
    <definedName name="_xlnm.Print_Area" localSheetId="25">'NOTE 8A'!$A$1:$J$28</definedName>
    <definedName name="_xlnm.Print_Area" localSheetId="26">'NOTE 8B'!$A$1:$I$19</definedName>
    <definedName name="_xlnm.Print_Area" localSheetId="27">'NOTE 8C'!$A$1:$I$19</definedName>
    <definedName name="_xlnm.Print_Area" localSheetId="28">'NOTE 9'!$A$1:$I$23</definedName>
    <definedName name="_xlnm.Print_Area" localSheetId="3">'NOTE36 (TABLE DES CODES)'!$A$1:$J$46</definedName>
    <definedName name="_xlnm.Print_Area" localSheetId="62">'PAGE GARDE COMMENTAIRES'!$A$1:$M$53</definedName>
    <definedName name="_xlnm.Print_Area" localSheetId="9">RESULTAT!$A$1:$J$52</definedName>
    <definedName name="_xlnm.Print_Area" localSheetId="75">SUPPL10!$A$1:$H$26</definedName>
    <definedName name="_xlnm.Print_Area" localSheetId="77">SUPPL12!$A$1:$J$31</definedName>
    <definedName name="_xlnm.Print_Area" localSheetId="84">'SUPPL19 RESULTAT FISCAL'!$A$1:$H$39</definedName>
    <definedName name="_xlnm.Print_Area" localSheetId="68">'SUPPL3-TVA (1)'!$A$1:$H$28</definedName>
    <definedName name="_xlnm.Print_Area" localSheetId="70">SUPPL5!$A$1:$N$42</definedName>
    <definedName name="_xlnm.Print_Area" localSheetId="71">SUPPL6!$A$1:$J$31</definedName>
    <definedName name="_xlnm.Print_Area" localSheetId="72">SUPPL7!$A$1:$K$12</definedName>
    <definedName name="_xlnm.Print_Area" localSheetId="73">SUPPL8!$A$1:$N$40</definedName>
    <definedName name="_xlnm.Print_Area" localSheetId="74">SUPPL9!$A$1:$Q$15</definedName>
    <definedName name="_xlnm.Print_Area" localSheetId="10">TFT!$A$1:$J$42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00" l="1"/>
  <c r="G23" i="100"/>
  <c r="I12" i="100"/>
  <c r="J12" i="100"/>
  <c r="I13" i="100"/>
  <c r="J13" i="100"/>
  <c r="I14" i="100"/>
  <c r="J14" i="100"/>
  <c r="I15" i="100"/>
  <c r="J15" i="100"/>
  <c r="I16" i="100"/>
  <c r="J16" i="100"/>
  <c r="I17" i="100"/>
  <c r="J17" i="100"/>
  <c r="I18" i="100"/>
  <c r="J18" i="100"/>
  <c r="J31" i="108"/>
  <c r="I31" i="108"/>
  <c r="H31" i="108"/>
  <c r="C6" i="108"/>
  <c r="J5" i="108"/>
  <c r="F5" i="108"/>
  <c r="C5" i="108"/>
  <c r="H4" i="108"/>
  <c r="C4" i="108"/>
  <c r="D3" i="108"/>
  <c r="J21" i="106"/>
  <c r="I21" i="106"/>
  <c r="H21" i="106"/>
  <c r="C6" i="106"/>
  <c r="J5" i="106"/>
  <c r="F5" i="106"/>
  <c r="C5" i="106"/>
  <c r="H4" i="106"/>
  <c r="C4" i="106"/>
  <c r="D3" i="106"/>
  <c r="K19" i="105"/>
  <c r="J19" i="105"/>
  <c r="I19" i="105"/>
  <c r="E5" i="105"/>
  <c r="K4" i="105"/>
  <c r="H4" i="105"/>
  <c r="E4" i="105"/>
  <c r="J3" i="105"/>
  <c r="E3" i="105"/>
  <c r="E2" i="105"/>
  <c r="I20" i="104"/>
  <c r="C5" i="104"/>
  <c r="I4" i="104"/>
  <c r="F4" i="104"/>
  <c r="C4" i="104"/>
  <c r="I3" i="104"/>
  <c r="C3" i="104"/>
  <c r="C2" i="104"/>
  <c r="C6" i="103" l="1"/>
  <c r="I5" i="103"/>
  <c r="G5" i="103"/>
  <c r="C5" i="103"/>
  <c r="I4" i="103"/>
  <c r="C4" i="103"/>
  <c r="C3" i="103"/>
  <c r="C3" i="102"/>
  <c r="C4" i="102"/>
  <c r="K19" i="102"/>
  <c r="J19" i="102"/>
  <c r="B19" i="102"/>
  <c r="C5" i="102" l="1"/>
  <c r="J4" i="102"/>
  <c r="G4" i="102"/>
  <c r="J3" i="102"/>
  <c r="C2" i="102"/>
  <c r="K20" i="101"/>
  <c r="J20" i="101"/>
  <c r="D20" i="101"/>
  <c r="C6" i="101"/>
  <c r="J5" i="101"/>
  <c r="G5" i="101"/>
  <c r="B5" i="101"/>
  <c r="J4" i="101"/>
  <c r="B4" i="101"/>
  <c r="C3" i="101"/>
  <c r="J22" i="100"/>
  <c r="J11" i="100"/>
  <c r="I11" i="100"/>
  <c r="I23" i="100" s="1"/>
  <c r="C5" i="100"/>
  <c r="J4" i="100"/>
  <c r="H4" i="100"/>
  <c r="C4" i="100"/>
  <c r="J3" i="100"/>
  <c r="B3" i="100"/>
  <c r="C2" i="100"/>
  <c r="J23" i="100" l="1"/>
  <c r="I4" i="85"/>
  <c r="I5" i="85"/>
  <c r="C3" i="85"/>
  <c r="B4" i="85"/>
  <c r="C5" i="85"/>
  <c r="C6" i="85"/>
  <c r="G5" i="85"/>
  <c r="H31" i="97" l="1"/>
  <c r="H28" i="97"/>
  <c r="H25" i="97"/>
  <c r="H17" i="97"/>
  <c r="H23" i="97" s="1"/>
  <c r="H34" i="97" s="1"/>
  <c r="H36" i="97" s="1"/>
  <c r="H11" i="97"/>
  <c r="H40" i="69"/>
  <c r="H39" i="69"/>
  <c r="H34" i="52"/>
  <c r="H24" i="51"/>
  <c r="H13" i="47"/>
  <c r="H14" i="47"/>
  <c r="F27" i="42"/>
  <c r="H16" i="20"/>
  <c r="H17" i="20"/>
  <c r="F11" i="18"/>
  <c r="H11" i="18" s="1"/>
  <c r="F12" i="18"/>
  <c r="J143" i="92"/>
  <c r="J61" i="92"/>
  <c r="I143" i="92"/>
  <c r="I112" i="92"/>
  <c r="I61" i="92"/>
  <c r="C6" i="97"/>
  <c r="H5" i="97"/>
  <c r="F5" i="97"/>
  <c r="C5" i="97"/>
  <c r="H4" i="97"/>
  <c r="B4" i="97"/>
  <c r="C3" i="97"/>
  <c r="L15" i="50"/>
  <c r="L16" i="50"/>
  <c r="L17" i="50"/>
  <c r="L18" i="50"/>
  <c r="L19" i="50"/>
  <c r="L20" i="50"/>
  <c r="L21" i="50"/>
  <c r="L22" i="50"/>
  <c r="L23" i="50"/>
  <c r="L24" i="50"/>
  <c r="L25" i="50"/>
  <c r="L26" i="50"/>
  <c r="L27" i="50"/>
  <c r="F28" i="50"/>
  <c r="G28" i="50"/>
  <c r="H28" i="50"/>
  <c r="I28" i="50"/>
  <c r="J28" i="50"/>
  <c r="K28" i="50"/>
  <c r="E28" i="50"/>
  <c r="L28" i="50" s="1"/>
  <c r="E14" i="50"/>
  <c r="F14" i="50"/>
  <c r="F29" i="50" s="1"/>
  <c r="G14" i="50"/>
  <c r="G29" i="50" s="1"/>
  <c r="H14" i="50"/>
  <c r="H29" i="50" s="1"/>
  <c r="I14" i="50"/>
  <c r="I29" i="50" s="1"/>
  <c r="J14" i="50"/>
  <c r="J29" i="50" s="1"/>
  <c r="K14" i="50"/>
  <c r="K29" i="50" s="1"/>
  <c r="L13" i="50"/>
  <c r="L12" i="50"/>
  <c r="L11" i="50"/>
  <c r="I18" i="22"/>
  <c r="I10" i="22"/>
  <c r="I11" i="22"/>
  <c r="I12" i="22"/>
  <c r="I13" i="22"/>
  <c r="I14" i="22"/>
  <c r="I15" i="22"/>
  <c r="I16" i="22"/>
  <c r="I9" i="22"/>
  <c r="G45" i="13"/>
  <c r="I5" i="13"/>
  <c r="I5" i="75" s="1"/>
  <c r="K5" i="96"/>
  <c r="I4" i="13"/>
  <c r="K4" i="96" s="1"/>
  <c r="G5" i="13"/>
  <c r="G5" i="23" s="1"/>
  <c r="C6" i="13"/>
  <c r="C5" i="13"/>
  <c r="C5" i="21" s="1"/>
  <c r="C5" i="96"/>
  <c r="B4" i="13"/>
  <c r="B4" i="96" s="1"/>
  <c r="C3" i="13"/>
  <c r="J11" i="96"/>
  <c r="J12" i="96"/>
  <c r="J13" i="96"/>
  <c r="J14" i="96"/>
  <c r="J16" i="96"/>
  <c r="J17" i="96"/>
  <c r="J18" i="96"/>
  <c r="J19" i="96"/>
  <c r="J20" i="96"/>
  <c r="J21" i="96"/>
  <c r="J22" i="96"/>
  <c r="H15" i="96"/>
  <c r="H23" i="96"/>
  <c r="F15" i="96"/>
  <c r="F24" i="96" s="1"/>
  <c r="F23" i="96"/>
  <c r="D15" i="96"/>
  <c r="D23" i="96"/>
  <c r="D24" i="96" s="1"/>
  <c r="G17" i="48"/>
  <c r="F17" i="48"/>
  <c r="J23" i="17"/>
  <c r="L23" i="17"/>
  <c r="J15" i="17"/>
  <c r="L15" i="17"/>
  <c r="L24" i="17" s="1"/>
  <c r="N17" i="17"/>
  <c r="N18" i="17"/>
  <c r="N19" i="17"/>
  <c r="N20" i="17"/>
  <c r="N21" i="17"/>
  <c r="N22" i="17"/>
  <c r="N16" i="17"/>
  <c r="N12" i="17"/>
  <c r="N13" i="17"/>
  <c r="N14" i="17"/>
  <c r="N11" i="17"/>
  <c r="N21" i="8"/>
  <c r="N26" i="8" s="1"/>
  <c r="N25" i="8"/>
  <c r="M21" i="8"/>
  <c r="M25" i="8"/>
  <c r="F28" i="25"/>
  <c r="J37" i="12"/>
  <c r="J38" i="12" s="1"/>
  <c r="J39" i="12" s="1"/>
  <c r="J40" i="12" s="1"/>
  <c r="J32" i="12"/>
  <c r="J26" i="12"/>
  <c r="J19" i="12"/>
  <c r="E18" i="12"/>
  <c r="J49" i="11"/>
  <c r="J43" i="11"/>
  <c r="J32" i="11"/>
  <c r="J34" i="11" s="1"/>
  <c r="J37" i="11" s="1"/>
  <c r="J44" i="11" s="1"/>
  <c r="J52" i="11" s="1"/>
  <c r="J14" i="11"/>
  <c r="J18" i="11"/>
  <c r="K24" i="30"/>
  <c r="K23" i="30"/>
  <c r="K22" i="30"/>
  <c r="K21" i="30"/>
  <c r="K20" i="30"/>
  <c r="K19" i="30"/>
  <c r="K18" i="30"/>
  <c r="K17" i="30"/>
  <c r="K16" i="30"/>
  <c r="K15" i="30"/>
  <c r="K14" i="30"/>
  <c r="K13" i="30"/>
  <c r="K12" i="30"/>
  <c r="K11" i="30"/>
  <c r="K10" i="30"/>
  <c r="J25" i="15"/>
  <c r="J26" i="15"/>
  <c r="J221" i="92"/>
  <c r="J161" i="92"/>
  <c r="J162" i="92"/>
  <c r="J163" i="92"/>
  <c r="J164" i="92"/>
  <c r="J165" i="92"/>
  <c r="J166" i="92"/>
  <c r="J167" i="92"/>
  <c r="J168" i="92"/>
  <c r="J169" i="92"/>
  <c r="J170" i="92"/>
  <c r="J171" i="92"/>
  <c r="J172" i="92"/>
  <c r="J173" i="92"/>
  <c r="H174" i="92"/>
  <c r="G174" i="92"/>
  <c r="J174" i="92"/>
  <c r="J175" i="92"/>
  <c r="J176" i="92"/>
  <c r="J177" i="92"/>
  <c r="J178" i="92"/>
  <c r="J179" i="92"/>
  <c r="J180" i="92"/>
  <c r="J181" i="92"/>
  <c r="J182" i="92"/>
  <c r="J183" i="92"/>
  <c r="J184" i="92"/>
  <c r="J185" i="92"/>
  <c r="J186" i="92"/>
  <c r="J187" i="92"/>
  <c r="J188" i="92"/>
  <c r="J189" i="92"/>
  <c r="J190" i="92"/>
  <c r="H191" i="92"/>
  <c r="G191" i="92"/>
  <c r="J192" i="92"/>
  <c r="J193" i="92"/>
  <c r="J194" i="92"/>
  <c r="J195" i="92"/>
  <c r="J196" i="92"/>
  <c r="J197" i="92"/>
  <c r="J198" i="92"/>
  <c r="J199" i="92"/>
  <c r="J200" i="92"/>
  <c r="J201" i="92"/>
  <c r="J202" i="92"/>
  <c r="J203" i="92"/>
  <c r="J204" i="92"/>
  <c r="J205" i="92"/>
  <c r="J206" i="92"/>
  <c r="J207" i="92"/>
  <c r="J208" i="92"/>
  <c r="J209" i="92"/>
  <c r="J210" i="92"/>
  <c r="J211" i="92"/>
  <c r="J212" i="92"/>
  <c r="J213" i="92"/>
  <c r="J214" i="92"/>
  <c r="J215" i="92"/>
  <c r="J216" i="92"/>
  <c r="J217" i="92"/>
  <c r="J218" i="92"/>
  <c r="J219" i="92"/>
  <c r="J220" i="92"/>
  <c r="J160" i="92"/>
  <c r="J140" i="92"/>
  <c r="J141" i="92"/>
  <c r="J142" i="92"/>
  <c r="H144" i="92"/>
  <c r="G144" i="92"/>
  <c r="J145" i="92"/>
  <c r="J146" i="92"/>
  <c r="J147" i="92"/>
  <c r="J148" i="92"/>
  <c r="J114" i="92"/>
  <c r="J115" i="92"/>
  <c r="J116" i="92"/>
  <c r="J117" i="92"/>
  <c r="J118" i="92"/>
  <c r="J119" i="92"/>
  <c r="J120" i="92"/>
  <c r="J121" i="92"/>
  <c r="J122" i="92"/>
  <c r="J123" i="92"/>
  <c r="J124" i="92"/>
  <c r="J125" i="92"/>
  <c r="J126" i="92"/>
  <c r="J127" i="92"/>
  <c r="J128" i="92"/>
  <c r="J129" i="92"/>
  <c r="J130" i="92"/>
  <c r="J131" i="92"/>
  <c r="J132" i="92"/>
  <c r="J133" i="92"/>
  <c r="J134" i="92"/>
  <c r="J135" i="92"/>
  <c r="J136" i="92"/>
  <c r="J137" i="92"/>
  <c r="J138" i="92"/>
  <c r="J139" i="92"/>
  <c r="J86" i="92"/>
  <c r="J87" i="92"/>
  <c r="J88" i="92"/>
  <c r="J89" i="92"/>
  <c r="J90" i="92"/>
  <c r="J91" i="92"/>
  <c r="J92" i="92"/>
  <c r="J93" i="92"/>
  <c r="J94" i="92"/>
  <c r="J95" i="92"/>
  <c r="J96" i="92"/>
  <c r="J97" i="92"/>
  <c r="J98" i="92"/>
  <c r="J99" i="92"/>
  <c r="J100" i="92"/>
  <c r="J101" i="92"/>
  <c r="J102" i="92"/>
  <c r="J103" i="92"/>
  <c r="J104" i="92"/>
  <c r="J105" i="92"/>
  <c r="J106" i="92"/>
  <c r="J107" i="92"/>
  <c r="J108" i="92"/>
  <c r="J109" i="92"/>
  <c r="J110" i="92"/>
  <c r="J111" i="92"/>
  <c r="J113" i="92"/>
  <c r="J85" i="92"/>
  <c r="J12" i="92"/>
  <c r="J13" i="92"/>
  <c r="J14" i="92"/>
  <c r="J15" i="92"/>
  <c r="J16" i="92"/>
  <c r="H17" i="92"/>
  <c r="G17" i="92"/>
  <c r="J18" i="92"/>
  <c r="H19" i="92"/>
  <c r="J19" i="92" s="1"/>
  <c r="G19" i="92"/>
  <c r="J20" i="92"/>
  <c r="J21" i="92"/>
  <c r="J22" i="92"/>
  <c r="J23" i="92"/>
  <c r="J24" i="92"/>
  <c r="J25" i="92"/>
  <c r="H26" i="92"/>
  <c r="G26" i="92"/>
  <c r="J27" i="92"/>
  <c r="H28" i="92"/>
  <c r="G28" i="92"/>
  <c r="J29" i="92"/>
  <c r="J30" i="92"/>
  <c r="J31" i="92"/>
  <c r="J32" i="92"/>
  <c r="J33" i="92"/>
  <c r="J34" i="92"/>
  <c r="J35" i="92"/>
  <c r="J36" i="92"/>
  <c r="J37" i="92"/>
  <c r="J38" i="92"/>
  <c r="J39" i="92"/>
  <c r="J40" i="92"/>
  <c r="J41" i="92"/>
  <c r="J42" i="92"/>
  <c r="J43" i="92"/>
  <c r="J44" i="92"/>
  <c r="J45" i="92"/>
  <c r="J46" i="92"/>
  <c r="J47" i="92"/>
  <c r="J48" i="92"/>
  <c r="J49" i="92"/>
  <c r="J50" i="92"/>
  <c r="H51" i="92"/>
  <c r="G51" i="92"/>
  <c r="J51" i="92" s="1"/>
  <c r="J52" i="92"/>
  <c r="H53" i="92"/>
  <c r="G53" i="92"/>
  <c r="J53" i="92" s="1"/>
  <c r="J54" i="92"/>
  <c r="J55" i="92"/>
  <c r="J56" i="92"/>
  <c r="J57" i="92"/>
  <c r="J58" i="92"/>
  <c r="J59" i="92"/>
  <c r="J60" i="92"/>
  <c r="H62" i="92"/>
  <c r="G62" i="92"/>
  <c r="I62" i="92" s="1"/>
  <c r="J63" i="92"/>
  <c r="J64" i="92"/>
  <c r="J65" i="92"/>
  <c r="J66" i="92"/>
  <c r="J67" i="92"/>
  <c r="J68" i="92"/>
  <c r="J69" i="92"/>
  <c r="J70" i="92"/>
  <c r="J71" i="92"/>
  <c r="J72" i="92"/>
  <c r="J73" i="92"/>
  <c r="J11" i="92"/>
  <c r="H264" i="92"/>
  <c r="H238" i="92"/>
  <c r="H270" i="92"/>
  <c r="H273" i="92"/>
  <c r="J273" i="92" s="1"/>
  <c r="G264" i="92"/>
  <c r="I264" i="92" s="1"/>
  <c r="G238" i="92"/>
  <c r="G270" i="92"/>
  <c r="G273" i="92"/>
  <c r="I273" i="92" s="1"/>
  <c r="J250" i="92"/>
  <c r="J251" i="92"/>
  <c r="J252" i="92"/>
  <c r="J253" i="92"/>
  <c r="J254" i="92"/>
  <c r="J255" i="92"/>
  <c r="J256" i="92"/>
  <c r="J257" i="92"/>
  <c r="J258" i="92"/>
  <c r="J259" i="92"/>
  <c r="J260" i="92"/>
  <c r="J261" i="92"/>
  <c r="J262" i="92"/>
  <c r="J263" i="92"/>
  <c r="J265" i="92"/>
  <c r="J266" i="92"/>
  <c r="J267" i="92"/>
  <c r="J268" i="92"/>
  <c r="J269" i="92"/>
  <c r="J271" i="92"/>
  <c r="J272" i="92"/>
  <c r="J240" i="92"/>
  <c r="J241" i="92"/>
  <c r="J242" i="92"/>
  <c r="J243" i="92"/>
  <c r="J244" i="92"/>
  <c r="J245" i="92"/>
  <c r="J246" i="92"/>
  <c r="J247" i="92"/>
  <c r="J248" i="92"/>
  <c r="J249" i="92"/>
  <c r="J239" i="92"/>
  <c r="J234" i="92"/>
  <c r="J235" i="92"/>
  <c r="J236" i="92"/>
  <c r="J237" i="92"/>
  <c r="J233" i="92"/>
  <c r="H63" i="69"/>
  <c r="G64" i="69"/>
  <c r="F64" i="69"/>
  <c r="H62" i="69"/>
  <c r="H58" i="69"/>
  <c r="H59" i="69"/>
  <c r="G60" i="69"/>
  <c r="F60" i="69"/>
  <c r="H57" i="69"/>
  <c r="H43" i="69"/>
  <c r="G44" i="69"/>
  <c r="F44" i="69"/>
  <c r="H44" i="69"/>
  <c r="H45" i="69"/>
  <c r="G46" i="69"/>
  <c r="F46" i="69"/>
  <c r="H46" i="69"/>
  <c r="H47" i="69"/>
  <c r="H48" i="69"/>
  <c r="G49" i="69"/>
  <c r="F49" i="69"/>
  <c r="H50" i="69"/>
  <c r="H51" i="69"/>
  <c r="G52" i="69"/>
  <c r="F52" i="69"/>
  <c r="H55" i="69"/>
  <c r="H42" i="69"/>
  <c r="G21" i="69"/>
  <c r="G24" i="69"/>
  <c r="F21" i="69"/>
  <c r="F24" i="69" s="1"/>
  <c r="F35" i="69" s="1"/>
  <c r="F37" i="69" s="1"/>
  <c r="H36" i="69"/>
  <c r="H12" i="69"/>
  <c r="H13" i="69"/>
  <c r="H14" i="69"/>
  <c r="H15" i="69"/>
  <c r="H16" i="69"/>
  <c r="H17" i="69"/>
  <c r="H18" i="69"/>
  <c r="H19" i="69"/>
  <c r="H11" i="69"/>
  <c r="H24" i="52"/>
  <c r="H25" i="52"/>
  <c r="H26" i="52"/>
  <c r="H27" i="52"/>
  <c r="H28" i="52"/>
  <c r="H29" i="52"/>
  <c r="H30" i="52"/>
  <c r="H31" i="52"/>
  <c r="H32" i="52"/>
  <c r="H33" i="52"/>
  <c r="H35" i="52"/>
  <c r="H36" i="52"/>
  <c r="H37" i="52"/>
  <c r="H38" i="52"/>
  <c r="H10" i="52"/>
  <c r="H11" i="52"/>
  <c r="H12" i="52"/>
  <c r="H13" i="52"/>
  <c r="H14" i="52"/>
  <c r="H15" i="52"/>
  <c r="H16" i="52"/>
  <c r="H17" i="52"/>
  <c r="H18" i="52"/>
  <c r="H19" i="52"/>
  <c r="H20" i="52"/>
  <c r="H21" i="52"/>
  <c r="H22" i="52"/>
  <c r="H9" i="52"/>
  <c r="H10" i="51"/>
  <c r="H11" i="51"/>
  <c r="H12" i="51"/>
  <c r="H13" i="51"/>
  <c r="H14" i="51"/>
  <c r="H15" i="51"/>
  <c r="H16" i="51"/>
  <c r="H17" i="51"/>
  <c r="H18" i="51"/>
  <c r="G19" i="51"/>
  <c r="F19" i="51"/>
  <c r="H20" i="51"/>
  <c r="H21" i="51"/>
  <c r="H22" i="51"/>
  <c r="H23" i="51"/>
  <c r="H25" i="51"/>
  <c r="H26" i="51"/>
  <c r="H27" i="51"/>
  <c r="H28" i="51"/>
  <c r="G29" i="51"/>
  <c r="F29" i="51"/>
  <c r="F30" i="51" s="1"/>
  <c r="H9" i="51"/>
  <c r="H10" i="48"/>
  <c r="H11" i="48"/>
  <c r="H12" i="48"/>
  <c r="H13" i="48"/>
  <c r="H14" i="48"/>
  <c r="H15" i="48"/>
  <c r="H16" i="48"/>
  <c r="H9" i="48"/>
  <c r="H10" i="47"/>
  <c r="H11" i="47"/>
  <c r="H12" i="47"/>
  <c r="H15" i="47"/>
  <c r="H16" i="47"/>
  <c r="H17" i="47"/>
  <c r="H18" i="47"/>
  <c r="H9" i="47"/>
  <c r="H10" i="46"/>
  <c r="H11" i="46"/>
  <c r="H12" i="46"/>
  <c r="H13" i="46"/>
  <c r="H9" i="46"/>
  <c r="H10" i="45"/>
  <c r="H11" i="45"/>
  <c r="H12" i="45"/>
  <c r="H13" i="45"/>
  <c r="H14" i="45"/>
  <c r="H15" i="45"/>
  <c r="H16" i="45"/>
  <c r="H17" i="45"/>
  <c r="H18" i="45"/>
  <c r="H19" i="45"/>
  <c r="H20" i="45"/>
  <c r="H21" i="45"/>
  <c r="H23" i="45"/>
  <c r="H9" i="45"/>
  <c r="H10" i="44"/>
  <c r="H11" i="44"/>
  <c r="H12" i="44"/>
  <c r="H13" i="44"/>
  <c r="H14" i="44"/>
  <c r="H15" i="44"/>
  <c r="H9" i="44"/>
  <c r="H10" i="43"/>
  <c r="H11" i="43"/>
  <c r="H12" i="43"/>
  <c r="H13" i="43"/>
  <c r="H14" i="43"/>
  <c r="H15" i="43"/>
  <c r="H16" i="43"/>
  <c r="H17" i="43"/>
  <c r="H19" i="43"/>
  <c r="H20" i="43"/>
  <c r="H21" i="43"/>
  <c r="H22" i="43"/>
  <c r="H23" i="43"/>
  <c r="H24" i="43"/>
  <c r="H25" i="43"/>
  <c r="H26" i="43"/>
  <c r="H27" i="43"/>
  <c r="H28" i="43"/>
  <c r="H29" i="43"/>
  <c r="H30" i="43"/>
  <c r="H31" i="43"/>
  <c r="H32" i="43"/>
  <c r="H9" i="43"/>
  <c r="H10" i="42"/>
  <c r="H11" i="42"/>
  <c r="H12" i="42"/>
  <c r="H13" i="42"/>
  <c r="H15" i="42"/>
  <c r="H16" i="42"/>
  <c r="H17" i="42"/>
  <c r="H18" i="42"/>
  <c r="H19" i="42"/>
  <c r="H21" i="42"/>
  <c r="H22" i="42"/>
  <c r="H23" i="42"/>
  <c r="H24" i="42"/>
  <c r="H25" i="42"/>
  <c r="G27" i="42"/>
  <c r="H28" i="42"/>
  <c r="H29" i="42"/>
  <c r="H30" i="42"/>
  <c r="H31" i="42"/>
  <c r="H32" i="42"/>
  <c r="H33" i="42"/>
  <c r="H34" i="42"/>
  <c r="H35" i="42"/>
  <c r="H37" i="42"/>
  <c r="H38" i="42"/>
  <c r="H39" i="42"/>
  <c r="H9" i="42"/>
  <c r="H10" i="41"/>
  <c r="H12" i="41"/>
  <c r="H13" i="41"/>
  <c r="H14" i="41"/>
  <c r="H15" i="41"/>
  <c r="H9" i="41"/>
  <c r="H10" i="40"/>
  <c r="H11" i="40"/>
  <c r="H12" i="40"/>
  <c r="H13" i="40"/>
  <c r="H14" i="40"/>
  <c r="H16" i="40"/>
  <c r="H17" i="40"/>
  <c r="H18" i="40"/>
  <c r="H19" i="40"/>
  <c r="H20" i="40"/>
  <c r="H21" i="40"/>
  <c r="H22" i="40"/>
  <c r="H24" i="40"/>
  <c r="H25" i="40"/>
  <c r="H26" i="40"/>
  <c r="H29" i="40"/>
  <c r="H9" i="40"/>
  <c r="H10" i="39"/>
  <c r="H11" i="39"/>
  <c r="H12" i="39"/>
  <c r="H13" i="39"/>
  <c r="H14" i="39"/>
  <c r="H16" i="39"/>
  <c r="H17" i="39"/>
  <c r="H18" i="39"/>
  <c r="H19" i="39"/>
  <c r="H20" i="39"/>
  <c r="H9" i="39"/>
  <c r="H10" i="38"/>
  <c r="H11" i="38"/>
  <c r="H12" i="38"/>
  <c r="H13" i="38"/>
  <c r="H15" i="38"/>
  <c r="H16" i="38"/>
  <c r="H17" i="38"/>
  <c r="H9" i="38"/>
  <c r="H10" i="34"/>
  <c r="H11" i="34"/>
  <c r="H12" i="34"/>
  <c r="H13" i="34"/>
  <c r="H14" i="34"/>
  <c r="H15" i="34"/>
  <c r="H16" i="34"/>
  <c r="H17" i="34"/>
  <c r="H18" i="34"/>
  <c r="F19" i="34"/>
  <c r="H19" i="34" s="1"/>
  <c r="E19" i="34"/>
  <c r="H20" i="34"/>
  <c r="H21" i="34"/>
  <c r="H22" i="34"/>
  <c r="H23" i="34"/>
  <c r="H24" i="34"/>
  <c r="F25" i="34"/>
  <c r="E25" i="34"/>
  <c r="H26" i="34"/>
  <c r="H27" i="34"/>
  <c r="H28" i="34"/>
  <c r="H29" i="34"/>
  <c r="H30" i="34"/>
  <c r="H31" i="34"/>
  <c r="H32" i="34"/>
  <c r="H33" i="34"/>
  <c r="H34" i="34"/>
  <c r="H35" i="34"/>
  <c r="H36" i="34"/>
  <c r="H37" i="34"/>
  <c r="H38" i="34"/>
  <c r="H9" i="34"/>
  <c r="J10" i="33"/>
  <c r="J11" i="33"/>
  <c r="J12" i="33"/>
  <c r="J13" i="33"/>
  <c r="H14" i="33"/>
  <c r="G14" i="33"/>
  <c r="J9" i="33"/>
  <c r="H10" i="32"/>
  <c r="H11" i="32"/>
  <c r="H12" i="32"/>
  <c r="H13" i="32"/>
  <c r="H14" i="32"/>
  <c r="H15" i="32"/>
  <c r="H16" i="32"/>
  <c r="E17" i="32"/>
  <c r="H18" i="32"/>
  <c r="H19" i="32"/>
  <c r="H20" i="32"/>
  <c r="H21" i="32"/>
  <c r="H22" i="32"/>
  <c r="H23" i="32"/>
  <c r="H24" i="32"/>
  <c r="H9" i="32"/>
  <c r="I10" i="28"/>
  <c r="I11" i="28"/>
  <c r="I12" i="28"/>
  <c r="I13" i="28"/>
  <c r="I14" i="28"/>
  <c r="I15" i="28"/>
  <c r="I16" i="28"/>
  <c r="I17" i="28"/>
  <c r="I18" i="28"/>
  <c r="I19" i="28"/>
  <c r="I20" i="28"/>
  <c r="I22" i="28"/>
  <c r="I9" i="28"/>
  <c r="I10" i="27"/>
  <c r="I11" i="27"/>
  <c r="I12" i="27"/>
  <c r="I13" i="27"/>
  <c r="I14" i="27"/>
  <c r="I16" i="27"/>
  <c r="I9" i="27"/>
  <c r="I10" i="26"/>
  <c r="I11" i="26"/>
  <c r="I12" i="26"/>
  <c r="I13" i="26"/>
  <c r="I14" i="26"/>
  <c r="I15" i="26"/>
  <c r="E16" i="26"/>
  <c r="E18" i="26" s="1"/>
  <c r="I17" i="26"/>
  <c r="I9" i="26"/>
  <c r="G20" i="24"/>
  <c r="G10" i="24"/>
  <c r="G11" i="24"/>
  <c r="G12" i="24"/>
  <c r="G13" i="24"/>
  <c r="G14" i="24"/>
  <c r="G15" i="24"/>
  <c r="G16" i="24"/>
  <c r="G17" i="24"/>
  <c r="G18" i="24"/>
  <c r="G9" i="24"/>
  <c r="G10" i="23"/>
  <c r="G11" i="23"/>
  <c r="G12" i="23"/>
  <c r="G13" i="23"/>
  <c r="G14" i="23"/>
  <c r="G15" i="23"/>
  <c r="G16" i="23"/>
  <c r="G18" i="23"/>
  <c r="G20" i="23"/>
  <c r="G21" i="23"/>
  <c r="G22" i="23"/>
  <c r="G23" i="23"/>
  <c r="G9" i="23"/>
  <c r="J10" i="22"/>
  <c r="J11" i="22"/>
  <c r="J12" i="22"/>
  <c r="J13" i="22"/>
  <c r="J14" i="22"/>
  <c r="J15" i="22"/>
  <c r="J16" i="22"/>
  <c r="J18" i="22"/>
  <c r="J9" i="22"/>
  <c r="I23" i="21"/>
  <c r="I24" i="21"/>
  <c r="I25" i="21"/>
  <c r="I22" i="21"/>
  <c r="I10" i="21"/>
  <c r="I11" i="21"/>
  <c r="I13" i="21"/>
  <c r="H20" i="20"/>
  <c r="H19" i="20"/>
  <c r="H10" i="20"/>
  <c r="H11" i="20"/>
  <c r="H12" i="20"/>
  <c r="H13" i="20"/>
  <c r="H14" i="20"/>
  <c r="H15" i="20"/>
  <c r="H9" i="20"/>
  <c r="P15" i="64"/>
  <c r="J4" i="92"/>
  <c r="J226" i="92" s="1"/>
  <c r="J3" i="92"/>
  <c r="J152" i="92" s="1"/>
  <c r="H4" i="92"/>
  <c r="H226" i="92" s="1"/>
  <c r="C5" i="92"/>
  <c r="C227" i="92" s="1"/>
  <c r="C4" i="92"/>
  <c r="C226" i="92" s="1"/>
  <c r="B3" i="92"/>
  <c r="B152" i="92" s="1"/>
  <c r="C2" i="92"/>
  <c r="C151" i="92" s="1"/>
  <c r="J274" i="92"/>
  <c r="I272" i="92"/>
  <c r="I271" i="92"/>
  <c r="I269" i="92"/>
  <c r="I268" i="92"/>
  <c r="I267" i="92"/>
  <c r="I266" i="92"/>
  <c r="I265" i="92"/>
  <c r="I263" i="92"/>
  <c r="I262" i="92"/>
  <c r="I261" i="92"/>
  <c r="I260" i="92"/>
  <c r="I259" i="92"/>
  <c r="I258" i="92"/>
  <c r="I257" i="92"/>
  <c r="I256" i="92"/>
  <c r="I255" i="92"/>
  <c r="I254" i="92"/>
  <c r="I253" i="92"/>
  <c r="I252" i="92"/>
  <c r="I251" i="92"/>
  <c r="I250" i="92"/>
  <c r="I249" i="92"/>
  <c r="I248" i="92"/>
  <c r="I247" i="92"/>
  <c r="I246" i="92"/>
  <c r="I245" i="92"/>
  <c r="I244" i="92"/>
  <c r="I243" i="92"/>
  <c r="I242" i="92"/>
  <c r="I241" i="92"/>
  <c r="I240" i="92"/>
  <c r="I239" i="92"/>
  <c r="I237" i="92"/>
  <c r="I236" i="92"/>
  <c r="I235" i="92"/>
  <c r="I234" i="92"/>
  <c r="I233" i="92"/>
  <c r="I221" i="92"/>
  <c r="I220" i="92"/>
  <c r="I219" i="92"/>
  <c r="I218" i="92"/>
  <c r="I217" i="92"/>
  <c r="I216" i="92"/>
  <c r="I215" i="92"/>
  <c r="I214" i="92"/>
  <c r="I213" i="92"/>
  <c r="I212" i="92"/>
  <c r="I211" i="92"/>
  <c r="I210" i="92"/>
  <c r="I209" i="92"/>
  <c r="I208" i="92"/>
  <c r="I207" i="92"/>
  <c r="I206" i="92"/>
  <c r="I205" i="92"/>
  <c r="I204" i="92"/>
  <c r="I203" i="92"/>
  <c r="I202" i="92"/>
  <c r="I201" i="92"/>
  <c r="I200" i="92"/>
  <c r="I199" i="92"/>
  <c r="I198" i="92"/>
  <c r="I197" i="92"/>
  <c r="I196" i="92"/>
  <c r="I195" i="92"/>
  <c r="I194" i="92"/>
  <c r="I193" i="92"/>
  <c r="I192" i="92"/>
  <c r="I190" i="92"/>
  <c r="I189" i="92"/>
  <c r="I188" i="92"/>
  <c r="I187" i="92"/>
  <c r="I186" i="92"/>
  <c r="I185" i="92"/>
  <c r="I184" i="92"/>
  <c r="I183" i="92"/>
  <c r="I182" i="92"/>
  <c r="I181" i="92"/>
  <c r="I180" i="92"/>
  <c r="I179" i="92"/>
  <c r="I178" i="92"/>
  <c r="I177" i="92"/>
  <c r="I176" i="92"/>
  <c r="I175" i="92"/>
  <c r="I174" i="92"/>
  <c r="I173" i="92"/>
  <c r="I172" i="92"/>
  <c r="I171" i="92"/>
  <c r="I170" i="92"/>
  <c r="I169" i="92"/>
  <c r="I168" i="92"/>
  <c r="I167" i="92"/>
  <c r="I166" i="92"/>
  <c r="I165" i="92"/>
  <c r="I164" i="92"/>
  <c r="I163" i="92"/>
  <c r="I162" i="92"/>
  <c r="I161" i="92"/>
  <c r="I160" i="92"/>
  <c r="I148" i="92"/>
  <c r="I147" i="92"/>
  <c r="I146" i="92"/>
  <c r="I145" i="92"/>
  <c r="I142" i="92"/>
  <c r="I141" i="92"/>
  <c r="I140" i="92"/>
  <c r="I139" i="92"/>
  <c r="I138" i="92"/>
  <c r="I137" i="92"/>
  <c r="I136" i="92"/>
  <c r="I135" i="92"/>
  <c r="I134" i="92"/>
  <c r="I133" i="92"/>
  <c r="I132" i="92"/>
  <c r="I131" i="92"/>
  <c r="I130" i="92"/>
  <c r="I129" i="92"/>
  <c r="I128" i="92"/>
  <c r="I127" i="92"/>
  <c r="I126" i="92"/>
  <c r="I125" i="92"/>
  <c r="I124" i="92"/>
  <c r="I123" i="92"/>
  <c r="I122" i="92"/>
  <c r="I121" i="92"/>
  <c r="I120" i="92"/>
  <c r="I119" i="92"/>
  <c r="I118" i="92"/>
  <c r="I117" i="92"/>
  <c r="I116" i="92"/>
  <c r="I115" i="92"/>
  <c r="I114" i="92"/>
  <c r="I113" i="92"/>
  <c r="I111" i="92"/>
  <c r="I110" i="92"/>
  <c r="I109" i="92"/>
  <c r="I108" i="92"/>
  <c r="I107" i="92"/>
  <c r="I106" i="92"/>
  <c r="I105" i="92"/>
  <c r="I104" i="92"/>
  <c r="I103" i="92"/>
  <c r="I102" i="92"/>
  <c r="I101" i="92"/>
  <c r="I100" i="92"/>
  <c r="I99" i="92"/>
  <c r="I98" i="92"/>
  <c r="I97" i="92"/>
  <c r="I96" i="92"/>
  <c r="I95" i="92"/>
  <c r="I94" i="92"/>
  <c r="I93" i="92"/>
  <c r="I92" i="92"/>
  <c r="I91" i="92"/>
  <c r="I90" i="92"/>
  <c r="I89" i="92"/>
  <c r="I88" i="92"/>
  <c r="I87" i="92"/>
  <c r="I86" i="92"/>
  <c r="I85" i="92"/>
  <c r="I73" i="92"/>
  <c r="I72" i="92"/>
  <c r="I71" i="92"/>
  <c r="I70" i="92"/>
  <c r="I69" i="92"/>
  <c r="I68" i="92"/>
  <c r="I67" i="92"/>
  <c r="I66" i="92"/>
  <c r="I65" i="92"/>
  <c r="I64" i="92"/>
  <c r="I63" i="92"/>
  <c r="I60" i="92"/>
  <c r="I59" i="92"/>
  <c r="I58" i="92"/>
  <c r="I57" i="92"/>
  <c r="I56" i="92"/>
  <c r="I55" i="92"/>
  <c r="I54" i="92"/>
  <c r="I52" i="92"/>
  <c r="I50" i="92"/>
  <c r="I49" i="92"/>
  <c r="I48" i="92"/>
  <c r="I47" i="92"/>
  <c r="I46" i="92"/>
  <c r="I45" i="92"/>
  <c r="I44" i="92"/>
  <c r="I43" i="92"/>
  <c r="I42" i="92"/>
  <c r="I41" i="92"/>
  <c r="I40" i="92"/>
  <c r="I39" i="92"/>
  <c r="I38" i="92"/>
  <c r="I37" i="92"/>
  <c r="I36" i="92"/>
  <c r="I35" i="92"/>
  <c r="I34" i="92"/>
  <c r="I33" i="92"/>
  <c r="I32" i="92"/>
  <c r="I31" i="92"/>
  <c r="I30" i="92"/>
  <c r="I29" i="92"/>
  <c r="I27" i="92"/>
  <c r="I25" i="92"/>
  <c r="I24" i="92"/>
  <c r="I23" i="92"/>
  <c r="I22" i="92"/>
  <c r="I21" i="92"/>
  <c r="I20" i="92"/>
  <c r="I18" i="92"/>
  <c r="I16" i="92"/>
  <c r="I15" i="92"/>
  <c r="I14" i="92"/>
  <c r="I13" i="92"/>
  <c r="I12" i="92"/>
  <c r="I11" i="92"/>
  <c r="I53" i="92"/>
  <c r="I191" i="92"/>
  <c r="H4" i="44"/>
  <c r="H5" i="44"/>
  <c r="F5" i="44"/>
  <c r="C6" i="44"/>
  <c r="C5" i="44"/>
  <c r="B4" i="44"/>
  <c r="C6" i="45"/>
  <c r="C5" i="45"/>
  <c r="C6" i="46"/>
  <c r="D3" i="49"/>
  <c r="C3" i="41"/>
  <c r="C3" i="48" s="1"/>
  <c r="C3" i="47"/>
  <c r="C3" i="46"/>
  <c r="C3" i="45"/>
  <c r="C3" i="44"/>
  <c r="H5" i="43"/>
  <c r="H4" i="43"/>
  <c r="F5" i="43"/>
  <c r="C6" i="43"/>
  <c r="C5" i="43"/>
  <c r="B4" i="43"/>
  <c r="C3" i="43"/>
  <c r="J4" i="12"/>
  <c r="J5" i="12"/>
  <c r="F5" i="12"/>
  <c r="C6" i="12"/>
  <c r="C5" i="12"/>
  <c r="C4" i="12"/>
  <c r="C3" i="12"/>
  <c r="J5" i="11"/>
  <c r="J4" i="11"/>
  <c r="F5" i="11"/>
  <c r="C5" i="11"/>
  <c r="C4" i="11"/>
  <c r="C3" i="11"/>
  <c r="C18" i="12"/>
  <c r="C36" i="68"/>
  <c r="C49" i="68" s="1"/>
  <c r="C65" i="68" s="1"/>
  <c r="C81" i="68" s="1"/>
  <c r="C97" i="68" s="1"/>
  <c r="C112" i="68" s="1"/>
  <c r="C127" i="68" s="1"/>
  <c r="C19" i="68"/>
  <c r="C20" i="68"/>
  <c r="G18" i="68"/>
  <c r="I5" i="73"/>
  <c r="H5" i="65"/>
  <c r="P5" i="64"/>
  <c r="M5" i="63"/>
  <c r="K5" i="62"/>
  <c r="J5" i="61"/>
  <c r="N5" i="60"/>
  <c r="I4" i="73"/>
  <c r="H4" i="65"/>
  <c r="P4" i="64"/>
  <c r="M4" i="63"/>
  <c r="K4" i="62"/>
  <c r="J4" i="61"/>
  <c r="M4" i="60"/>
  <c r="F5" i="73"/>
  <c r="F5" i="65"/>
  <c r="K5" i="64"/>
  <c r="I5" i="63"/>
  <c r="H5" i="62"/>
  <c r="H5" i="61"/>
  <c r="J5" i="60"/>
  <c r="C6" i="73"/>
  <c r="C6" i="65"/>
  <c r="C6" i="64"/>
  <c r="C6" i="63"/>
  <c r="C6" i="62"/>
  <c r="C6" i="61"/>
  <c r="B6" i="60"/>
  <c r="C5" i="73"/>
  <c r="C5" i="65"/>
  <c r="C5" i="64"/>
  <c r="C5" i="63"/>
  <c r="C5" i="62"/>
  <c r="C5" i="61"/>
  <c r="B5" i="60"/>
  <c r="B4" i="73"/>
  <c r="B4" i="65"/>
  <c r="B4" i="64"/>
  <c r="B4" i="63"/>
  <c r="B4" i="62"/>
  <c r="B4" i="61"/>
  <c r="B4" i="60"/>
  <c r="C3" i="73"/>
  <c r="C3" i="65"/>
  <c r="C3" i="64"/>
  <c r="C3" i="63"/>
  <c r="C3" i="62"/>
  <c r="C3" i="61"/>
  <c r="B3" i="60"/>
  <c r="C5" i="83"/>
  <c r="H4" i="83"/>
  <c r="F4" i="83"/>
  <c r="C4" i="83"/>
  <c r="H3" i="83"/>
  <c r="B3" i="72"/>
  <c r="B3" i="83"/>
  <c r="C2" i="83"/>
  <c r="H4" i="72"/>
  <c r="F4" i="72"/>
  <c r="C5" i="72"/>
  <c r="C4" i="72"/>
  <c r="C2" i="72"/>
  <c r="H3" i="72"/>
  <c r="G18" i="38"/>
  <c r="F18" i="38"/>
  <c r="H18" i="38" s="1"/>
  <c r="G14" i="38"/>
  <c r="F14" i="38"/>
  <c r="F39" i="34"/>
  <c r="E39" i="34"/>
  <c r="H39" i="34" s="1"/>
  <c r="G25" i="34"/>
  <c r="F25" i="32"/>
  <c r="H25" i="32" s="1"/>
  <c r="E25" i="32"/>
  <c r="G25" i="32" s="1"/>
  <c r="G17" i="32"/>
  <c r="F17" i="32"/>
  <c r="H17" i="32" s="1"/>
  <c r="I36" i="29"/>
  <c r="I37" i="29"/>
  <c r="I38" i="29"/>
  <c r="I39" i="29"/>
  <c r="I40" i="29"/>
  <c r="I41" i="29"/>
  <c r="I42" i="29"/>
  <c r="I30" i="29"/>
  <c r="I31" i="29"/>
  <c r="I32" i="29"/>
  <c r="I33" i="29"/>
  <c r="I34" i="29"/>
  <c r="I29" i="29"/>
  <c r="E23" i="28"/>
  <c r="G21" i="28"/>
  <c r="I21" i="28" s="1"/>
  <c r="E21" i="28"/>
  <c r="G15" i="27"/>
  <c r="G17" i="27" s="1"/>
  <c r="E15" i="27"/>
  <c r="E17" i="27" s="1"/>
  <c r="G16" i="26"/>
  <c r="F19" i="24"/>
  <c r="F21" i="24" s="1"/>
  <c r="E19" i="24"/>
  <c r="E21" i="24" s="1"/>
  <c r="F23" i="23"/>
  <c r="E23" i="23"/>
  <c r="F17" i="23"/>
  <c r="F19" i="23"/>
  <c r="G19" i="23" s="1"/>
  <c r="E17" i="23"/>
  <c r="G17" i="22"/>
  <c r="E17" i="22"/>
  <c r="I17" i="22" s="1"/>
  <c r="G26" i="21"/>
  <c r="I26" i="21" s="1"/>
  <c r="E26" i="21"/>
  <c r="G18" i="43"/>
  <c r="F18" i="43"/>
  <c r="G13" i="43"/>
  <c r="F13" i="43"/>
  <c r="G40" i="42"/>
  <c r="F40" i="42"/>
  <c r="F26" i="42"/>
  <c r="G20" i="42"/>
  <c r="F20" i="42"/>
  <c r="G26" i="42"/>
  <c r="H26" i="42" s="1"/>
  <c r="G14" i="42"/>
  <c r="H14" i="42" s="1"/>
  <c r="F14" i="42"/>
  <c r="G17" i="41"/>
  <c r="F17" i="41"/>
  <c r="G11" i="41"/>
  <c r="H11" i="41" s="1"/>
  <c r="F11" i="41"/>
  <c r="F27" i="40"/>
  <c r="F23" i="40"/>
  <c r="H23" i="40" s="1"/>
  <c r="E23" i="40"/>
  <c r="J15" i="40"/>
  <c r="K15" i="40"/>
  <c r="I15" i="40"/>
  <c r="G10" i="40"/>
  <c r="G11" i="40"/>
  <c r="G12" i="40"/>
  <c r="G13" i="40"/>
  <c r="G14" i="40"/>
  <c r="G9" i="40"/>
  <c r="F15" i="40"/>
  <c r="E15" i="40"/>
  <c r="G25" i="40"/>
  <c r="G26" i="40"/>
  <c r="G24" i="40"/>
  <c r="G27" i="40" s="1"/>
  <c r="G17" i="40"/>
  <c r="G18" i="40"/>
  <c r="G19" i="40"/>
  <c r="G20" i="40"/>
  <c r="G21" i="40"/>
  <c r="G22" i="40"/>
  <c r="G16" i="40"/>
  <c r="G23" i="40" s="1"/>
  <c r="K27" i="40"/>
  <c r="J27" i="40"/>
  <c r="I27" i="40"/>
  <c r="K23" i="40"/>
  <c r="K28" i="40" s="1"/>
  <c r="J23" i="40"/>
  <c r="I23" i="40"/>
  <c r="E27" i="40"/>
  <c r="E28" i="40" s="1"/>
  <c r="G29" i="40"/>
  <c r="F21" i="39"/>
  <c r="E21" i="39"/>
  <c r="F15" i="39"/>
  <c r="E15" i="39"/>
  <c r="E22" i="39" s="1"/>
  <c r="J21" i="39"/>
  <c r="K21" i="39"/>
  <c r="I21" i="39"/>
  <c r="J15" i="39"/>
  <c r="J22" i="39" s="1"/>
  <c r="K15" i="39"/>
  <c r="K22" i="39" s="1"/>
  <c r="I15" i="39"/>
  <c r="I22" i="39" s="1"/>
  <c r="G9" i="39"/>
  <c r="G10" i="39"/>
  <c r="G11" i="39"/>
  <c r="G12" i="39"/>
  <c r="G13" i="39"/>
  <c r="G14" i="39"/>
  <c r="G16" i="39"/>
  <c r="G17" i="39"/>
  <c r="G18" i="39"/>
  <c r="G19" i="39"/>
  <c r="G20" i="39"/>
  <c r="H22" i="31"/>
  <c r="H16" i="31"/>
  <c r="H17" i="31"/>
  <c r="H18" i="31"/>
  <c r="H19" i="31"/>
  <c r="H10" i="31"/>
  <c r="H11" i="31"/>
  <c r="H12" i="31"/>
  <c r="H13" i="31"/>
  <c r="E19" i="23"/>
  <c r="G17" i="23"/>
  <c r="G27" i="34"/>
  <c r="G28" i="34"/>
  <c r="G29" i="34"/>
  <c r="G30" i="34"/>
  <c r="G31" i="34"/>
  <c r="G32" i="34"/>
  <c r="G33" i="34"/>
  <c r="G34" i="34"/>
  <c r="G35" i="34"/>
  <c r="G36" i="34"/>
  <c r="G37" i="34"/>
  <c r="G38" i="34"/>
  <c r="G26" i="34"/>
  <c r="G24" i="34"/>
  <c r="G23" i="34"/>
  <c r="G22" i="34"/>
  <c r="G21" i="34"/>
  <c r="G20" i="34"/>
  <c r="G10" i="34"/>
  <c r="G11" i="34"/>
  <c r="G12" i="34"/>
  <c r="G13" i="34"/>
  <c r="G14" i="34"/>
  <c r="G15" i="34"/>
  <c r="G16" i="34"/>
  <c r="G17" i="34"/>
  <c r="G18" i="34"/>
  <c r="G9" i="34"/>
  <c r="I10" i="33"/>
  <c r="I11" i="33"/>
  <c r="I12" i="33"/>
  <c r="I13" i="33"/>
  <c r="I9" i="33"/>
  <c r="G19" i="32"/>
  <c r="G20" i="32"/>
  <c r="G21" i="32"/>
  <c r="G22" i="32"/>
  <c r="G23" i="32"/>
  <c r="G24" i="32"/>
  <c r="G18" i="32"/>
  <c r="G10" i="32"/>
  <c r="G11" i="32"/>
  <c r="G12" i="32"/>
  <c r="G13" i="32"/>
  <c r="G14" i="32"/>
  <c r="G15" i="32"/>
  <c r="G16" i="32"/>
  <c r="G9" i="32"/>
  <c r="H21" i="31"/>
  <c r="H15" i="31"/>
  <c r="H9" i="31"/>
  <c r="I5" i="21"/>
  <c r="I4" i="21"/>
  <c r="B4" i="21"/>
  <c r="J4" i="20"/>
  <c r="H19" i="76"/>
  <c r="H19" i="75"/>
  <c r="J28" i="25"/>
  <c r="H28" i="25"/>
  <c r="E12" i="21"/>
  <c r="E14" i="21" s="1"/>
  <c r="G12" i="21"/>
  <c r="G14" i="21" s="1"/>
  <c r="K5" i="38"/>
  <c r="K5" i="34"/>
  <c r="K5" i="33"/>
  <c r="H5" i="41"/>
  <c r="H5" i="31"/>
  <c r="K4" i="38"/>
  <c r="H4" i="41"/>
  <c r="K4" i="34"/>
  <c r="H4" i="31"/>
  <c r="G5" i="38"/>
  <c r="F5" i="41"/>
  <c r="I5" i="34"/>
  <c r="F5" i="31"/>
  <c r="C6" i="38"/>
  <c r="C6" i="41"/>
  <c r="C6" i="31"/>
  <c r="C6" i="34"/>
  <c r="C5" i="34"/>
  <c r="C5" i="41"/>
  <c r="C5" i="38"/>
  <c r="C5" i="31"/>
  <c r="B4" i="34"/>
  <c r="B4" i="38"/>
  <c r="B4" i="41"/>
  <c r="B4" i="31"/>
  <c r="C3" i="31"/>
  <c r="C3" i="34"/>
  <c r="C3" i="38"/>
  <c r="C3" i="40"/>
  <c r="C6" i="51"/>
  <c r="C6" i="50"/>
  <c r="D6" i="49"/>
  <c r="C6" i="48"/>
  <c r="C6" i="47"/>
  <c r="C6" i="52"/>
  <c r="G18" i="19"/>
  <c r="H18" i="19"/>
  <c r="I18" i="19"/>
  <c r="F18" i="19"/>
  <c r="G15" i="16"/>
  <c r="H15" i="16"/>
  <c r="I15" i="16"/>
  <c r="J15" i="16"/>
  <c r="K15" i="16"/>
  <c r="F15" i="16"/>
  <c r="C6" i="69"/>
  <c r="C6" i="80"/>
  <c r="C6" i="79"/>
  <c r="C6" i="54"/>
  <c r="C6" i="55"/>
  <c r="C6" i="57"/>
  <c r="C6" i="27"/>
  <c r="C6" i="33"/>
  <c r="C6" i="29"/>
  <c r="C6" i="40"/>
  <c r="C6" i="32"/>
  <c r="C6" i="39"/>
  <c r="C6" i="37"/>
  <c r="C6" i="30"/>
  <c r="C6" i="36"/>
  <c r="C6" i="35"/>
  <c r="H12" i="83"/>
  <c r="G12" i="83"/>
  <c r="AI54" i="5"/>
  <c r="E6" i="4"/>
  <c r="C6" i="11" s="1"/>
  <c r="J5" i="6"/>
  <c r="H28" i="72"/>
  <c r="G28" i="72"/>
  <c r="H23" i="72"/>
  <c r="G23" i="72"/>
  <c r="H15" i="72"/>
  <c r="G15" i="72"/>
  <c r="I37" i="12"/>
  <c r="J13" i="15"/>
  <c r="J14" i="15"/>
  <c r="J15" i="15"/>
  <c r="J17" i="15"/>
  <c r="J18" i="15"/>
  <c r="J19" i="15"/>
  <c r="J20" i="15"/>
  <c r="J21" i="15"/>
  <c r="J22" i="15"/>
  <c r="J23" i="15"/>
  <c r="J28" i="15"/>
  <c r="J29" i="15"/>
  <c r="J12" i="15"/>
  <c r="H24" i="65"/>
  <c r="G24" i="65"/>
  <c r="H40" i="63"/>
  <c r="I40" i="63"/>
  <c r="K40" i="63"/>
  <c r="L40" i="63"/>
  <c r="M40" i="63"/>
  <c r="N40" i="63"/>
  <c r="G40" i="63"/>
  <c r="J39" i="63"/>
  <c r="J38" i="63"/>
  <c r="J37" i="63"/>
  <c r="J36" i="63"/>
  <c r="J35" i="63"/>
  <c r="J34" i="63"/>
  <c r="J33" i="63"/>
  <c r="J32" i="63"/>
  <c r="J31" i="63"/>
  <c r="J30" i="63"/>
  <c r="J29" i="63"/>
  <c r="J28" i="63"/>
  <c r="J27" i="63"/>
  <c r="J26" i="63"/>
  <c r="J25" i="63"/>
  <c r="J24" i="63"/>
  <c r="J23" i="63"/>
  <c r="J22" i="63"/>
  <c r="J21" i="63"/>
  <c r="J20" i="63"/>
  <c r="J19" i="63"/>
  <c r="J18" i="63"/>
  <c r="J17" i="63"/>
  <c r="J16" i="63"/>
  <c r="J15" i="63"/>
  <c r="J14" i="63"/>
  <c r="J13" i="63"/>
  <c r="J12" i="63"/>
  <c r="J11" i="63"/>
  <c r="J10" i="63"/>
  <c r="J40" i="63" s="1"/>
  <c r="H31" i="61"/>
  <c r="I31" i="61"/>
  <c r="J31" i="61"/>
  <c r="G31" i="61"/>
  <c r="L31" i="60"/>
  <c r="M31" i="60"/>
  <c r="N31" i="60"/>
  <c r="K31" i="60"/>
  <c r="F40" i="60"/>
  <c r="D40" i="60"/>
  <c r="C40" i="60"/>
  <c r="B40" i="60"/>
  <c r="G31" i="55"/>
  <c r="H31" i="55"/>
  <c r="I31" i="55"/>
  <c r="J31" i="55"/>
  <c r="K31" i="55"/>
  <c r="L31" i="55"/>
  <c r="F31" i="55"/>
  <c r="F30" i="54"/>
  <c r="G30" i="54"/>
  <c r="H30" i="54"/>
  <c r="I30" i="54"/>
  <c r="J30" i="54"/>
  <c r="K30" i="54"/>
  <c r="L30" i="54"/>
  <c r="M30" i="54"/>
  <c r="N30" i="54"/>
  <c r="O30" i="54"/>
  <c r="P30" i="54"/>
  <c r="E30" i="54"/>
  <c r="H26" i="53"/>
  <c r="I26" i="53"/>
  <c r="J26" i="53"/>
  <c r="K26" i="53"/>
  <c r="G26" i="53"/>
  <c r="H23" i="53"/>
  <c r="I23" i="53"/>
  <c r="J23" i="53"/>
  <c r="K23" i="53"/>
  <c r="G23" i="53"/>
  <c r="H17" i="53"/>
  <c r="I17" i="53"/>
  <c r="J17" i="53"/>
  <c r="K17" i="53"/>
  <c r="G17" i="53"/>
  <c r="H10" i="53"/>
  <c r="I10" i="53"/>
  <c r="J10" i="53"/>
  <c r="K10" i="53"/>
  <c r="G10" i="53"/>
  <c r="G39" i="52"/>
  <c r="H39" i="52" s="1"/>
  <c r="F39" i="52"/>
  <c r="G23" i="52"/>
  <c r="F23" i="52"/>
  <c r="H23" i="52" s="1"/>
  <c r="F26" i="49"/>
  <c r="G26" i="49"/>
  <c r="H26" i="49"/>
  <c r="I26" i="49"/>
  <c r="J26" i="49"/>
  <c r="L26" i="49"/>
  <c r="M26" i="49"/>
  <c r="E26" i="49"/>
  <c r="K23" i="49"/>
  <c r="K24" i="49"/>
  <c r="K25" i="49"/>
  <c r="K27" i="49"/>
  <c r="K28" i="49"/>
  <c r="K22" i="49"/>
  <c r="K26" i="49"/>
  <c r="P16" i="49"/>
  <c r="Q16" i="49"/>
  <c r="R16" i="49"/>
  <c r="O16" i="49"/>
  <c r="S13" i="49"/>
  <c r="S14" i="49"/>
  <c r="S15" i="49"/>
  <c r="S17" i="49"/>
  <c r="S18" i="49"/>
  <c r="S12" i="49"/>
  <c r="M16" i="49"/>
  <c r="L16" i="49"/>
  <c r="K18" i="49"/>
  <c r="K17" i="49"/>
  <c r="F16" i="49"/>
  <c r="F29" i="49"/>
  <c r="G16" i="49"/>
  <c r="G29" i="49" s="1"/>
  <c r="H16" i="49"/>
  <c r="H29" i="49"/>
  <c r="I16" i="49"/>
  <c r="I29" i="49" s="1"/>
  <c r="J16" i="49"/>
  <c r="E16" i="49"/>
  <c r="K13" i="49"/>
  <c r="K14" i="49"/>
  <c r="K15" i="49"/>
  <c r="K12" i="49"/>
  <c r="H17" i="48"/>
  <c r="G19" i="47"/>
  <c r="H19" i="47" s="1"/>
  <c r="F19" i="47"/>
  <c r="G14" i="46"/>
  <c r="F14" i="46"/>
  <c r="H14" i="46" s="1"/>
  <c r="G24" i="45"/>
  <c r="H24" i="45" s="1"/>
  <c r="F24" i="45"/>
  <c r="G16" i="44"/>
  <c r="F16" i="44"/>
  <c r="G33" i="43"/>
  <c r="H33" i="43" s="1"/>
  <c r="F33" i="43"/>
  <c r="J18" i="38"/>
  <c r="K18" i="38"/>
  <c r="I18" i="38"/>
  <c r="J14" i="38"/>
  <c r="K14" i="38"/>
  <c r="I14" i="38"/>
  <c r="H19" i="37"/>
  <c r="G19" i="37"/>
  <c r="H9" i="37"/>
  <c r="G9" i="37"/>
  <c r="G22" i="36"/>
  <c r="H22" i="36"/>
  <c r="I22" i="36"/>
  <c r="F22" i="36"/>
  <c r="J25" i="34"/>
  <c r="K25" i="34"/>
  <c r="I25" i="34"/>
  <c r="J19" i="34"/>
  <c r="K19" i="34"/>
  <c r="I19" i="34"/>
  <c r="J29" i="49"/>
  <c r="G20" i="31"/>
  <c r="F20" i="31"/>
  <c r="H20" i="31"/>
  <c r="G14" i="31"/>
  <c r="F14" i="31"/>
  <c r="I12" i="29"/>
  <c r="I13" i="29"/>
  <c r="I14" i="29"/>
  <c r="I15" i="29"/>
  <c r="I16" i="29"/>
  <c r="I18" i="29"/>
  <c r="I19" i="29"/>
  <c r="I20" i="29"/>
  <c r="I21" i="29"/>
  <c r="I22" i="29"/>
  <c r="I23" i="29"/>
  <c r="I24" i="29"/>
  <c r="I11" i="29"/>
  <c r="H19" i="24"/>
  <c r="I19" i="24"/>
  <c r="J19" i="24"/>
  <c r="I23" i="23"/>
  <c r="J23" i="23"/>
  <c r="H23" i="23"/>
  <c r="H17" i="23"/>
  <c r="I17" i="23"/>
  <c r="J17" i="23"/>
  <c r="J24" i="15"/>
  <c r="D11" i="15"/>
  <c r="G18" i="20"/>
  <c r="I18" i="20"/>
  <c r="J18" i="20"/>
  <c r="K18" i="20"/>
  <c r="F18" i="20"/>
  <c r="F21" i="20" s="1"/>
  <c r="E5" i="4"/>
  <c r="C5" i="6" s="1"/>
  <c r="S4" i="4"/>
  <c r="AI4" i="5" s="1"/>
  <c r="D4" i="4"/>
  <c r="B4" i="6" s="1"/>
  <c r="E3" i="4"/>
  <c r="F22" i="18"/>
  <c r="H22" i="18" s="1"/>
  <c r="F21" i="18"/>
  <c r="F16" i="18"/>
  <c r="H16" i="18" s="1"/>
  <c r="F17" i="18"/>
  <c r="H17" i="18" s="1"/>
  <c r="F18" i="18"/>
  <c r="H18" i="18" s="1"/>
  <c r="F19" i="18"/>
  <c r="H19" i="18" s="1"/>
  <c r="F15" i="18"/>
  <c r="H15" i="18"/>
  <c r="F10" i="18"/>
  <c r="H10" i="18" s="1"/>
  <c r="H14" i="18" s="1"/>
  <c r="H12" i="18"/>
  <c r="F13" i="18"/>
  <c r="H13" i="18" s="1"/>
  <c r="F14" i="18"/>
  <c r="E23" i="18"/>
  <c r="G23" i="18"/>
  <c r="D23" i="18"/>
  <c r="E20" i="18"/>
  <c r="E24" i="18" s="1"/>
  <c r="G20" i="18"/>
  <c r="D20" i="18"/>
  <c r="E14" i="18"/>
  <c r="G14" i="18"/>
  <c r="D14" i="18"/>
  <c r="F23" i="17"/>
  <c r="H23" i="17"/>
  <c r="D23" i="17"/>
  <c r="F15" i="17"/>
  <c r="H15" i="17"/>
  <c r="D15" i="17"/>
  <c r="L12" i="16"/>
  <c r="L15" i="16" s="1"/>
  <c r="L13" i="16"/>
  <c r="L14" i="16"/>
  <c r="L11" i="16"/>
  <c r="F24" i="17"/>
  <c r="G21" i="20"/>
  <c r="H21" i="20" s="1"/>
  <c r="I45" i="13"/>
  <c r="H45" i="13"/>
  <c r="F31" i="13"/>
  <c r="F21" i="13"/>
  <c r="F15" i="13"/>
  <c r="F32" i="13" s="1"/>
  <c r="E27" i="15"/>
  <c r="F27" i="15"/>
  <c r="G27" i="15"/>
  <c r="H27" i="15"/>
  <c r="I27" i="15"/>
  <c r="E16" i="15"/>
  <c r="F16" i="15"/>
  <c r="G16" i="15"/>
  <c r="H16" i="15"/>
  <c r="H30" i="15" s="1"/>
  <c r="I16" i="15"/>
  <c r="E11" i="15"/>
  <c r="F11" i="15"/>
  <c r="G11" i="15"/>
  <c r="H11" i="15"/>
  <c r="I11" i="15"/>
  <c r="D27" i="15"/>
  <c r="D16" i="15"/>
  <c r="D30" i="15" s="1"/>
  <c r="M33" i="8"/>
  <c r="M37" i="8"/>
  <c r="I11" i="8"/>
  <c r="I16" i="8"/>
  <c r="I23" i="8"/>
  <c r="I29" i="8"/>
  <c r="I33" i="8"/>
  <c r="I37" i="8"/>
  <c r="F11" i="8"/>
  <c r="F16" i="8"/>
  <c r="F23" i="8"/>
  <c r="F29" i="8"/>
  <c r="F33" i="8" s="1"/>
  <c r="F37" i="8"/>
  <c r="G11" i="8"/>
  <c r="G16" i="8"/>
  <c r="G23" i="8"/>
  <c r="H36" i="8"/>
  <c r="H18" i="8"/>
  <c r="H17" i="8"/>
  <c r="I49" i="11"/>
  <c r="I43" i="11"/>
  <c r="I18" i="11"/>
  <c r="I32" i="11" s="1"/>
  <c r="I34" i="11" s="1"/>
  <c r="I37" i="11" s="1"/>
  <c r="I44" i="11" s="1"/>
  <c r="I52" i="11" s="1"/>
  <c r="I14" i="11"/>
  <c r="G29" i="8"/>
  <c r="G33" i="8" s="1"/>
  <c r="H38" i="8"/>
  <c r="H35" i="8"/>
  <c r="H34" i="8"/>
  <c r="H28" i="8"/>
  <c r="H30" i="8"/>
  <c r="H29" i="8" s="1"/>
  <c r="H33" i="8" s="1"/>
  <c r="H31" i="8"/>
  <c r="H32" i="8"/>
  <c r="H27" i="8"/>
  <c r="H25" i="8"/>
  <c r="H24" i="8"/>
  <c r="H20" i="8"/>
  <c r="H21" i="8"/>
  <c r="H19" i="8"/>
  <c r="H16" i="8" s="1"/>
  <c r="H13" i="8"/>
  <c r="H14" i="8"/>
  <c r="H15" i="8"/>
  <c r="H12" i="8"/>
  <c r="N37" i="8"/>
  <c r="N33" i="8"/>
  <c r="G37" i="8"/>
  <c r="L15" i="64"/>
  <c r="J15" i="64"/>
  <c r="H15" i="64"/>
  <c r="F15" i="64"/>
  <c r="D15" i="64"/>
  <c r="N14" i="64"/>
  <c r="N13" i="64"/>
  <c r="N12" i="64"/>
  <c r="N11" i="64"/>
  <c r="N10" i="64"/>
  <c r="N9" i="64"/>
  <c r="M42" i="60"/>
  <c r="M37" i="60"/>
  <c r="G34" i="68"/>
  <c r="G47" i="68" s="1"/>
  <c r="G63" i="68" s="1"/>
  <c r="G79" i="68" s="1"/>
  <c r="G95" i="68" s="1"/>
  <c r="G110" i="68" s="1"/>
  <c r="G125" i="68" s="1"/>
  <c r="C3" i="6"/>
  <c r="I19" i="12"/>
  <c r="I26" i="12"/>
  <c r="I32" i="12"/>
  <c r="I38" i="12" s="1"/>
  <c r="Z54" i="5"/>
  <c r="F5" i="6"/>
  <c r="W5" i="5"/>
  <c r="AI5" i="5"/>
  <c r="I5" i="5"/>
  <c r="I3" i="5"/>
  <c r="H22" i="8"/>
  <c r="B4" i="75"/>
  <c r="B4" i="76"/>
  <c r="I4" i="76"/>
  <c r="I4" i="75"/>
  <c r="F5" i="75"/>
  <c r="F5" i="76"/>
  <c r="H5" i="39"/>
  <c r="I5" i="27"/>
  <c r="J4" i="23"/>
  <c r="I4" i="29"/>
  <c r="C3" i="39"/>
  <c r="B4" i="24"/>
  <c r="B4" i="30"/>
  <c r="C5" i="39"/>
  <c r="C5" i="14"/>
  <c r="B4" i="15"/>
  <c r="B4" i="22"/>
  <c r="B4" i="16"/>
  <c r="B4" i="23"/>
  <c r="B4" i="17"/>
  <c r="B4" i="25"/>
  <c r="B4" i="26"/>
  <c r="B4" i="18"/>
  <c r="B4" i="19"/>
  <c r="B4" i="14"/>
  <c r="B4" i="20"/>
  <c r="B4" i="27"/>
  <c r="C3" i="20"/>
  <c r="E5" i="18"/>
  <c r="I5" i="29"/>
  <c r="C5" i="25"/>
  <c r="C5" i="18"/>
  <c r="C5" i="20"/>
  <c r="C5" i="23"/>
  <c r="C5" i="17"/>
  <c r="C5" i="22"/>
  <c r="H23" i="8"/>
  <c r="L5" i="30"/>
  <c r="B4" i="39"/>
  <c r="J5" i="24"/>
  <c r="I5" i="26"/>
  <c r="J5" i="22"/>
  <c r="J5" i="15"/>
  <c r="J5" i="23"/>
  <c r="J5" i="25"/>
  <c r="G5" i="15"/>
  <c r="J5" i="17"/>
  <c r="E5" i="19"/>
  <c r="F5" i="27"/>
  <c r="I4" i="14"/>
  <c r="I4" i="26"/>
  <c r="N4" i="17"/>
  <c r="J4" i="25"/>
  <c r="J4" i="24"/>
  <c r="H4" i="18"/>
  <c r="L4" i="16"/>
  <c r="J4" i="15"/>
  <c r="I4" i="27"/>
  <c r="J4" i="22"/>
  <c r="I4" i="19"/>
  <c r="C5" i="29"/>
  <c r="G5" i="35"/>
  <c r="B4" i="35"/>
  <c r="J5" i="32"/>
  <c r="G5" i="29"/>
  <c r="I5" i="35"/>
  <c r="I5" i="36"/>
  <c r="C5" i="40"/>
  <c r="K5" i="39"/>
  <c r="G5" i="32"/>
  <c r="C5" i="35"/>
  <c r="L4" i="30"/>
  <c r="H5" i="37"/>
  <c r="K4" i="39"/>
  <c r="K5" i="40"/>
  <c r="J5" i="30"/>
  <c r="F5" i="37"/>
  <c r="I4" i="36"/>
  <c r="I4" i="35"/>
  <c r="H5" i="33"/>
  <c r="G5" i="36"/>
  <c r="J4" i="32"/>
  <c r="I5" i="40"/>
  <c r="K4" i="33"/>
  <c r="C5" i="30"/>
  <c r="B4" i="37"/>
  <c r="B4" i="29"/>
  <c r="C5" i="37"/>
  <c r="B4" i="40"/>
  <c r="B4" i="36"/>
  <c r="C5" i="36"/>
  <c r="C5" i="32"/>
  <c r="B4" i="32"/>
  <c r="C5" i="33"/>
  <c r="B4" i="33"/>
  <c r="H4" i="37"/>
  <c r="K4" i="40"/>
  <c r="H4" i="52"/>
  <c r="C3" i="29"/>
  <c r="C3" i="32"/>
  <c r="C3" i="30"/>
  <c r="C3" i="35"/>
  <c r="C3" i="37"/>
  <c r="H5" i="51"/>
  <c r="H5" i="46"/>
  <c r="S5" i="49"/>
  <c r="H5" i="52"/>
  <c r="H5" i="69"/>
  <c r="H5" i="47"/>
  <c r="K5" i="50"/>
  <c r="H5" i="48"/>
  <c r="H5" i="45"/>
  <c r="C3" i="36"/>
  <c r="B4" i="50"/>
  <c r="B4" i="47"/>
  <c r="B4" i="45"/>
  <c r="B4" i="48"/>
  <c r="B4" i="51"/>
  <c r="B4" i="46"/>
  <c r="C4" i="49"/>
  <c r="B4" i="52"/>
  <c r="B4" i="69"/>
  <c r="C3" i="33"/>
  <c r="G4" i="69"/>
  <c r="I4" i="80"/>
  <c r="I4" i="79"/>
  <c r="K4" i="55"/>
  <c r="I4" i="57"/>
  <c r="O4" i="54"/>
  <c r="D5" i="49"/>
  <c r="C5" i="51"/>
  <c r="O5" i="49"/>
  <c r="F5" i="52"/>
  <c r="C5" i="48"/>
  <c r="C5" i="52"/>
  <c r="H4" i="45"/>
  <c r="F5" i="48"/>
  <c r="F5" i="45"/>
  <c r="H4" i="47"/>
  <c r="K4" i="50"/>
  <c r="C5" i="46"/>
  <c r="F5" i="51"/>
  <c r="R4" i="49"/>
  <c r="H4" i="46"/>
  <c r="C5" i="47"/>
  <c r="C5" i="50"/>
  <c r="H5" i="50"/>
  <c r="F5" i="47"/>
  <c r="H4" i="51"/>
  <c r="H4" i="48"/>
  <c r="F5" i="46"/>
  <c r="B4" i="79"/>
  <c r="B4" i="80"/>
  <c r="I5" i="79"/>
  <c r="I5" i="80"/>
  <c r="D3" i="50"/>
  <c r="C3" i="52"/>
  <c r="C3" i="69"/>
  <c r="C3" i="51"/>
  <c r="F19" i="68"/>
  <c r="F35" i="68"/>
  <c r="F48" i="68" s="1"/>
  <c r="F64" i="68" s="1"/>
  <c r="F80" i="68" s="1"/>
  <c r="F96" i="68" s="1"/>
  <c r="F111" i="68" s="1"/>
  <c r="F126" i="68" s="1"/>
  <c r="K5" i="55"/>
  <c r="I5" i="57"/>
  <c r="H19" i="68"/>
  <c r="H35" i="68" s="1"/>
  <c r="H48" i="68" s="1"/>
  <c r="H64" i="68" s="1"/>
  <c r="H80" i="68" s="1"/>
  <c r="H96" i="68" s="1"/>
  <c r="H111" i="68" s="1"/>
  <c r="H126" i="68" s="1"/>
  <c r="O5" i="54"/>
  <c r="B4" i="54"/>
  <c r="B4" i="57"/>
  <c r="B4" i="55"/>
  <c r="B18" i="68"/>
  <c r="B34" i="68"/>
  <c r="B47" i="68" s="1"/>
  <c r="B63" i="68" s="1"/>
  <c r="B79" i="68" s="1"/>
  <c r="B95" i="68" s="1"/>
  <c r="B110" i="68" s="1"/>
  <c r="B125" i="68" s="1"/>
  <c r="G5" i="57"/>
  <c r="F5" i="69"/>
  <c r="G5" i="55"/>
  <c r="C5" i="54"/>
  <c r="C5" i="69"/>
  <c r="J5" i="54"/>
  <c r="C5" i="79"/>
  <c r="F5" i="80"/>
  <c r="F5" i="79"/>
  <c r="C5" i="57"/>
  <c r="C5" i="80"/>
  <c r="C5" i="55"/>
  <c r="C35" i="68"/>
  <c r="C48" i="68" s="1"/>
  <c r="C64" i="68" s="1"/>
  <c r="C80" i="68" s="1"/>
  <c r="C96" i="68" s="1"/>
  <c r="C111" i="68" s="1"/>
  <c r="C126" i="68" s="1"/>
  <c r="C3" i="79"/>
  <c r="C3" i="80"/>
  <c r="C17" i="68"/>
  <c r="C33" i="68" s="1"/>
  <c r="C46" i="68" s="1"/>
  <c r="C62" i="68" s="1"/>
  <c r="C78" i="68" s="1"/>
  <c r="C94" i="68" s="1"/>
  <c r="C109" i="68" s="1"/>
  <c r="C124" i="68" s="1"/>
  <c r="C3" i="54"/>
  <c r="C3" i="57"/>
  <c r="C3" i="55"/>
  <c r="E29" i="49" l="1"/>
  <c r="I6" i="5"/>
  <c r="G26" i="8"/>
  <c r="G39" i="8" s="1"/>
  <c r="I26" i="8"/>
  <c r="I39" i="8" s="1"/>
  <c r="F20" i="18"/>
  <c r="D24" i="18"/>
  <c r="H20" i="18"/>
  <c r="H14" i="31"/>
  <c r="C6" i="6"/>
  <c r="I14" i="21"/>
  <c r="J28" i="40"/>
  <c r="F26" i="32"/>
  <c r="H26" i="32" s="1"/>
  <c r="H14" i="38"/>
  <c r="E26" i="32"/>
  <c r="G19" i="34"/>
  <c r="J264" i="92"/>
  <c r="I19" i="92"/>
  <c r="J144" i="92"/>
  <c r="K26" i="30"/>
  <c r="H27" i="42"/>
  <c r="J15" i="96"/>
  <c r="J24" i="96" s="1"/>
  <c r="J23" i="96"/>
  <c r="H26" i="8"/>
  <c r="H39" i="8" s="1"/>
  <c r="F26" i="8"/>
  <c r="F39" i="8" s="1"/>
  <c r="D24" i="17"/>
  <c r="S16" i="49"/>
  <c r="R25" i="49" s="1"/>
  <c r="G15" i="40"/>
  <c r="G28" i="40" s="1"/>
  <c r="H40" i="42"/>
  <c r="H18" i="43"/>
  <c r="I17" i="27"/>
  <c r="I51" i="92"/>
  <c r="F53" i="69"/>
  <c r="F54" i="69" s="1"/>
  <c r="H11" i="8"/>
  <c r="H37" i="8"/>
  <c r="I30" i="15"/>
  <c r="F30" i="15"/>
  <c r="J27" i="15"/>
  <c r="H24" i="17"/>
  <c r="G24" i="18"/>
  <c r="K16" i="49"/>
  <c r="K29" i="49" s="1"/>
  <c r="G39" i="34"/>
  <c r="H21" i="39"/>
  <c r="H20" i="42"/>
  <c r="I144" i="92"/>
  <c r="I12" i="21"/>
  <c r="I15" i="27"/>
  <c r="H19" i="51"/>
  <c r="H60" i="69"/>
  <c r="J191" i="92"/>
  <c r="N15" i="17"/>
  <c r="N23" i="17"/>
  <c r="G15" i="39"/>
  <c r="H17" i="41"/>
  <c r="J14" i="33"/>
  <c r="I14" i="33"/>
  <c r="H25" i="34"/>
  <c r="H52" i="69"/>
  <c r="G53" i="69"/>
  <c r="H49" i="69"/>
  <c r="J270" i="92"/>
  <c r="I270" i="92"/>
  <c r="J62" i="92"/>
  <c r="J28" i="92"/>
  <c r="I28" i="92"/>
  <c r="J26" i="92"/>
  <c r="H275" i="92"/>
  <c r="H21" i="18"/>
  <c r="H23" i="18" s="1"/>
  <c r="H24" i="18" s="1"/>
  <c r="F23" i="18"/>
  <c r="F24" i="18" s="1"/>
  <c r="N15" i="64"/>
  <c r="G30" i="15"/>
  <c r="H16" i="44"/>
  <c r="E19" i="22"/>
  <c r="I28" i="40"/>
  <c r="F18" i="41"/>
  <c r="F36" i="42"/>
  <c r="F41" i="42" s="1"/>
  <c r="J17" i="22"/>
  <c r="G21" i="24"/>
  <c r="G19" i="24"/>
  <c r="H29" i="51"/>
  <c r="G30" i="51"/>
  <c r="H30" i="51" s="1"/>
  <c r="G35" i="69"/>
  <c r="H24" i="69"/>
  <c r="J238" i="92"/>
  <c r="I238" i="92"/>
  <c r="I17" i="92"/>
  <c r="G275" i="92"/>
  <c r="I275" i="92" s="1"/>
  <c r="J24" i="17"/>
  <c r="H24" i="96"/>
  <c r="C3" i="27"/>
  <c r="C3" i="16"/>
  <c r="C6" i="96"/>
  <c r="C6" i="23"/>
  <c r="C6" i="15"/>
  <c r="C6" i="14"/>
  <c r="E29" i="50"/>
  <c r="L29" i="50" s="1"/>
  <c r="H27" i="40"/>
  <c r="E4" i="5"/>
  <c r="E30" i="15"/>
  <c r="J11" i="15"/>
  <c r="I39" i="12"/>
  <c r="I40" i="12" s="1"/>
  <c r="J16" i="15"/>
  <c r="H18" i="20"/>
  <c r="G21" i="39"/>
  <c r="F22" i="39"/>
  <c r="H22" i="39" s="1"/>
  <c r="H15" i="39"/>
  <c r="H15" i="40"/>
  <c r="F28" i="40"/>
  <c r="H28" i="40" s="1"/>
  <c r="I16" i="26"/>
  <c r="G18" i="26"/>
  <c r="I18" i="26" s="1"/>
  <c r="I26" i="92"/>
  <c r="G26" i="32"/>
  <c r="H64" i="69"/>
  <c r="J17" i="92"/>
  <c r="M26" i="8"/>
  <c r="M39" i="8" s="1"/>
  <c r="N39" i="8"/>
  <c r="G19" i="22"/>
  <c r="G23" i="28"/>
  <c r="I23" i="28" s="1"/>
  <c r="G5" i="96"/>
  <c r="G36" i="42"/>
  <c r="G18" i="41"/>
  <c r="H18" i="41" s="1"/>
  <c r="L14" i="50"/>
  <c r="C3" i="26"/>
  <c r="C3" i="76"/>
  <c r="C6" i="22"/>
  <c r="C6" i="17"/>
  <c r="C6" i="18"/>
  <c r="C6" i="19"/>
  <c r="C3" i="21"/>
  <c r="C3" i="14"/>
  <c r="C3" i="15"/>
  <c r="C3" i="75"/>
  <c r="C6" i="16"/>
  <c r="C6" i="25"/>
  <c r="C6" i="75"/>
  <c r="C6" i="76"/>
  <c r="C3" i="18"/>
  <c r="C3" i="17"/>
  <c r="C6" i="26"/>
  <c r="C6" i="24"/>
  <c r="C6" i="21"/>
  <c r="C6" i="20"/>
  <c r="C3" i="96"/>
  <c r="H78" i="92"/>
  <c r="C76" i="92"/>
  <c r="I5" i="16"/>
  <c r="G5" i="14"/>
  <c r="G5" i="20"/>
  <c r="I5" i="19"/>
  <c r="H5" i="18"/>
  <c r="J5" i="20"/>
  <c r="C5" i="24"/>
  <c r="C5" i="15"/>
  <c r="C3" i="25"/>
  <c r="C3" i="23"/>
  <c r="F5" i="26"/>
  <c r="G5" i="24"/>
  <c r="I5" i="76"/>
  <c r="C5" i="75"/>
  <c r="F5" i="21"/>
  <c r="F5" i="22"/>
  <c r="G5" i="25"/>
  <c r="N5" i="17"/>
  <c r="I5" i="14"/>
  <c r="L5" i="16"/>
  <c r="C5" i="16"/>
  <c r="C5" i="26"/>
  <c r="C5" i="27"/>
  <c r="C3" i="19"/>
  <c r="C3" i="24"/>
  <c r="C3" i="22"/>
  <c r="C5" i="19"/>
  <c r="C5" i="76"/>
  <c r="C224" i="92"/>
  <c r="J77" i="92"/>
  <c r="H153" i="92"/>
  <c r="C79" i="92"/>
  <c r="B77" i="92"/>
  <c r="C154" i="92"/>
  <c r="B225" i="92"/>
  <c r="J225" i="92"/>
  <c r="C78" i="92"/>
  <c r="J78" i="92"/>
  <c r="C153" i="92"/>
  <c r="J153" i="92"/>
  <c r="J4" i="6"/>
  <c r="N24" i="17" l="1"/>
  <c r="J19" i="22"/>
  <c r="H35" i="69"/>
  <c r="G37" i="69"/>
  <c r="H37" i="69" s="1"/>
  <c r="G41" i="42"/>
  <c r="H41" i="42" s="1"/>
  <c r="H36" i="42"/>
  <c r="I19" i="22"/>
  <c r="G22" i="39"/>
  <c r="J30" i="15"/>
  <c r="J275" i="92"/>
  <c r="H53" i="69"/>
  <c r="G54" i="69"/>
  <c r="H54" i="69" s="1"/>
</calcChain>
</file>

<file path=xl/sharedStrings.xml><?xml version="1.0" encoding="utf-8"?>
<sst xmlns="http://schemas.openxmlformats.org/spreadsheetml/2006/main" count="3789" uniqueCount="2343">
  <si>
    <t>DIRECTION GENERALE DES IMPOTS</t>
  </si>
  <si>
    <t>LIASSE SYSTEME NORMAL</t>
  </si>
  <si>
    <t>CENTRE DE DEPOT DE</t>
  </si>
  <si>
    <t>EXERCICE CLOS LE</t>
  </si>
  <si>
    <t>DESIGNATION DE L'ENTITE</t>
  </si>
  <si>
    <t>DENOMINATION SOCIALE :</t>
  </si>
  <si>
    <t>(ou nom et prénoms de l'exploitant)</t>
  </si>
  <si>
    <t>SIGLE USUEL :</t>
  </si>
  <si>
    <t>ADRESSE COMPLETE :</t>
  </si>
  <si>
    <t>Documents déposés</t>
  </si>
  <si>
    <t>Réservé à la Direction Générale des Impôts</t>
  </si>
  <si>
    <t>Fiche d'identification et renseignements divers</t>
  </si>
  <si>
    <t>Date de dépôt</t>
  </si>
  <si>
    <t>Bilan</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</si>
  <si>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</si>
  <si>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</si>
  <si>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</si>
  <si>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</si>
  <si>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</si>
  <si>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</si>
  <si>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</si>
  <si>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- 2 -</t>
  </si>
  <si>
    <t>CONDITIONS DE RECEVABILITE</t>
  </si>
  <si>
    <t>Etats financiers</t>
  </si>
  <si>
    <t>- 3 -</t>
  </si>
  <si>
    <t>FICHE R1</t>
  </si>
  <si>
    <t>Dénomination sociale de l'entité :</t>
  </si>
  <si>
    <t>Adresse :</t>
  </si>
  <si>
    <t>Sigle usuel :</t>
  </si>
  <si>
    <t>N° d'identification fiscale :</t>
  </si>
  <si>
    <t>Exercice clos le :</t>
  </si>
  <si>
    <t>Durée (en mois) :</t>
  </si>
  <si>
    <t>ZA</t>
  </si>
  <si>
    <t>EXERCICE COMPTABLE :</t>
  </si>
  <si>
    <t>DU:</t>
  </si>
  <si>
    <t>AU:</t>
  </si>
  <si>
    <t>ZB</t>
  </si>
  <si>
    <t>DATE D'ARRETE EFFECTIF DES COMPTES :</t>
  </si>
  <si>
    <t>ZC</t>
  </si>
  <si>
    <t>EXERCICE PRECEDENT CLOS LE :</t>
  </si>
  <si>
    <t>DUREE EXERCICE PRECEDENT EN MOIS :</t>
  </si>
  <si>
    <t>ZD</t>
  </si>
  <si>
    <t>Greffe</t>
  </si>
  <si>
    <t>N°Registre du Commerce</t>
  </si>
  <si>
    <t>N° Répertoire des entités</t>
  </si>
  <si>
    <t>ZE</t>
  </si>
  <si>
    <t>N° de caisse sociale</t>
  </si>
  <si>
    <t>N° Code Importateur</t>
  </si>
  <si>
    <t>Code activité principale</t>
  </si>
  <si>
    <t>ZF</t>
  </si>
  <si>
    <t>Désignation de l'entité</t>
  </si>
  <si>
    <t>Sigle</t>
  </si>
  <si>
    <t>ZG</t>
  </si>
  <si>
    <t>N° de téléphone</t>
  </si>
  <si>
    <t>Code</t>
  </si>
  <si>
    <t>Boîte Postale</t>
  </si>
  <si>
    <t>Ville</t>
  </si>
  <si>
    <t>ZH</t>
  </si>
  <si>
    <t>Adresse géographique complète (Immeuble, rue, quartier, ville, pays)</t>
  </si>
  <si>
    <t>ZI</t>
  </si>
  <si>
    <t>Désignation précise de l'activité principale exercée par l'entité</t>
  </si>
  <si>
    <t>% Capacité production utile</t>
  </si>
  <si>
    <t>Non</t>
  </si>
  <si>
    <t>Oui</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</si>
  <si>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</si>
  <si>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</si>
  <si>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</si>
  <si>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</si>
  <si>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</si>
  <si>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</si>
  <si>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</si>
  <si>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</si>
  <si>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- 4 -</t>
  </si>
  <si>
    <t>FICHE R2</t>
  </si>
  <si>
    <t>ZK</t>
  </si>
  <si>
    <t>ZQ</t>
  </si>
  <si>
    <t>ZL</t>
  </si>
  <si>
    <t>ZR</t>
  </si>
  <si>
    <t>ZM</t>
  </si>
  <si>
    <t>ZS</t>
  </si>
  <si>
    <t>ZN</t>
  </si>
  <si>
    <t>Nombre d'établissements dans le pays :</t>
  </si>
  <si>
    <t>ZO</t>
  </si>
  <si>
    <t xml:space="preserve">Nombre d'établissements hors du pays pour </t>
  </si>
  <si>
    <t>lesquels une comptabilité distincte est tenue :</t>
  </si>
  <si>
    <t>ZP</t>
  </si>
  <si>
    <t>Première année d'exercice dans le pays :</t>
  </si>
  <si>
    <t xml:space="preserve"> TOTAL  </t>
  </si>
  <si>
    <t>FICHE R3</t>
  </si>
  <si>
    <r>
      <t>DIRIGEANTS (</t>
    </r>
    <r>
      <rPr>
        <b/>
        <vertAlign val="superscript"/>
        <sz val="10"/>
        <rFont val="Arial"/>
        <family val="2"/>
      </rPr>
      <t>1</t>
    </r>
    <r>
      <rPr>
        <b/>
        <sz val="10"/>
        <rFont val="Arial"/>
        <family val="2"/>
      </rPr>
      <t>)</t>
    </r>
  </si>
  <si>
    <t>Qualité</t>
  </si>
  <si>
    <t>(1) Dirigeants = Président Directeur Général, Directeur Général, Administrateur Général, Gérant, Autres.</t>
  </si>
  <si>
    <t>MEMBRES DU CONSEIL D'ADMINISTRATION</t>
  </si>
  <si>
    <t>NOTES</t>
  </si>
  <si>
    <t>INTITULES</t>
  </si>
  <si>
    <t>A</t>
  </si>
  <si>
    <t>N/A</t>
  </si>
  <si>
    <t>NOTE 1</t>
  </si>
  <si>
    <t>DETTES GARANTIES PAR DES SURETES REELLES</t>
  </si>
  <si>
    <t>NOTE 2</t>
  </si>
  <si>
    <t>INFORMATIONS OBLIGATOIRES</t>
  </si>
  <si>
    <t>NOTE 3A</t>
  </si>
  <si>
    <t>NOTE 3B</t>
  </si>
  <si>
    <t>NOTE 3C</t>
  </si>
  <si>
    <t>IMMOBILISATIONS : AMORTISSEMENTS</t>
  </si>
  <si>
    <t>NOTE 3D</t>
  </si>
  <si>
    <t>IMMOBILISATIONS : PLUS-VALUES ET MOINS VALUE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</si>
  <si>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</si>
  <si>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</si>
  <si>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</si>
  <si>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</si>
  <si>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</si>
  <si>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</si>
  <si>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</si>
  <si>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</si>
  <si>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</si>
  <si>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</si>
  <si>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</si>
  <si>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</si>
  <si>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</si>
  <si>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</si>
  <si>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</si>
  <si>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</si>
  <si>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</si>
  <si>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</si>
  <si>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</si>
  <si>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</si>
  <si>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</si>
  <si>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</si>
  <si>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</si>
  <si>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</si>
  <si>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</si>
  <si>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</si>
  <si>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</si>
  <si>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</si>
  <si>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</si>
  <si>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</si>
  <si>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</si>
  <si>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</si>
  <si>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</si>
  <si>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</si>
  <si>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</si>
  <si>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</si>
  <si>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</si>
  <si>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</si>
  <si>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</si>
  <si>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</si>
  <si>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</si>
  <si>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</si>
  <si>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</si>
  <si>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</si>
  <si>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</si>
  <si>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</si>
  <si>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</si>
  <si>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</si>
  <si>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</si>
  <si>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</si>
  <si>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</si>
  <si>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</si>
  <si>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</si>
  <si>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</si>
  <si>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</si>
  <si>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</si>
  <si>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</si>
  <si>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</si>
  <si>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PROVISIONS  ET DEPRECIATIONS INSCRITES AU BILAN</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</si>
  <si>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</si>
  <si>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</si>
  <si>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</si>
  <si>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</si>
  <si>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</si>
  <si>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</si>
  <si>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</si>
  <si>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</si>
  <si>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</si>
  <si>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</si>
  <si>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</si>
  <si>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</si>
  <si>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</si>
  <si>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</si>
  <si>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</si>
  <si>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(1) les Notes non documentées ne doivent pas être jointes aux états financiers. Leur contenu peut être amélioré par les entités</t>
  </si>
  <si>
    <t>Par exemple pour une entité qui n'a pas de stocks et en-cours, elle doit cocher à l'intersection ('ligne NOTE 6' &amp; 'colonne N/A')</t>
  </si>
  <si>
    <t>- 0 -</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</si>
  <si>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</si>
  <si>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</si>
  <si>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</si>
  <si>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</si>
  <si>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</si>
  <si>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</si>
  <si>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</si>
  <si>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</si>
  <si>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</si>
  <si>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</si>
  <si>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</si>
  <si>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</si>
  <si>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</si>
  <si>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</si>
  <si>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3</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</si>
  <si>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</si>
  <si>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</si>
  <si>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</si>
  <si>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</si>
  <si>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</si>
  <si>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</si>
  <si>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</si>
  <si>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</si>
  <si>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</si>
  <si>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</si>
  <si>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</si>
  <si>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</si>
  <si>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</si>
  <si>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</si>
  <si>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</si>
  <si>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</si>
  <si>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</si>
  <si>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</si>
  <si>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</si>
  <si>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</si>
  <si>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</si>
  <si>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</si>
  <si>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</si>
  <si>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</si>
  <si>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</si>
  <si>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</si>
  <si>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</si>
  <si>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Bâtiments</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</si>
  <si>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</si>
  <si>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</si>
  <si>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</si>
  <si>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</si>
  <si>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</si>
  <si>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</si>
  <si>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</si>
  <si>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</si>
  <si>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</si>
  <si>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</si>
  <si>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</si>
  <si>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</si>
  <si>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</si>
  <si>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</si>
  <si>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</si>
  <si>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DA</t>
  </si>
  <si>
    <t>Emprunts et dettes financières diverses</t>
  </si>
  <si>
    <t>AQ</t>
  </si>
  <si>
    <t>IMMOBILISATIONS  FINANCIERES</t>
  </si>
  <si>
    <t>DB</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</si>
  <si>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</si>
  <si>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</si>
  <si>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</si>
  <si>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</si>
  <si>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</si>
  <si>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</si>
  <si>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</si>
  <si>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</si>
  <si>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</si>
  <si>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</si>
  <si>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</si>
  <si>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</si>
  <si>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</si>
  <si>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</si>
  <si>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</si>
  <si>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</si>
  <si>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</si>
  <si>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</si>
  <si>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</si>
  <si>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</si>
  <si>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</si>
  <si>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</si>
  <si>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</si>
  <si>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</si>
  <si>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</si>
  <si>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</si>
  <si>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</si>
  <si>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</si>
  <si>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</si>
  <si>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</si>
  <si>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</si>
  <si>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</si>
  <si>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</si>
  <si>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</si>
  <si>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</si>
  <si>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</si>
  <si>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</si>
  <si>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</si>
  <si>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</si>
  <si>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</si>
  <si>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</si>
  <si>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</si>
  <si>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</si>
  <si>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</si>
  <si>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</si>
  <si>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</si>
  <si>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</si>
  <si>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BT</t>
  </si>
  <si>
    <t>TOTAL   TRESORERIE-ACTIF</t>
  </si>
  <si>
    <t>DT</t>
  </si>
  <si>
    <t>TOTAL   TRESORERIE-PASSIF</t>
  </si>
  <si>
    <t>BU</t>
  </si>
  <si>
    <t>Ecart de conversion-Actif</t>
  </si>
  <si>
    <t>DV</t>
  </si>
  <si>
    <t>Ecart de conversion-Passif</t>
  </si>
  <si>
    <t>BZ</t>
  </si>
  <si>
    <t>TOTAL GENERAL</t>
  </si>
  <si>
    <t>DZ</t>
  </si>
  <si>
    <t>IMMOBILISATIONS INCORPORELLES</t>
  </si>
  <si>
    <t>Autres immobilisations incorporelles</t>
  </si>
  <si>
    <t>IMMOBILISATIONS CORPORELLES</t>
  </si>
  <si>
    <t>Aménagements, agencements et installations</t>
  </si>
  <si>
    <t>Autres immobilisations financières</t>
  </si>
  <si>
    <t>COMPTE DE RESULTAT</t>
  </si>
  <si>
    <t>LIBELLES</t>
  </si>
  <si>
    <t>EXERCICE AU
31/12/N</t>
  </si>
  <si>
    <t>EXERCICE AU
31/12/N-1</t>
  </si>
  <si>
    <t>TA</t>
  </si>
  <si>
    <t>Ventes de marchandises</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</si>
  <si>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</si>
  <si>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</si>
  <si>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</si>
  <si>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</si>
  <si>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</si>
  <si>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</si>
  <si>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</si>
  <si>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</si>
  <si>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</si>
  <si>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</si>
  <si>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</si>
  <si>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</si>
  <si>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</si>
  <si>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</si>
  <si>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</si>
  <si>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</si>
  <si>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</si>
  <si>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</si>
  <si>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</si>
  <si>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</si>
  <si>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</si>
  <si>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</si>
  <si>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</si>
  <si>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</si>
  <si>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</si>
  <si>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</si>
  <si>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</si>
  <si>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</si>
  <si>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</si>
  <si>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</si>
  <si>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</si>
  <si>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</si>
  <si>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</si>
  <si>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</si>
  <si>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</si>
  <si>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</si>
  <si>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</si>
  <si>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</si>
  <si>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</si>
  <si>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</si>
  <si>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</si>
  <si>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</si>
  <si>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</si>
  <si>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</si>
  <si>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</si>
  <si>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</si>
  <si>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</si>
  <si>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</si>
  <si>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</si>
  <si>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</si>
  <si>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</si>
  <si>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</si>
  <si>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</si>
  <si>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</si>
  <si>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</si>
  <si>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</si>
  <si>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</si>
  <si>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</si>
  <si>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</si>
  <si>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</si>
  <si>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</si>
  <si>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</si>
  <si>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</si>
  <si>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</si>
  <si>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</si>
  <si>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</si>
  <si>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</si>
  <si>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</si>
  <si>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</si>
  <si>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</si>
  <si>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</si>
  <si>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</si>
  <si>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</si>
  <si>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</si>
  <si>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</si>
  <si>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</si>
  <si>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</si>
  <si>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</si>
  <si>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</si>
  <si>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</si>
  <si>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</si>
  <si>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RQ</t>
  </si>
  <si>
    <t>Participation des travailleurs</t>
  </si>
  <si>
    <t>RS</t>
  </si>
  <si>
    <t>Impôts sur le résultat</t>
  </si>
  <si>
    <t>XI</t>
  </si>
  <si>
    <t>RESULTAT NET (XG+XH+RQ+RS)</t>
  </si>
  <si>
    <t>EXERCICE</t>
  </si>
  <si>
    <t>N</t>
  </si>
  <si>
    <t>N-1</t>
  </si>
  <si>
    <t>Flux de trésorerie provenant des activités opérationnelles</t>
  </si>
  <si>
    <t>FA</t>
  </si>
  <si>
    <t>Capacité d'Autofinancement Globale (CAFG)</t>
  </si>
  <si>
    <t>FB</t>
  </si>
  <si>
    <t>FC</t>
  </si>
  <si>
    <t>- Variation des stocks</t>
  </si>
  <si>
    <t>FD</t>
  </si>
  <si>
    <t>-  Variation des créances</t>
  </si>
  <si>
    <t>FE</t>
  </si>
  <si>
    <t>+ Variation du passif circulant (1)</t>
  </si>
  <si>
    <t>Variation du BF lié aux activités opérationnelles</t>
  </si>
  <si>
    <t>FB+FC+FD+FE :</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</si>
  <si>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</si>
  <si>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</si>
  <si>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</si>
  <si>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</si>
  <si>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</si>
  <si>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</si>
  <si>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</si>
  <si>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</si>
  <si>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</si>
  <si>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</si>
  <si>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</si>
  <si>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</si>
  <si>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</si>
  <si>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</si>
  <si>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</si>
  <si>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</si>
  <si>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</si>
  <si>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</si>
  <si>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</si>
  <si>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</si>
  <si>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Trésorerie provenant du financement par les capitaux étrangers</t>
  </si>
  <si>
    <t>FO</t>
  </si>
  <si>
    <t>FP</t>
  </si>
  <si>
    <t>FQ</t>
  </si>
  <si>
    <t>- Remboursements des emprunts et autres dettes financières</t>
  </si>
  <si>
    <t>E</t>
  </si>
  <si>
    <t>Flux de trésorerie provenant des activités de financement (D+E)</t>
  </si>
  <si>
    <t>F</t>
  </si>
  <si>
    <t>VARIATION DE LA TRÉSORERIE NETTE DE LA PÉRIODE (B+C+F)</t>
  </si>
  <si>
    <t>G</t>
  </si>
  <si>
    <t>H</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</si>
  <si>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</si>
  <si>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Note</t>
  </si>
  <si>
    <t>Hypothèques</t>
  </si>
  <si>
    <t>Nantissements</t>
  </si>
  <si>
    <t>Emprunts obligataires convertibles</t>
  </si>
  <si>
    <t>Autres emprunts obligataires</t>
  </si>
  <si>
    <t>Emprunts et dettes des établissements de crédit</t>
  </si>
  <si>
    <t>Autres dettes financières</t>
  </si>
  <si>
    <t>SOUS TOTAL (1)</t>
  </si>
  <si>
    <t>Dettes de crédit-bail immobilier</t>
  </si>
  <si>
    <t>Dettes de crédit-bail mobilier</t>
  </si>
  <si>
    <t>Dettes sur contrats de location-vente</t>
  </si>
  <si>
    <t>SOUS TOTAL (2)</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</si>
  <si>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</si>
  <si>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</si>
  <si>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</si>
  <si>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</si>
  <si>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</si>
  <si>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</si>
  <si>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</si>
  <si>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</si>
  <si>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</si>
  <si>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</si>
  <si>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</si>
  <si>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</si>
  <si>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</si>
  <si>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Avals, cautions, garanties</t>
  </si>
  <si>
    <t>Hypothèques, nantissements, gages, autres</t>
  </si>
  <si>
    <t>Effets escomptés non échus</t>
  </si>
  <si>
    <t>Créances commerciales et professionnelles cédées</t>
  </si>
  <si>
    <t>Abandons de créances conditionnels</t>
  </si>
  <si>
    <t>TOTAL</t>
  </si>
  <si>
    <t>B - REGLES ET METHODES COMPTABLES</t>
  </si>
  <si>
    <t>C- DEROGATION AUX POSTULATS ET CONVENTIONS COMPTABLES</t>
  </si>
  <si>
    <t>SITUATIONS ET MOUVEMENTS</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</si>
  <si>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</si>
  <si>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</si>
  <si>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</si>
  <si>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</si>
  <si>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</si>
  <si>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</si>
  <si>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</si>
  <si>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</si>
  <si>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</si>
  <si>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</si>
  <si>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</si>
  <si>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</si>
  <si>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</si>
  <si>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VERSES SUR IMMOBILISATIONS</t>
  </si>
  <si>
    <t>AUGMENTATIONS B</t>
  </si>
  <si>
    <t>DIMINUTIONS C</t>
  </si>
  <si>
    <t>D = A + B - C</t>
  </si>
  <si>
    <t>NATURE 
DU 
CONTRAT
(I ; M ; A)
[1]</t>
  </si>
  <si>
    <t>Virements de
poste à poste</t>
  </si>
  <si>
    <t xml:space="preserve">Terrains </t>
  </si>
  <si>
    <t>AMORTISSEMENTS
CUMULES
A L'OUVERTURE
DE L'EXERCICE</t>
  </si>
  <si>
    <t>AUGMENTATIONS:
DOTATIONS 
DE L'EXERCICE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</si>
  <si>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</si>
  <si>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</si>
  <si>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</si>
  <si>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</si>
  <si>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</si>
  <si>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</si>
  <si>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MONTANT BRUT</t>
  </si>
  <si>
    <t>AMORTISSEMENTS
PRATIQUES</t>
  </si>
  <si>
    <t>PRIX DE CESSION</t>
  </si>
  <si>
    <t>PLUS-VALUE OU
MOINS-VALUE</t>
  </si>
  <si>
    <t>C = A - B</t>
  </si>
  <si>
    <t>E = D - C</t>
  </si>
  <si>
    <t>Titres de participations</t>
  </si>
  <si>
    <t>Nature et date des réévaluations :</t>
  </si>
  <si>
    <t>Eléments réévalués par postes du bilan</t>
  </si>
  <si>
    <t>Amortissements
supplémentaires</t>
  </si>
  <si>
    <t>Méthode de réévaluation utilisée :</t>
  </si>
  <si>
    <t>Traitement fiscal de l'écart de réévaluation et des amortissements supplémentaires :</t>
  </si>
  <si>
    <t>Montant de l'écart incorporé au capital :</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</si>
  <si>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</si>
  <si>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</si>
  <si>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</si>
  <si>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</si>
  <si>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</si>
  <si>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</si>
  <si>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</si>
  <si>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</si>
  <si>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</si>
  <si>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</si>
  <si>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</si>
  <si>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</si>
  <si>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</si>
  <si>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TOTAL BRUT</t>
  </si>
  <si>
    <t>TOTAL NET DE DEPRECIATION</t>
  </si>
  <si>
    <t>Liste des filiales et participations :</t>
  </si>
  <si>
    <t>Dénomination sociale</t>
  </si>
  <si>
    <t>Localisation
(ville / pays)</t>
  </si>
  <si>
    <t>Valeur
d'acquisition</t>
  </si>
  <si>
    <t>% Détenu</t>
  </si>
  <si>
    <t>Montant des
capitaux propres
filiale</t>
  </si>
  <si>
    <t>Variation
en %</t>
  </si>
  <si>
    <t>Créances sur cessions d'immobilisations</t>
  </si>
  <si>
    <t>Autres créances hors activités ordinaires</t>
  </si>
  <si>
    <t>Dépréciations des créances HAO</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</si>
  <si>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</si>
  <si>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</si>
  <si>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</si>
  <si>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</si>
  <si>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</si>
  <si>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</si>
  <si>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</si>
  <si>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</si>
  <si>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</si>
  <si>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</si>
  <si>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</si>
  <si>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</si>
  <si>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</si>
  <si>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</si>
  <si>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</si>
  <si>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</si>
  <si>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CLIENTS</t>
  </si>
  <si>
    <t>Créances
à un an
au plus</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</si>
  <si>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</si>
  <si>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</si>
  <si>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</si>
  <si>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</si>
  <si>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</si>
  <si>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</si>
  <si>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</si>
  <si>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</si>
  <si>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</si>
  <si>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</si>
  <si>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</si>
  <si>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Organismes sociaux</t>
  </si>
  <si>
    <t>Etat et Collectivités publiques</t>
  </si>
  <si>
    <t>Apporteurs, associés et groupe</t>
  </si>
  <si>
    <t>Autres débiteurs divers</t>
  </si>
  <si>
    <t>Comptes permanents non bloqués des établissements et des succursales</t>
  </si>
  <si>
    <t>TOTAL BRUT AUTRES CREANCES</t>
  </si>
  <si>
    <t>Dépréciations des autres créances</t>
  </si>
  <si>
    <t>Frais d'établissement</t>
  </si>
  <si>
    <t>Charges à repartir
sur plusieurs exercices</t>
  </si>
  <si>
    <t>Primes de remboursement
des obligations</t>
  </si>
  <si>
    <t>Montant global à étaler au 1er janvier 2018</t>
  </si>
  <si>
    <t>Durée d'étalement retenue</t>
  </si>
  <si>
    <t>Exercice N</t>
  </si>
  <si>
    <t>Comptes</t>
  </si>
  <si>
    <t>Montants</t>
  </si>
  <si>
    <t>60...</t>
  </si>
  <si>
    <t>61...</t>
  </si>
  <si>
    <t>62...</t>
  </si>
  <si>
    <t>63...</t>
  </si>
  <si>
    <t>...</t>
  </si>
  <si>
    <t>Titres de trésor et bons de caisse à court terme</t>
  </si>
  <si>
    <t>Actions</t>
  </si>
  <si>
    <t>Obligations</t>
  </si>
  <si>
    <t>Bons de souscription</t>
  </si>
  <si>
    <t>Titres négociables hors régions</t>
  </si>
  <si>
    <t>TOTAL BRUT TITRES</t>
  </si>
  <si>
    <t>Dépréciations des titres</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</si>
  <si>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</si>
  <si>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</si>
  <si>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</si>
  <si>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</si>
  <si>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</si>
  <si>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</si>
  <si>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</si>
  <si>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</si>
  <si>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</si>
  <si>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</si>
  <si>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</si>
  <si>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Banques intérêts courus</t>
  </si>
  <si>
    <t>Chèques postaux</t>
  </si>
  <si>
    <t>Autres établissement financiers</t>
  </si>
  <si>
    <t>Etablissement financiers intérêts courus</t>
  </si>
  <si>
    <t>Instruments de trésorerie</t>
  </si>
  <si>
    <t>Caisse</t>
  </si>
  <si>
    <t>Régies d'avances et virements accréditifs</t>
  </si>
  <si>
    <t>TOTAL BRUT DISPONIBILITES</t>
  </si>
  <si>
    <t>Dépréciations</t>
  </si>
  <si>
    <t>TOTAL NET DE DEPRECIATIONS</t>
  </si>
  <si>
    <t>Devises</t>
  </si>
  <si>
    <t>Montant
en devises</t>
  </si>
  <si>
    <t>Cours UML
Année
acquisition</t>
  </si>
  <si>
    <t>Cours UML
31/12</t>
  </si>
  <si>
    <t>Variation 
en valeur
absolue</t>
  </si>
  <si>
    <t>TRANSFERTS DE CHARGES</t>
  </si>
  <si>
    <t>Valeur nominale des actions ou parts :</t>
  </si>
  <si>
    <t>Nationalité</t>
  </si>
  <si>
    <t>Nature des
actions ou parts
(Ordinaires ou
préférences)</t>
  </si>
  <si>
    <t>Nombre</t>
  </si>
  <si>
    <t>Montant total</t>
  </si>
  <si>
    <t>Cessions ou
remboursements
en cours
d'exercice</t>
  </si>
  <si>
    <t>Apporteurs, capital non appelé</t>
  </si>
  <si>
    <t>Variation en
valeur absolue</t>
  </si>
  <si>
    <t>Prime d'apport</t>
  </si>
  <si>
    <t>Primes d'émission</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</si>
  <si>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</si>
  <si>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</si>
  <si>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</si>
  <si>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</si>
  <si>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</si>
  <si>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</si>
  <si>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</si>
  <si>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</si>
  <si>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</si>
  <si>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</si>
  <si>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TOTAL SUBVENTIONS ET PROVISIONS REGLEMENTEES</t>
  </si>
  <si>
    <t>Variation
en valeur
absolue</t>
  </si>
  <si>
    <t>Régime
fiscal</t>
  </si>
  <si>
    <t>Echéances</t>
  </si>
  <si>
    <t>État</t>
  </si>
  <si>
    <t>Régions</t>
  </si>
  <si>
    <t>Départements</t>
  </si>
  <si>
    <t>Communes et collectivités publiques décentralisées</t>
  </si>
  <si>
    <t>Entités publiques ou mixtes</t>
  </si>
  <si>
    <t>Autres</t>
  </si>
  <si>
    <t>TOTAL SUBVENTIONS</t>
  </si>
  <si>
    <t>Amortissements dérogatoires</t>
  </si>
  <si>
    <t>Plus-value de cession à réinvestir</t>
  </si>
  <si>
    <t>3E</t>
  </si>
  <si>
    <t>Provisions réglementées relatives aux immobilisations</t>
  </si>
  <si>
    <t>Provisions réglementés relatives aux stocks</t>
  </si>
  <si>
    <t>Provisions pour investissement</t>
  </si>
  <si>
    <t>Autres provisions et fonds réglementées</t>
  </si>
  <si>
    <t>TOTAL PROVISIONS REGLEMENTEES</t>
  </si>
  <si>
    <t>Titres participatifs</t>
  </si>
  <si>
    <t>Avances conditionnées</t>
  </si>
  <si>
    <t>Titres subordonnés à durée indéterminée (T.S.D.I.)</t>
  </si>
  <si>
    <t>Obligations remboursables en actions (O.R.A.)</t>
  </si>
  <si>
    <t>TOTAL AUTRES FONDS PROPRES</t>
  </si>
  <si>
    <t>Dettes à un an
au plus</t>
  </si>
  <si>
    <t>Dettes à plus d'un
an et à deux ans
au plus</t>
  </si>
  <si>
    <t>Dettes à plus
de deux ans</t>
  </si>
  <si>
    <t>Emprunts obligataires</t>
  </si>
  <si>
    <t>Avances reçues de l'Etat</t>
  </si>
  <si>
    <t>Avances reçues et comptes courants bloqués</t>
  </si>
  <si>
    <t>Dépôts et cautionnements reçus</t>
  </si>
  <si>
    <t>Autres emprunts et dettes</t>
  </si>
  <si>
    <t>Comptes permanents bloqués des établissements et succursales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</si>
  <si>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</si>
  <si>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</si>
  <si>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</si>
  <si>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</si>
  <si>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</si>
  <si>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</si>
  <si>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</si>
  <si>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</si>
  <si>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impôts</t>
  </si>
  <si>
    <t>Provisions pour restructuration</t>
  </si>
  <si>
    <t>Provisions pour amendes et pénalités</t>
  </si>
  <si>
    <t>Provisions pour démantèlement et remise en état</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</si>
  <si>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</si>
  <si>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</si>
  <si>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</si>
  <si>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</si>
  <si>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</si>
  <si>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</si>
  <si>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</si>
  <si>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</si>
  <si>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</si>
  <si>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</si>
  <si>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</si>
  <si>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</si>
  <si>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</si>
  <si>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</si>
  <si>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</si>
  <si>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</si>
  <si>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</si>
  <si>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ANALYSE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</si>
  <si>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</si>
  <si>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</si>
  <si>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</si>
  <si>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</si>
  <si>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</si>
  <si>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</si>
  <si>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</si>
  <si>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</si>
  <si>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</si>
  <si>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</si>
  <si>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</si>
  <si>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</si>
  <si>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Rendement 
attendu</t>
  </si>
  <si>
    <t>Total</t>
  </si>
  <si>
    <t>Actif éventuel</t>
  </si>
  <si>
    <t>Litiges</t>
  </si>
  <si>
    <t>Passif éventuel</t>
  </si>
  <si>
    <t>NOTE 17
SYSTEME NORMAL</t>
  </si>
  <si>
    <t>Dettes à un
an au plus</t>
  </si>
  <si>
    <t>Dettes à plus
d'un an et à
deux ans
au plus</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</si>
  <si>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</si>
  <si>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</si>
  <si>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</si>
  <si>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</si>
  <si>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</si>
  <si>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</si>
  <si>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</si>
  <si>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</si>
  <si>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</si>
  <si>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</si>
  <si>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SYSTEME NORMAL</t>
  </si>
  <si>
    <t>Dettes à plus
d'un an et à
deux ans au plus</t>
  </si>
  <si>
    <t>Personnel avances et acomptes</t>
  </si>
  <si>
    <t>Personnel rémunérations dues</t>
  </si>
  <si>
    <t>Autres personnel</t>
  </si>
  <si>
    <t>Caisse de sécurité sociale</t>
  </si>
  <si>
    <t>Caisse de retraite</t>
  </si>
  <si>
    <t>Autres organismes sociaux</t>
  </si>
  <si>
    <t>TOTAL DETTES SOCIALES</t>
  </si>
  <si>
    <t>Etat, impôts sur les bénéfices</t>
  </si>
  <si>
    <t>Etat, impôts et taxes</t>
  </si>
  <si>
    <t>Etat, impôts retenus à la source</t>
  </si>
  <si>
    <t>Autres dettes Etat</t>
  </si>
  <si>
    <t>TOTAL DETTES FISCALES</t>
  </si>
  <si>
    <t>TOTAL DETTES SOCIALES ET FISCALES</t>
  </si>
  <si>
    <t>NOTE 19
SYSTEME NORMAL</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</si>
  <si>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</si>
  <si>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</si>
  <si>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</si>
  <si>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</si>
  <si>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</si>
  <si>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</si>
  <si>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</si>
  <si>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</si>
  <si>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</si>
  <si>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Versements restant à effectuer sur titres de placement
non libérés</t>
  </si>
  <si>
    <t>Autres créditeurs divers</t>
  </si>
  <si>
    <t>TOTAL  CREDITEURS DIVERS</t>
  </si>
  <si>
    <t>Comptes permanents non bloqués des établissements et
des succursales</t>
  </si>
  <si>
    <t>TOTAL  COMPTES DE LIAISON</t>
  </si>
  <si>
    <t>TOTAL  AUTRES DETTES</t>
  </si>
  <si>
    <t>NOTE 20
SYSTEME NORMAL</t>
  </si>
  <si>
    <t>Escomptes de crédit de campagne</t>
  </si>
  <si>
    <t>Escomptes de crédit ordinaires</t>
  </si>
  <si>
    <t>TOTAL: BANQUES, CREDITS D'ESCOMPTE ET DE TRESORERIE</t>
  </si>
  <si>
    <t>TOTAL: BANQUES, CREDITS DE TRESORERIE</t>
  </si>
  <si>
    <t>TOTAL : VENTES MARCHANDISES</t>
  </si>
  <si>
    <t>TOTAL : VENTES DE PRODUITS FABRIQUES</t>
  </si>
  <si>
    <t>TOTAL : VENTES DE TRAVAUX ET SERVICES VENDUS</t>
  </si>
  <si>
    <t>TOTAL : CHIFFRES D'AFFAIRES</t>
  </si>
  <si>
    <t>Subventions d'exploitation</t>
  </si>
  <si>
    <t>TOTAL : AUTRES PRODUITS</t>
  </si>
  <si>
    <t>TOTAL : ACHATS DE MARCHANDISES</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</si>
  <si>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</si>
  <si>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</si>
  <si>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</si>
  <si>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</si>
  <si>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</si>
  <si>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</si>
  <si>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</si>
  <si>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</si>
  <si>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</si>
  <si>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</si>
  <si>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</si>
  <si>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</si>
  <si>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</si>
  <si>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t>
  </si>
  <si>
    <t>TOTAL : AUTRES ACHATS</t>
  </si>
  <si>
    <t>Transports sur ventes</t>
  </si>
  <si>
    <t>Transports pour le compte de tiers</t>
  </si>
  <si>
    <t>Transport du personnel</t>
  </si>
  <si>
    <t>Transports de plis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</si>
  <si>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</si>
  <si>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</si>
  <si>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</si>
  <si>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</si>
  <si>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</si>
  <si>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</si>
  <si>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</si>
  <si>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</si>
  <si>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</si>
  <si>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</si>
  <si>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</si>
  <si>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</si>
  <si>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</si>
  <si>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</si>
  <si>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</si>
  <si>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</si>
  <si>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</si>
  <si>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</si>
  <si>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</si>
  <si>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</si>
  <si>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</si>
  <si>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</si>
  <si>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</si>
  <si>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</si>
  <si>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</si>
  <si>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</si>
  <si>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Rémunérations et charges sociales de l'exploitant individuel</t>
  </si>
  <si>
    <t>Rémunération transférée de personnel extérieur</t>
  </si>
  <si>
    <t>Autres charges sociales</t>
  </si>
  <si>
    <t>EFFECTIF  ET MASSE SALARIALE</t>
  </si>
  <si>
    <t>EFFECTIFS</t>
  </si>
  <si>
    <t>MASSE SALARIALE</t>
  </si>
  <si>
    <t>Nationaux</t>
  </si>
  <si>
    <t>Autres
Etats de
l'OHADA</t>
  </si>
  <si>
    <t>Hors
OHADA</t>
  </si>
  <si>
    <t>Autres Etats
de l'OHADA</t>
  </si>
  <si>
    <t>Hors OHADA</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</si>
  <si>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</si>
  <si>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</si>
  <si>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</si>
  <si>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</si>
  <si>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</si>
  <si>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</si>
  <si>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</si>
  <si>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</si>
  <si>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</si>
  <si>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</si>
  <si>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</si>
  <si>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</si>
  <si>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</si>
  <si>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</si>
  <si>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</si>
  <si>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</si>
  <si>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</si>
  <si>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B - Montants comptabilisés non rapportés
dans l'état 301 (2)</t>
  </si>
  <si>
    <t>2. Personnel extérieur</t>
  </si>
  <si>
    <t>YH</t>
  </si>
  <si>
    <t>C - Montants des avantages en nature et
en espèces comptabilisés en comptes decharges de personnel</t>
  </si>
  <si>
    <t>YI</t>
  </si>
  <si>
    <t>YJ</t>
  </si>
  <si>
    <t>YK</t>
  </si>
  <si>
    <t>(1): Montants indiqués dans l'état 301 hors avantages en nature et en espèces</t>
  </si>
  <si>
    <t>YL</t>
  </si>
  <si>
    <t>TOTAL (2)</t>
  </si>
  <si>
    <t>(2): dont provisions pour congés payés</t>
  </si>
  <si>
    <t>YM</t>
  </si>
  <si>
    <t>M : Masculin</t>
  </si>
  <si>
    <t>YN</t>
  </si>
  <si>
    <t>F: Féminin</t>
  </si>
  <si>
    <t>YO</t>
  </si>
  <si>
    <t>TOTAL (1 + 2)</t>
  </si>
  <si>
    <t>PROVISIONS A
L'OUVERTURE
DE L'EXERCICE</t>
  </si>
  <si>
    <t>AUGMENTATIONS : DOTATIONS</t>
  </si>
  <si>
    <t>DIMINUTIONS : REPRISES</t>
  </si>
  <si>
    <t>PROVISIONS A
LA CLOTURE
DE L'EXERCICE</t>
  </si>
  <si>
    <t>NATURE</t>
  </si>
  <si>
    <t>D'EXPLOITATION</t>
  </si>
  <si>
    <t>FINANCIERES</t>
  </si>
  <si>
    <t>HORS ACTIVITES
ORDINAIRES</t>
  </si>
  <si>
    <t>Intérêts des emprunts</t>
  </si>
  <si>
    <t>Intérêts dans loyers de locations acquisition</t>
  </si>
  <si>
    <t>Escomptes accordés</t>
  </si>
  <si>
    <t>Autres intérêts</t>
  </si>
  <si>
    <t>Escomptes des effets de commerce</t>
  </si>
  <si>
    <t>Pertes sur cessions de titres de placement</t>
  </si>
  <si>
    <t>Intérêts de prêts et créances diverses</t>
  </si>
  <si>
    <t>Escomptes obtenus</t>
  </si>
  <si>
    <t>Revenus de placement</t>
  </si>
  <si>
    <t>Gains sur cessions de titres de placement</t>
  </si>
  <si>
    <t>Gains sur risques financiers</t>
  </si>
  <si>
    <t>Pertes sur créances HAO</t>
  </si>
  <si>
    <t>Dons et libéralités accordés</t>
  </si>
  <si>
    <t>Abandons de créances consentis</t>
  </si>
  <si>
    <t>Dotations hors activités ordinaires</t>
  </si>
  <si>
    <t>Subventions d'équilibre</t>
  </si>
  <si>
    <t>Dons et libéralités obtenus</t>
  </si>
  <si>
    <t>Abandons de créances obtenus</t>
  </si>
  <si>
    <t>EXERCICES CONCERNES (1)</t>
  </si>
  <si>
    <t>N - 2</t>
  </si>
  <si>
    <t>N - 3</t>
  </si>
  <si>
    <t>N - 4</t>
  </si>
  <si>
    <t>NATURE DES INDICATIONS</t>
  </si>
  <si>
    <t>Capital social</t>
  </si>
  <si>
    <t>Actions ordinaires</t>
  </si>
  <si>
    <t>Actions à dividendes prioritaires (A.D.P) sans droit de vote</t>
  </si>
  <si>
    <t>Actions nouvelles à émettre :</t>
  </si>
  <si>
    <t>- par conversion d'obligations</t>
  </si>
  <si>
    <t>- par exercice de droits de souscription</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</si>
  <si>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</si>
  <si>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</si>
  <si>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</si>
  <si>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</si>
  <si>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</si>
  <si>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</si>
  <si>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</si>
  <si>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</si>
  <si>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</si>
  <si>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</si>
  <si>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</si>
  <si>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</si>
  <si>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</si>
  <si>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</si>
  <si>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</si>
  <si>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</si>
  <si>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</si>
  <si>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</si>
  <si>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</si>
  <si>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</si>
  <si>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</si>
  <si>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</si>
  <si>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</si>
  <si>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DESIGNATION DU PRODUIT</t>
  </si>
  <si>
    <t>UNITE DE
QUANTITE
CHOISIE</t>
  </si>
  <si>
    <t>PRODUCTION VENDUE
DANS LES AUTRES
PAYS DE L'OHADA</t>
  </si>
  <si>
    <t>PRODUCTION VENDUE
HORS OHADA</t>
  </si>
  <si>
    <t>PRODUCTION
IMMOBILISEE</t>
  </si>
  <si>
    <t>STOCK OUVERTURE
DE L'EXERCICE</t>
  </si>
  <si>
    <t>STOCK CLOTURE
DE L'EXERCICE</t>
  </si>
  <si>
    <t>Quantité</t>
  </si>
  <si>
    <t>Valeur</t>
  </si>
  <si>
    <t>NON VENTILE</t>
  </si>
  <si>
    <t>DESIGNATION DES MATIERES ET PRODUITS</t>
  </si>
  <si>
    <t>ACHATS EFFECTUES AU COURS DE L'EXERCICE</t>
  </si>
  <si>
    <t>VARIATION
DES STOCKS 
(en valeur)</t>
  </si>
  <si>
    <t>PRODUITS DE L'ETAT</t>
  </si>
  <si>
    <t>PRODUITS IMPORTES</t>
  </si>
  <si>
    <t>ACHETES DANS L'ETAT</t>
  </si>
  <si>
    <t>ACHETES HORS DE L'ETAT</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</si>
  <si>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</si>
  <si>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</si>
  <si>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</si>
  <si>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</si>
  <si>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</si>
  <si>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</si>
  <si>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</si>
  <si>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</si>
  <si>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</si>
  <si>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</si>
  <si>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</si>
  <si>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</si>
  <si>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</si>
  <si>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</si>
  <si>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</si>
  <si>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</si>
  <si>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Transferts de charges financières</t>
  </si>
  <si>
    <t>+ Transferts de charges HAO</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</si>
  <si>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</si>
  <si>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</si>
  <si>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</si>
  <si>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</si>
  <si>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</si>
  <si>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</si>
  <si>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</si>
  <si>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Dettes financières* et autres ressources assimilées (b)</t>
  </si>
  <si>
    <t>= ressources stables</t>
  </si>
  <si>
    <t>- Actif immobilisé (b)</t>
  </si>
  <si>
    <t>= FONDS DE ROULEMENT (1)</t>
  </si>
  <si>
    <t>-  Passif circulant d'exploitation (b)</t>
  </si>
  <si>
    <t>= BESOIN DE FINANCEMENT D'EXPLOITATION (2)</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</si>
  <si>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</si>
  <si>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</si>
  <si>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</si>
  <si>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</si>
  <si>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</si>
  <si>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</si>
  <si>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VARIATION de LA TRESORERIE NETTE de LA PERIODE</t>
  </si>
  <si>
    <t>ANALYSE DE LA VARIATION DE L’ENDETTEMENT FINANCIER NET</t>
  </si>
  <si>
    <t>Endettement financier brut (Dettes financières* + Trésorerie – passif)</t>
  </si>
  <si>
    <t>= ENDETTEMENT FINANCIER NET</t>
  </si>
  <si>
    <t>Note obligatoire pour les entités ayant un effectif de plus de 250 salariés</t>
  </si>
  <si>
    <t>Liste des informations sociales, environnementales et sociétales à fournir</t>
  </si>
  <si>
    <t>INFORMATIONS SOCIALES</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</si>
  <si>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</si>
  <si>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</si>
  <si>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</si>
  <si>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</si>
  <si>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</si>
  <si>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</si>
  <si>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</si>
  <si>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</si>
  <si>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</si>
  <si>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</si>
  <si>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</si>
  <si>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</si>
  <si>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r>
      <t xml:space="preserve">Égalité de traitement </t>
    </r>
    <r>
      <rPr>
        <sz val="8"/>
        <color theme="1"/>
        <rFont val="Arial"/>
        <family val="2"/>
      </rPr>
      <t>:</t>
    </r>
  </si>
  <si>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</si>
  <si>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</si>
  <si>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</si>
  <si>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</si>
  <si>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</si>
  <si>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</si>
  <si>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</si>
  <si>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</si>
  <si>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</si>
  <si>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</si>
  <si>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</si>
  <si>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</si>
  <si>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</si>
  <si>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</si>
  <si>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</si>
  <si>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</si>
  <si>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</si>
  <si>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</si>
  <si>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</si>
  <si>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</si>
  <si>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</si>
  <si>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</si>
  <si>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</si>
  <si>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intéressées par l'activité de la société
(associations d'insertion, établissements d'enseignement...) :</t>
  </si>
  <si>
    <t>•  les conditions du dialogue avec ces personnes ou organisations ;</t>
  </si>
  <si>
    <t>•  les actions de partenariat ou de mécénat.</t>
  </si>
  <si>
    <t>Sous-traitance et fournisseurs :</t>
  </si>
  <si>
    <t>•  la prise en compte dans la politique d'achat des enjeux sociaux et environnementaux.</t>
  </si>
  <si>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</si>
  <si>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</si>
  <si>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</si>
  <si>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</si>
  <si>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</si>
  <si>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</si>
  <si>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</si>
  <si>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</si>
  <si>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</si>
  <si>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</si>
  <si>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</si>
  <si>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AUTRE ETATS DE L'UEMOA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</si>
  <si>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</si>
  <si>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</si>
  <si>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</si>
  <si>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</si>
  <si>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</si>
  <si>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</si>
  <si>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</si>
  <si>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</si>
  <si>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</si>
  <si>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</si>
  <si>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</si>
  <si>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</si>
  <si>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</si>
  <si>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</si>
  <si>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</si>
  <si>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</si>
  <si>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</si>
  <si>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</si>
  <si>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</si>
  <si>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</si>
  <si>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</si>
  <si>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COMPLEMENT INFORMATIONS ENTITES INDIVIDUELLES</t>
  </si>
  <si>
    <t>EXPLOITANTS INDIVIDUELS</t>
  </si>
  <si>
    <t xml:space="preserve"> APPORTS FINANCIERS AU COURS EXERCICE</t>
  </si>
  <si>
    <t xml:space="preserve"> PRELEVEMENTS FINANCIERS AU COURS EXERCICE</t>
  </si>
  <si>
    <t xml:space="preserve"> AVANTAGES EN NATURE VALEUR REELLE</t>
  </si>
  <si>
    <t xml:space="preserve"> REMUNERATIONS CONJOINT EXPLOITANT</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</si>
  <si>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</si>
  <si>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</si>
  <si>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</si>
  <si>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</si>
  <si>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</si>
  <si>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</si>
  <si>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</si>
  <si>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</si>
  <si>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</si>
  <si>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</si>
  <si>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</si>
  <si>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</si>
  <si>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DETAIL DES FRAIS ACCESSOIRES SUR ACHATS</t>
  </si>
  <si>
    <t>Achats stockés
de matières et
fournitures
consommables</t>
  </si>
  <si>
    <t>Achats
d'emballages</t>
  </si>
  <si>
    <t>Total rubriques</t>
  </si>
  <si>
    <t>Droits de douane</t>
  </si>
  <si>
    <t>Frets et transports sur achats</t>
  </si>
  <si>
    <t>Assurances transport sur achats</t>
  </si>
  <si>
    <t>Commissions et courtages sur achats</t>
  </si>
  <si>
    <t>Rémunération du transitaire</t>
  </si>
  <si>
    <t>Autres frais accessoires d'achat</t>
  </si>
  <si>
    <t>Total frais accessoires d'achats</t>
  </si>
  <si>
    <t>Forfait (Barème)
F.CFA</t>
  </si>
  <si>
    <t>Montant réel
F.CFA</t>
  </si>
  <si>
    <t>Eau logement du personnel</t>
  </si>
  <si>
    <t>Electricité logement du personnel</t>
  </si>
  <si>
    <t>Télécommunication logement du personnel</t>
  </si>
  <si>
    <t>Frais de téléphone mobile</t>
  </si>
  <si>
    <t>Gardiennage logement du personnel</t>
  </si>
  <si>
    <t>Voyages congés personnel</t>
  </si>
  <si>
    <t>TOTAL (1)</t>
  </si>
  <si>
    <t>Banques, établissements financiers
et crédits de trésorerie</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</si>
  <si>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</si>
  <si>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</si>
  <si>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</si>
  <si>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 xml:space="preserve">Trésorerie nette au 1er janvier
</t>
    </r>
    <r>
      <rPr>
        <sz val="9"/>
        <color theme="1"/>
        <rFont val="Arial"/>
        <family val="2"/>
      </rPr>
      <t>(Trésorerie actif N-1 - Trésorerie passif N-1)</t>
    </r>
  </si>
  <si>
    <t>Contrôle : Trésorerie actif N - Trésorerie passif N</t>
  </si>
  <si>
    <t>Trésorerie nette au 31 Décembre (G+A)</t>
  </si>
  <si>
    <r>
      <t xml:space="preserve">Dettes de location-acquisition </t>
    </r>
    <r>
      <rPr>
        <b/>
        <sz val="9"/>
        <color theme="1"/>
        <rFont val="Arial"/>
        <family val="2"/>
      </rPr>
      <t>:</t>
    </r>
  </si>
  <si>
    <r>
      <t xml:space="preserve">Dettes du passif circulant </t>
    </r>
    <r>
      <rPr>
        <b/>
        <sz val="9"/>
        <color theme="1"/>
        <rFont val="Arial"/>
        <family val="2"/>
      </rPr>
      <t>:</t>
    </r>
  </si>
  <si>
    <t>Gages/autres</t>
  </si>
  <si>
    <t>VALEUR
COMPTABLE
NETTE</t>
  </si>
  <si>
    <t>NOTE 21
SYSTEME NORMAL</t>
  </si>
  <si>
    <t>NOTE 22
SYSTEME NORMAL</t>
  </si>
  <si>
    <t>NOTE 24
SYSTEME NORMAL</t>
  </si>
  <si>
    <t>NOTE 25
SYSTEME NORMAL</t>
  </si>
  <si>
    <t>NOTE 26
SYSTEME NORMAL</t>
  </si>
  <si>
    <t>NOTE 27B
SYSTEME NORMAL</t>
  </si>
  <si>
    <t>NOTE 29
SYSTEME NORMAL</t>
  </si>
  <si>
    <t>NOTE 30
SYSTEME NORMAL</t>
  </si>
  <si>
    <t>NOTE 31
SYSTEME NORMAL</t>
  </si>
  <si>
    <r>
      <t xml:space="preserve">STRUCTURE DU CAPITAL A LA CLOTURE DE L'EXERCICE </t>
    </r>
    <r>
      <rPr>
        <sz val="9"/>
        <color theme="1"/>
        <rFont val="Arial"/>
        <family val="2"/>
      </rPr>
      <t>(2)</t>
    </r>
  </si>
  <si>
    <r>
      <t xml:space="preserve">OPERATIONS ET RESULTATS DE L'EXERCICE </t>
    </r>
    <r>
      <rPr>
        <sz val="9"/>
        <color theme="1"/>
        <rFont val="Arial"/>
        <family val="2"/>
      </rPr>
      <t>(3)</t>
    </r>
  </si>
  <si>
    <t>PRODUCTION VENDUE
DANS LE PAYS</t>
  </si>
  <si>
    <t>NOTE 32
SYSTEME NORMAL</t>
  </si>
  <si>
    <t>NOTE 34
SYSTEME NORMAL</t>
  </si>
  <si>
    <t>TABLE DES COMMENTAIRES</t>
  </si>
  <si>
    <t>VARIATION DE LA VALEUR DE L'ENGAGEM ENT DE RETRAITE AU COURS DE L'EXERCICE</t>
  </si>
  <si>
    <t>ANALYSE DE SENSIBILITE DES HY POTHESES ACTUA R IELLES</t>
  </si>
  <si>
    <t>VALEUR ACTUELLE DES ACTI FS DU REGIME</t>
  </si>
  <si>
    <t>COMMENTAIRES
PAGE 1/9</t>
  </si>
  <si>
    <t>COMMENTAIRES
PAGE 2/9</t>
  </si>
  <si>
    <t>COMMENTAIRES
PAGE 3/9</t>
  </si>
  <si>
    <t>COMMENTAIRES
PAGE 4/9</t>
  </si>
  <si>
    <t>COMMENTAIRES
PAGE 5/9</t>
  </si>
  <si>
    <t>COMMENTAIRES
PAGE 6/9</t>
  </si>
  <si>
    <t>COMMENTAIRES
PAGE 7/9</t>
  </si>
  <si>
    <t>COMMENTAIRES
PAGE 8/9</t>
  </si>
  <si>
    <t>COMMENTAIRES
PAGE 9/9</t>
  </si>
  <si>
    <t>Acquisitions
Apports
Créations</t>
  </si>
  <si>
    <t>Suite à une
réévaluation
pratiquée au cours
de l'exercice</t>
  </si>
  <si>
    <t>+ Capitaux propres et ressources assimilées</t>
  </si>
  <si>
    <t>+ Actif circulant d'exploitation (b)</t>
  </si>
  <si>
    <t>+ Actif circulant HAO (b)</t>
  </si>
  <si>
    <t>+ Flux de trésorerie des activités opérationnelles</t>
  </si>
  <si>
    <r>
      <rPr>
        <sz val="9"/>
        <color theme="1"/>
        <rFont val="Arial"/>
        <family val="2"/>
      </rPr>
      <t>Terrains (1)</t>
    </r>
    <r>
      <rPr>
        <i/>
        <sz val="9"/>
        <color theme="1"/>
        <rFont val="Arial"/>
        <family val="2"/>
      </rPr>
      <t xml:space="preserve">
</t>
    </r>
    <r>
      <rPr>
        <i/>
        <sz val="8"/>
        <color theme="1"/>
        <rFont val="Arial"/>
        <family val="2"/>
      </rPr>
      <t>dont Placement Net :</t>
    </r>
  </si>
  <si>
    <r>
      <rPr>
        <sz val="9"/>
        <color theme="1"/>
        <rFont val="Arial"/>
        <family val="2"/>
      </rPr>
      <t>Bâtiments(1)</t>
    </r>
    <r>
      <rPr>
        <i/>
        <sz val="9"/>
        <color theme="1"/>
        <rFont val="Arial"/>
        <family val="2"/>
      </rPr>
      <t xml:space="preserve">
</t>
    </r>
    <r>
      <rPr>
        <i/>
        <sz val="8"/>
        <color theme="1"/>
        <rFont val="Arial"/>
        <family val="2"/>
      </rPr>
      <t>dont Placement Net :</t>
    </r>
  </si>
  <si>
    <t>- Variation d'actif circulant HAO (1)</t>
  </si>
  <si>
    <t>NOTE 8A</t>
  </si>
  <si>
    <t>= CAPACITE D'AUTOFINANCEMENT D'EXPLOITATION</t>
  </si>
  <si>
    <t>- Flux de trésorerie des activités d'investissement</t>
  </si>
  <si>
    <t>+ Flux de trésorerie des activités de financement</t>
  </si>
  <si>
    <t>- Trésorerie - actif</t>
  </si>
  <si>
    <t>ETAT COMPLEMENTAIRE DIRECTION GENERALE DES IMPOTS/COMPTABILITE NATIONALE</t>
  </si>
  <si>
    <t>Exercice N-1</t>
  </si>
  <si>
    <t>DETAIL DES CHARGES EN FCFA</t>
  </si>
  <si>
    <t>Achats de marchandises dans la région</t>
  </si>
  <si>
    <t>Achats de marchandises hors région</t>
  </si>
  <si>
    <t>Achats de marchandises aux entités du groupe dans la région</t>
  </si>
  <si>
    <t>Achats de marchandises aux entités du groupe hors région</t>
  </si>
  <si>
    <t>Rabais, remises et ristournes obtenus (non ventilés)</t>
  </si>
  <si>
    <t>Variation des stocks de marchandises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</si>
  <si>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</si>
  <si>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</si>
  <si>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</si>
  <si>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</si>
  <si>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</si>
  <si>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</si>
  <si>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</si>
  <si>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</si>
  <si>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</si>
  <si>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</si>
  <si>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</si>
  <si>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</si>
  <si>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</si>
  <si>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</si>
  <si>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</si>
  <si>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</si>
  <si>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</si>
  <si>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</si>
  <si>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</si>
  <si>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</si>
  <si>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Transports du personnel</t>
  </si>
  <si>
    <t>Voyages et déplacements</t>
  </si>
  <si>
    <t>Transports entre établissements et chantiers</t>
  </si>
  <si>
    <t>Transports administratifs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</si>
  <si>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</si>
  <si>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</si>
  <si>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</si>
  <si>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</si>
  <si>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</si>
  <si>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</si>
  <si>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</si>
  <si>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</si>
  <si>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</si>
  <si>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</si>
  <si>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Autres contrats de location-acquisition</t>
  </si>
  <si>
    <t>Entretien et réparation des biens immobiliers</t>
  </si>
  <si>
    <t>Entretien et réparation des biens mobiliers</t>
  </si>
  <si>
    <t>Maintenance</t>
  </si>
  <si>
    <t>Variation de stocks</t>
  </si>
  <si>
    <t>Variation de stocks de matières premières</t>
  </si>
  <si>
    <t>Variation de stocks d'autres approvisionnements</t>
  </si>
  <si>
    <t>SYSTEME NORMAL</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</si>
  <si>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</si>
  <si>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</si>
  <si>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</si>
  <si>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</si>
  <si>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</si>
  <si>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</si>
  <si>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</si>
  <si>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</si>
  <si>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</si>
  <si>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</si>
  <si>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</si>
  <si>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</si>
  <si>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</si>
  <si>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</si>
  <si>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</si>
  <si>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</si>
  <si>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</si>
  <si>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</si>
  <si>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</si>
  <si>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</si>
  <si>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</si>
  <si>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</si>
  <si>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</si>
  <si>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</si>
  <si>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</si>
  <si>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</si>
  <si>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</si>
  <si>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</si>
  <si>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</si>
  <si>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</si>
  <si>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</si>
  <si>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</si>
  <si>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</si>
  <si>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</si>
  <si>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</si>
  <si>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</si>
  <si>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</si>
  <si>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</si>
  <si>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</si>
  <si>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</si>
  <si>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</si>
  <si>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</si>
  <si>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</si>
  <si>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</si>
  <si>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</si>
  <si>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</si>
  <si>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</si>
  <si>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</si>
  <si>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</si>
  <si>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</si>
  <si>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Impôts fonciers et taxes annexes</t>
  </si>
  <si>
    <t>Patentes, licences et taxes annexes</t>
  </si>
  <si>
    <t>Taxes d'apprentissage</t>
  </si>
  <si>
    <t>Formation professionnelle continue</t>
  </si>
  <si>
    <t>Autres impôts et taxes directs</t>
  </si>
  <si>
    <t>Droits de mutation</t>
  </si>
  <si>
    <t>Droits de timbre</t>
  </si>
  <si>
    <t>Taxes sur les véhicules de société</t>
  </si>
  <si>
    <t>Vignettes</t>
  </si>
  <si>
    <t>Pénalités d'assiette, impôts directs</t>
  </si>
  <si>
    <t>Pénalités d'assiette, impôts indirects</t>
  </si>
  <si>
    <t>Pénalités de recouvrement, impôts directs</t>
  </si>
  <si>
    <t>Pénalités de recouvrement, impôts indirects</t>
  </si>
  <si>
    <t>Autres pénalités et amendes fiscales</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</si>
  <si>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</si>
  <si>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</si>
  <si>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</si>
  <si>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</si>
  <si>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Perte de change sur créances et dettes commerciales</t>
  </si>
  <si>
    <t>Pénalités et amendes pénales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</si>
  <si>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</si>
  <si>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</si>
  <si>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</si>
  <si>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</si>
  <si>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</si>
  <si>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</si>
  <si>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</si>
  <si>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</si>
  <si>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</si>
  <si>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</si>
  <si>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</si>
  <si>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</si>
  <si>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</si>
  <si>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</si>
  <si>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</si>
  <si>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</si>
  <si>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</si>
  <si>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</si>
  <si>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</si>
  <si>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</si>
  <si>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</si>
  <si>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</si>
  <si>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</si>
  <si>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</si>
  <si>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</si>
  <si>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</si>
  <si>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</si>
  <si>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</si>
  <si>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</si>
  <si>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</si>
  <si>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</si>
  <si>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</si>
  <si>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</si>
  <si>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</si>
  <si>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</si>
  <si>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</si>
  <si>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</si>
  <si>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</si>
  <si>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</si>
  <si>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</si>
  <si>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</si>
  <si>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</si>
  <si>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</si>
  <si>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</si>
  <si>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</si>
  <si>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</si>
  <si>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</si>
  <si>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</si>
  <si>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</si>
  <si>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</si>
  <si>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</si>
  <si>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</si>
  <si>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</si>
  <si>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</si>
  <si>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</si>
  <si>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de change financières</t>
  </si>
  <si>
    <t>Pertes sur cessions de titre de placement</t>
  </si>
  <si>
    <t>Malis provenant d’attribution gratuite d’actions au personnel salarié et aux dirigeants</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</si>
  <si>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</si>
  <si>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</si>
  <si>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</si>
  <si>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</si>
  <si>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</si>
  <si>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</si>
  <si>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</si>
  <si>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</si>
  <si>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</si>
  <si>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</si>
  <si>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</si>
  <si>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</si>
  <si>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</si>
  <si>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</si>
  <si>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</si>
  <si>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</si>
  <si>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</si>
  <si>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</si>
  <si>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</si>
  <si>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</si>
  <si>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</si>
  <si>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</si>
  <si>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</si>
  <si>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</si>
  <si>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</si>
  <si>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</si>
  <si>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</si>
  <si>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</si>
  <si>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</si>
  <si>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</si>
  <si>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</si>
  <si>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</si>
  <si>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</si>
  <si>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</si>
  <si>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ZJ</t>
  </si>
  <si>
    <t>du professionnel comptable inscrit à l'Ordre des Experts-comptables ayant établi les états financiers</t>
  </si>
  <si>
    <t>Nom, adresse, téléphone, e-mail et numéro d'inscription à l'Ordre des Experts-comptables</t>
  </si>
  <si>
    <t>de l'Expert comptablble ayant délivré l'attestation d'exécution de la mission du commissariat aux comptes</t>
  </si>
  <si>
    <t>ZT</t>
  </si>
  <si>
    <t>ZU</t>
  </si>
  <si>
    <t>ZV</t>
  </si>
  <si>
    <t>ZW</t>
  </si>
  <si>
    <t>0</t>
  </si>
  <si>
    <t xml:space="preserve"> Société Anonyme (SA)</t>
  </si>
  <si>
    <t>1</t>
  </si>
  <si>
    <t>Société par Actions Simplifiée (SAS)</t>
  </si>
  <si>
    <t>2</t>
  </si>
  <si>
    <t xml:space="preserve"> Société à Responsabilité Limitée (SARL)</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</si>
  <si>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</si>
  <si>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</si>
  <si>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</si>
  <si>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</si>
  <si>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</si>
  <si>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</si>
  <si>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</si>
  <si>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</si>
  <si>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</si>
  <si>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</si>
  <si>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</si>
  <si>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</si>
  <si>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</si>
  <si>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</si>
  <si>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</si>
  <si>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</si>
  <si>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</si>
  <si>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</si>
  <si>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</si>
  <si>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</si>
  <si>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</si>
  <si>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</si>
  <si>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</si>
  <si>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</si>
  <si>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</si>
  <si>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</si>
  <si>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</si>
  <si>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</si>
  <si>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</si>
  <si>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Autres pays</t>
  </si>
  <si>
    <t xml:space="preserve"> (Zone monétaire = Zone franc CFA)</t>
  </si>
  <si>
    <r>
      <t xml:space="preserve"> Pays UEMOA (</t>
    </r>
    <r>
      <rPr>
        <vertAlign val="superscript"/>
        <sz val="9"/>
        <rFont val="Arial"/>
        <family val="2"/>
      </rPr>
      <t>2</t>
    </r>
    <r>
      <rPr>
        <sz val="9"/>
        <rFont val="Arial"/>
        <family val="2"/>
      </rPr>
      <t>)</t>
    </r>
  </si>
  <si>
    <r>
      <t xml:space="preserve"> Pays CEMAC (</t>
    </r>
    <r>
      <rPr>
        <vertAlign val="superscript"/>
        <sz val="9"/>
        <rFont val="Arial"/>
        <family val="2"/>
      </rPr>
      <t>3</t>
    </r>
    <r>
      <rPr>
        <sz val="9"/>
        <rFont val="Arial"/>
        <family val="2"/>
      </rPr>
      <t>)</t>
    </r>
  </si>
  <si>
    <r>
      <t xml:space="preserve"> Autres pays OHADA (</t>
    </r>
    <r>
      <rPr>
        <vertAlign val="superscript"/>
        <sz val="9"/>
        <rFont val="Arial"/>
        <family val="2"/>
      </rPr>
      <t>4</t>
    </r>
    <r>
      <rPr>
        <sz val="9"/>
        <rFont val="Arial"/>
        <family val="2"/>
      </rPr>
      <t>)</t>
    </r>
  </si>
  <si>
    <t>ETATS FINANCIERS NORMALISES
SYSTEME COMPTABLE OHADA (SYSCOHADA)</t>
  </si>
  <si>
    <t>Etats supplémentaires DGI</t>
  </si>
  <si>
    <t>Entités produisant les états financiers à l'aide de l'outil informatique</t>
  </si>
  <si>
    <t>N° de compte contribuable (NCC) :</t>
  </si>
  <si>
    <t>N° de télédéclarant (NTD) :</t>
  </si>
  <si>
    <t xml:space="preserve"> Société Anonyme (SA) à participation publique</t>
  </si>
  <si>
    <t xml:space="preserve">Nom, adresse, téléphone et e-mail du salarié de l'entité ou </t>
  </si>
  <si>
    <t>Adresse e-mail</t>
  </si>
  <si>
    <t xml:space="preserve">Nom, adresse, téléphone, adresse e-mail et qualité de la personne à contacter en cas de demande </t>
  </si>
  <si>
    <t>ZX</t>
  </si>
  <si>
    <t>ZY</t>
  </si>
  <si>
    <t>ZZ1</t>
  </si>
  <si>
    <t>ZZ2</t>
  </si>
  <si>
    <t>ZZ3</t>
  </si>
  <si>
    <t>ZZ4</t>
  </si>
  <si>
    <t>ZZ5</t>
  </si>
  <si>
    <t>ZZ6</t>
  </si>
  <si>
    <t>ZZ7</t>
  </si>
  <si>
    <t>Contrôle de l'Entité (cocher la case)</t>
  </si>
  <si>
    <t xml:space="preserve"> Entité sous contrôle public</t>
  </si>
  <si>
    <t xml:space="preserve"> Entité sous contrôle privé national</t>
  </si>
  <si>
    <t xml:space="preserve"> Entité sous contrôle privé étranger</t>
  </si>
  <si>
    <t>ACTIVITE DE L'ENTITE</t>
  </si>
  <si>
    <r>
      <t>Divers  (</t>
    </r>
    <r>
      <rPr>
        <vertAlign val="superscript"/>
        <sz val="8"/>
        <rFont val="Arial"/>
        <family val="2"/>
      </rPr>
      <t>4</t>
    </r>
    <r>
      <rPr>
        <sz val="8"/>
        <rFont val="Arial"/>
        <family val="2"/>
      </rPr>
      <t>)</t>
    </r>
  </si>
  <si>
    <t>Nom et Prénoms</t>
  </si>
  <si>
    <t>Adresse (BP, ville, pays, adresse géographique et adresse email)</t>
  </si>
  <si>
    <t>Structure représentée</t>
  </si>
  <si>
    <t>ACTIF CIRCULANT  ET DETTES CIRCULANTES HAO</t>
  </si>
  <si>
    <t>NOTE 8B</t>
  </si>
  <si>
    <t>TABLEAU D’ETALEMENT DES PROVISIONS POUR CHARGES A REPARTIR</t>
  </si>
  <si>
    <t>NOTE 8C</t>
  </si>
  <si>
    <t>TABLEAU D'ETALEMENT DES PROVISIONS POUR ENGAGEMENT DE RETRAITE</t>
  </si>
  <si>
    <t>NOTE 28A</t>
  </si>
  <si>
    <t>NOTE 28B</t>
  </si>
  <si>
    <t>DEPRECIATIONS DES IMMOBILISATIONS</t>
  </si>
  <si>
    <t>NOTE 28C</t>
  </si>
  <si>
    <t>AUTRES DEPRECIATIONS</t>
  </si>
  <si>
    <t>NOTE 37</t>
  </si>
  <si>
    <t xml:space="preserve">EVENEMENTS POSTERIEURS A LA CLOTURE DE L'EXERCICE </t>
  </si>
  <si>
    <t>NOTE 38</t>
  </si>
  <si>
    <t>ETATS SUPPLEMENTAIRES  DGI</t>
  </si>
  <si>
    <t xml:space="preserve">N° de télédéclarant (NTD): </t>
  </si>
  <si>
    <t>FICHE R4</t>
  </si>
  <si>
    <t>NOTE 37
SYSTEME NORMAL</t>
  </si>
  <si>
    <t>A - EVENEMENTS POSTERIEURS A LA DATE DE CLOTURE DONNANT LIEU A DES AJUSTEMENTS DES ETATS FINANCIERS</t>
  </si>
  <si>
    <t xml:space="preserve"> </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</si>
  <si>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</si>
  <si>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</si>
  <si>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</si>
  <si>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</si>
  <si>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</si>
  <si>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</si>
  <si>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d'exploitation._x000D_
_x000D_
</t>
  </si>
  <si>
    <t>Donner des précisions sur les valeurs liquidatives retenues</t>
  </si>
  <si>
    <t>NOTE 38
SYSTEME NORMAL</t>
  </si>
  <si>
    <t>A – CHANGEMENTS DE METHODES COMPTABLES</t>
  </si>
  <si>
    <t xml:space="preserve">1.       Changement de réglementation comptable </t>
  </si>
  <si>
    <t>•   l’entité doit indiquer l’impact du changement  de réglementation comptable (par exemple lors du passage</t>
  </si>
  <si>
    <t>•  l’entité doit présenter les  principaux postes des exercices antérieurs présentés, retraités selon la</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</si>
  <si>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</si>
  <si>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</si>
  <si>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</si>
  <si>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</si>
  <si>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</si>
  <si>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l’entité doit présenter les  principaux postes des exercices antérieurs présentés, retraités selon la</t>
  </si>
  <si>
    <t xml:space="preserve">B – CHANGEMENTS D’ESTIMATIONS </t>
  </si>
  <si>
    <t>C – CORRECTIONS D’ERREURS</t>
  </si>
  <si>
    <t xml:space="preserve">Commentaire : </t>
  </si>
  <si>
    <t xml:space="preserve">•  l’entité doit indiquer  la nature des erreurs corrigées (erreurs commises et découvertes sur l’exercice en cours </t>
  </si>
  <si>
    <t xml:space="preserve">•  l’entité doit présenter les  principaux postes des exercices antérieurs présentés, corrigés des erreurs </t>
  </si>
  <si>
    <t>FICHE RECAPITULATIVE DES ETATS SUPPLEMENTAIRES  DGI  PRESENTES (1)</t>
  </si>
  <si>
    <t>ELEMENTS STATISTIQUES UEMOA</t>
  </si>
  <si>
    <t>CREANCES ET DETTES ECHUES DE L'EXERCICE</t>
  </si>
  <si>
    <t>A : Applicable       N/A : Non applicable.</t>
  </si>
  <si>
    <t>T.V.A. supportée non déductible sur les immobilisations</t>
  </si>
  <si>
    <t>T.V.A. supportée non déductible sur les achats de biens et de services</t>
  </si>
  <si>
    <t>Total T.V.A. supportée non déductible de la période</t>
  </si>
  <si>
    <t>ETAT SUPPLEMENTAIRE N°3</t>
  </si>
  <si>
    <t>ETAT SUPPLEMENTAIRE N°5</t>
  </si>
  <si>
    <t>ETAT SUPPLEMENTAIRE N°6</t>
  </si>
  <si>
    <t>ETAT SUPPLEMENTAIRE N°7</t>
  </si>
  <si>
    <t>CREANCES &amp; DETTES ECHUES DE L'EXERCICE</t>
  </si>
  <si>
    <t>CREANCES ECHUES DE L'EXERCICE</t>
  </si>
  <si>
    <t>PRINCIPAL</t>
  </si>
  <si>
    <t>DETTES ECHUES DE L'EXERCICE</t>
  </si>
  <si>
    <t>(2) A : Applicable    A/N : Non applicable.</t>
  </si>
  <si>
    <t>NOTE 2: INFORMATIONS OBLIGATOIRES</t>
  </si>
  <si>
    <t>FICHE  R1 : FICHE D'IDENTIFICATION ET RENSEIGNEMENTS DIVERS 1</t>
  </si>
  <si>
    <t>FICHE  R2 : FICHE D'IDENTIFICATION ET RENSEIGNEMENTS DIVERS 2</t>
  </si>
  <si>
    <t>FICHE  R3 : FICHE D'IDENTIFICATION ET RENSEIGNEMENTS DIVERS 3</t>
  </si>
  <si>
    <t>NOTE 4 : IMMOBILISATIONS FINANCIERES</t>
  </si>
  <si>
    <t>NOTE 6 : STOCKS ET EN COURS (1)</t>
  </si>
  <si>
    <t>NOTE 7 : CLIENTS</t>
  </si>
  <si>
    <t>NOTE 8 : AUTRES CREANCES</t>
  </si>
  <si>
    <t>PROVISIONS POUR CHARGES A REPARTIR</t>
  </si>
  <si>
    <t>791 Reprises de provisions et dépréciations d'exploitation</t>
  </si>
  <si>
    <t>Total exercice 2018</t>
  </si>
  <si>
    <t>Total exercice 2019</t>
  </si>
  <si>
    <t>Total exercice 2020</t>
  </si>
  <si>
    <t>Total exercice 2021</t>
  </si>
  <si>
    <t>Total exercice 2022</t>
  </si>
  <si>
    <t>PROVISIONS POUR PENSIONS ET OBLIGATIONS SIMILAIRES</t>
  </si>
  <si>
    <t>6911 Dotation aux provisions pour risques et charges</t>
  </si>
  <si>
    <t>NOTE 9 : TITRES DE PLACEMENT</t>
  </si>
  <si>
    <t>NOTE 10 : VALEURS A ENCAISSER</t>
  </si>
  <si>
    <t>NOTE 11 : DISPONIBILITES</t>
  </si>
  <si>
    <t>NOTE 12 : ECARTS DE CONVERSION ET TRANSFERTS DE CHARGES</t>
  </si>
  <si>
    <t>NOTE 13 : CAPITAL</t>
  </si>
  <si>
    <t>NOTE 14 : PRIMES ET RESERVES</t>
  </si>
  <si>
    <t>Sigle usuel:</t>
  </si>
  <si>
    <t>NOTE 36 : TABLE DES CODES</t>
  </si>
  <si>
    <t>3- Code pays du siège social</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</si>
  <si>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</si>
  <si>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</si>
  <si>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</si>
  <si>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</si>
  <si>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r>
      <t>1- Code forme juridique</t>
    </r>
    <r>
      <rPr>
        <b/>
        <vertAlign val="superscript"/>
        <sz val="10"/>
        <rFont val="Arial"/>
        <family val="2"/>
      </rPr>
      <t xml:space="preserve"> (1)</t>
    </r>
  </si>
  <si>
    <t>Adresse (BP, ville, pays, adresse
géographique et adresse email)</t>
  </si>
  <si>
    <t>(1)</t>
  </si>
  <si>
    <t>(1) (+/-) : Solde débiteur "(-)", solde créditeur "(+)"</t>
  </si>
  <si>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</si>
  <si>
    <t>Commentaire:</t>
  </si>
  <si>
    <t>Commentaire :</t>
  </si>
  <si>
    <t xml:space="preserve">[1] I : Crédit-bail immobilier ; M : Crédit-bail mobilier ; A : Autres contrats (dédoubler le poste si montants </t>
  </si>
  <si>
    <t>Montant réévalués</t>
  </si>
  <si>
    <t>Matériel, mobilier</t>
  </si>
  <si>
    <t>TOTAL  IMMOBILISATIONS EN LOCATION-ACQUISITION</t>
  </si>
  <si>
    <r>
      <t xml:space="preserve">AUGMENTATIONS </t>
    </r>
    <r>
      <rPr>
        <b/>
        <sz val="8"/>
        <color theme="1"/>
        <rFont val="Arial"/>
        <family val="2"/>
      </rPr>
      <t>B</t>
    </r>
  </si>
  <si>
    <r>
      <t xml:space="preserve">DIMINUTIONS </t>
    </r>
    <r>
      <rPr>
        <b/>
        <sz val="8"/>
        <color theme="1"/>
        <rFont val="Arial"/>
        <family val="2"/>
      </rPr>
      <t>C</t>
    </r>
  </si>
  <si>
    <t>Part de bénéfice reçue de la filiale (2)</t>
  </si>
  <si>
    <t>Résultat dernier exercice filiale
(1)</t>
  </si>
  <si>
    <t>(1): Préciser s'il s'agit du résultat de l'exercice N ou du résultat de l'exercice N-1</t>
  </si>
  <si>
    <t>(2): S'il s'agit du résultat de l'exercice n-1, renseigner la colonne "part du bénéfice reçue de la filiale"</t>
  </si>
  <si>
    <t>•     Dépréciation : indiquer les évènements et les circonstances qui ont motivé la dépréciation ou la reprise.</t>
  </si>
  <si>
    <t xml:space="preserve"> NOTE 5 : ACTIF CIRCULANT ET DETTES CIRCULANTES  HAO</t>
  </si>
  <si>
    <t xml:space="preserve"> ACTIF CIRCULANT HAO</t>
  </si>
  <si>
    <r>
      <t>Commentaire</t>
    </r>
    <r>
      <rPr>
        <sz val="9"/>
        <color indexed="8"/>
        <rFont val="Times New Roman"/>
        <family val="1"/>
      </rPr>
      <t>:</t>
    </r>
  </si>
  <si>
    <t>•     Commenter toute variation significative.</t>
  </si>
  <si>
    <t>Comptes de liaison charges et produits</t>
  </si>
  <si>
    <t>Comptes de liaison des sociétés en participation</t>
  </si>
  <si>
    <t>Compte transitoire à solder: 4751 compte transitoire, ajustement lié à la révision du SYSCOHADA, compte-actif</t>
  </si>
  <si>
    <t>Exercice 2018</t>
  </si>
  <si>
    <t>Autres Banques</t>
  </si>
  <si>
    <t>NB : Banques et intérêts courus et Etablissement financiers intérêts courus figurent dans cette rubrique en négatif si le compte principal attaché est débiteur</t>
  </si>
  <si>
    <t>(1): Leurs comptes d'origine: autrement dit indiquerles numéros de comptes d'où le transfert est effectué.</t>
  </si>
  <si>
    <t>Nom et prénoms ou raison sociale</t>
  </si>
  <si>
    <t>Autres nationalités à préciser</t>
  </si>
  <si>
    <t>N° de compte contribuable</t>
  </si>
  <si>
    <t>Pays de résidence</t>
  </si>
  <si>
    <t>Report à nouveau</t>
  </si>
  <si>
    <t>Entités et organismes privés</t>
  </si>
  <si>
    <t>TOTAL EMPRUNTS ET DETTES FINANCIERES</t>
  </si>
  <si>
    <t>Provisions pour pensions et obligations assimilées - engagements de retraite</t>
  </si>
  <si>
    <t>Actif du régime de retraite (1)</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</si>
  <si>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</si>
  <si>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</si>
  <si>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NOTE 17 : FOURNISSEURS D'EXPLOITATION</t>
  </si>
  <si>
    <t>Etat, TVA</t>
  </si>
  <si>
    <t>NOTE 20 : BANQUES, CREDIT D'ESCOMPTE ET DE TRESORERIE</t>
  </si>
  <si>
    <t>NB : Banques et intérêts courus figurent dans cette rubrique si le compte principal attaché est créditeur.</t>
  </si>
  <si>
    <t>NOTE 21 : CHIFFRE D’AFFAIRES ET AUTRES PRODUITS</t>
  </si>
  <si>
    <t>Autres produits (1)</t>
  </si>
  <si>
    <t>(1): Sous cette rubrique, les "Divers" de la FIRD 2 ne doivent pas figurer. Il s'agit ici des comptes 75…</t>
  </si>
  <si>
    <t>Frais sur achats (1)</t>
  </si>
  <si>
    <t>Remises rabais, remises et ristournes (non ventilés)</t>
  </si>
  <si>
    <t>(1) voir la note "SUPPL5"</t>
  </si>
  <si>
    <t>NOTE 22 : ACHATS</t>
  </si>
  <si>
    <t>NOTE 23 : TRANSPORTS</t>
  </si>
  <si>
    <t>Voyage déplacement (transport)</t>
  </si>
  <si>
    <t>Transport entre établissements ou chantiers</t>
  </si>
  <si>
    <t>NOTE 23
SYSTEME NORMAL</t>
  </si>
  <si>
    <t>NOTE 24 : SERVICES EXTERIEURS</t>
  </si>
  <si>
    <t>NOTE 25 : IMPOTS ET TAXES</t>
  </si>
  <si>
    <t>NOTE 26 : AUTRES CHARGES</t>
  </si>
  <si>
    <t>Rémunérations directes versées au personnel national</t>
  </si>
  <si>
    <t>Rémunérations directes versées au personnel non national</t>
  </si>
  <si>
    <t>Charges de sécurité sociale (personnel national)</t>
  </si>
  <si>
    <t>Charges de sécurité sociale (personnel non national)</t>
  </si>
  <si>
    <t>Total frais de personnel ligne RK
( A + B + C)</t>
  </si>
  <si>
    <t>NOTE 29 : CHARGES ET REVENUS FINANCIERS</t>
  </si>
  <si>
    <t>SOUS TOTAL : FRAIS FINANCIERS (A)</t>
  </si>
  <si>
    <t>SOUS TOTAL : REVENUS FINANCIERS (B)</t>
  </si>
  <si>
    <t>SOUS TOTAL (contrôle) : RESULTAT FINANCIER (B) - (A)</t>
  </si>
  <si>
    <t>NOTE 30 : AUTRES  CHARGES ET PRODUITS HAO</t>
  </si>
  <si>
    <t>SOUS TOTAL : AUTRES CHARGES HAO (ligne RP du CR)</t>
  </si>
  <si>
    <t>SOUS TOTAL : AUTRES PRODUITS HAO (ligne TO du CR)</t>
  </si>
  <si>
    <t>(CR): Compte de résultat</t>
  </si>
  <si>
    <t>NOTE 31 : REPARTITION DU RESULTAT ET AUTRES ELEMENTS CARACTERISTIQUES DES CINQ DERNIERS EXERCICES</t>
  </si>
  <si>
    <t>NOTE 32 : PRODUCTION DE L'EXERCICE</t>
  </si>
  <si>
    <t>NON VENTILE (1)</t>
  </si>
  <si>
    <t>(1) Le montant doit être inférieur ou égal à 1% du total des produits</t>
  </si>
  <si>
    <t>NOTE 33 : ACHATS DESTINES A LA PRODUCTION</t>
  </si>
  <si>
    <t>NON VENTILES (1)</t>
  </si>
  <si>
    <t>(1) Le montant doit être inférieur ou égal  à 1% du total des achats</t>
  </si>
  <si>
    <t>+ Revenus financiers</t>
  </si>
  <si>
    <t>+ Produits HAO</t>
  </si>
  <si>
    <t xml:space="preserve"> - Charges HAO</t>
  </si>
  <si>
    <t xml:space="preserve"> - Frais financiers</t>
  </si>
  <si>
    <t xml:space="preserve"> - Impôts sur les résultats</t>
  </si>
  <si>
    <t xml:space="preserve"> - Participations</t>
  </si>
  <si>
    <t>NOTE 35
SYSTEME NORMAL</t>
  </si>
  <si>
    <t xml:space="preserve">Date d'arrêté des états financiers : </t>
  </si>
  <si>
    <t>Organe ayant autorisé la publication des comptes :</t>
  </si>
  <si>
    <t>ETATS SUPPLEMENTAIRES
DIRECTION GENERALE DES IMPOTS</t>
  </si>
  <si>
    <t>Variation N/N-1</t>
  </si>
  <si>
    <t>En valeur</t>
  </si>
  <si>
    <t>En %</t>
  </si>
  <si>
    <t>TOTAL DES CHARGES ORDINAIRES</t>
  </si>
  <si>
    <t>ETAT TVA SUPPORTEE NON DEDUCTIBLE
(Inscrire les mouvements de la période et non les soldes des comptes)</t>
  </si>
  <si>
    <t>BILAN SYSTEME NORMAL
PAGE 1/1</t>
  </si>
  <si>
    <t>COMPTE DE RESULTAT SYSTEME NORMAL 
PAGE 1/1</t>
  </si>
  <si>
    <t>FLUX DE TRESORERIE SYSTEME NORMAL 
PAGE 1/1</t>
  </si>
  <si>
    <t>ECARTS DE CONVERSION ET TRANSFERT DE CHARGES</t>
  </si>
  <si>
    <t>NOTE 1
SYSTEME NORMAL</t>
  </si>
  <si>
    <t>NOTE 2
SYSTEME NORMAL</t>
  </si>
  <si>
    <t>NOTE 4
SYSTEME NORMAL</t>
  </si>
  <si>
    <t>NOTE 5
SYSTEME NORMAL</t>
  </si>
  <si>
    <t>NOTE 6
SYSTEME NORMAL</t>
  </si>
  <si>
    <t>NOTE 7
SYSTEME NORMAL</t>
  </si>
  <si>
    <t>NOTE 8
SYSTEME NORMAL</t>
  </si>
  <si>
    <t>Compte transitoire à solder: 4752 compte transitoire
ajustement spécial lié à la révision du SYSCOHADA, compte-passif</t>
  </si>
  <si>
    <t>NOTE 9
SYSTEME NORMAL</t>
  </si>
  <si>
    <t>NOTE 10
SYSTEME NORMAL</t>
  </si>
  <si>
    <t>NOTE 11
SYSTEME NORMAL</t>
  </si>
  <si>
    <t>NOTE 12
SYSTEME NORMAL</t>
  </si>
  <si>
    <t xml:space="preserve">Commentaire: </t>
  </si>
  <si>
    <t>NOTE 35 : LISTE DES INFORMATIONS SOCIALES, ENVIRONNEMENTALES ET SOCIETALES A FOURNIR</t>
  </si>
  <si>
    <r>
      <rPr>
        <b/>
        <sz val="9"/>
        <color indexed="8"/>
        <rFont val="Arial"/>
        <family val="2"/>
      </rPr>
      <t>Commentaire :</t>
    </r>
    <r>
      <rPr>
        <sz val="9"/>
        <color theme="1"/>
        <rFont val="Arial"/>
        <family val="2"/>
      </rPr>
      <t xml:space="preserve"> l’entité doit indiquer et justifier le changement d’estimation ; </t>
    </r>
  </si>
  <si>
    <t xml:space="preserve">   d’un exercice antérieur.</t>
  </si>
  <si>
    <t xml:space="preserve">   et erreurs d’un exercice antérieur)  ;</t>
  </si>
  <si>
    <t xml:space="preserve">    nouvelle méthode en cas de changement de méthode comptable appliqué de manière rétrospective,</t>
  </si>
  <si>
    <t xml:space="preserve">    les postes concernés ;</t>
  </si>
  <si>
    <t xml:space="preserve">   nouvelle méthode en cas de changement de réglementation comptable appliqué de manière rétrospective,</t>
  </si>
  <si>
    <t xml:space="preserve">    au SYSCOHADA révisé) déterminé à l’ouverture en précisant les postes concernés ; </t>
  </si>
  <si>
    <t>NOTE 14
SYSTEME NORMAL</t>
  </si>
  <si>
    <t>NOTE 13
SYSTEME NORMAL</t>
  </si>
  <si>
    <t>NOTE 36
SYSTEME NORMAL</t>
  </si>
  <si>
    <t>NOTE 33
SYSTEME NORMAL</t>
  </si>
  <si>
    <r>
      <t>Produits accessoires à détailler par nature d'activité économique :</t>
    </r>
    <r>
      <rPr>
        <b/>
        <i/>
        <sz val="9"/>
        <rFont val="Arial"/>
        <family val="2"/>
      </rPr>
      <t xml:space="preserve">
dont le détail de la rubrique "Divers" de la FIRD 2</t>
    </r>
  </si>
  <si>
    <t>NOTE 18 : DETTES FISCALES ET SOCIALES</t>
  </si>
  <si>
    <t>N°
d'identification
fiscale</t>
  </si>
  <si>
    <t>●   Toute variation significative doit être commentée.</t>
  </si>
  <si>
    <t>●   Détailler les éléments constitutifs du fonds commercial et indiquer la date d'acquisition.</t>
  </si>
  <si>
    <t>●   Pour l'immobilisation incorporelle relative à la concession faire un descriptif de l'accord.</t>
  </si>
  <si>
    <t>●   Indiquer :</t>
  </si>
  <si>
    <t>●   Indiquer les créances du groupe avec nature et date d'échéance.</t>
  </si>
  <si>
    <t>●   Pour les banques, DAT indiquer le nom de la banque le montant et la date d'échéance.</t>
  </si>
  <si>
    <t>●   Indiquer</t>
  </si>
  <si>
    <t>●   Mentionner la justification de la cession ainsi que la date d'acquisition et la date de sortie.</t>
  </si>
  <si>
    <t>●   Justifier toute variation significative.</t>
  </si>
  <si>
    <t>●   Pour les créances relatives à la concession, faire un descriptif de l'accord.</t>
  </si>
  <si>
    <t>●   Indiquer le nombre et la date d'acquisition des actions ou parts propres.</t>
  </si>
  <si>
    <t>●   Dépréciation : indiquer les évènements et les circonstances qui ont motivé la dépréciation ou la reprise.</t>
  </si>
  <si>
    <t>●   Indiquer la date de cession et la nature de l'immobilisation achetée et/ou cédée.</t>
  </si>
  <si>
    <t>●   Expliciter toute variation significative.</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</si>
  <si>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</si>
  <si>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</si>
  <si>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</si>
  <si>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Commenter toutes variations significatives.</t>
  </si>
  <si>
    <t>●   Indiquer pour les créances du groupe, le nom de la société du groupe et le % de titres détenues.</t>
  </si>
  <si>
    <t>●   Commenter les créances anciennes.</t>
  </si>
  <si>
    <t>●   Indiquer les événements et circonstances qui ont conduit à la dépréciation et à la reprise.</t>
  </si>
  <si>
    <t>●   Détailler les créances dont le montant est significatif.</t>
  </si>
  <si>
    <t>●   Justifier les créances anciennes.</t>
  </si>
  <si>
    <t>●   Compte transitoire ajustement spécial, indiquer le détail du compte et la durée restant pour l'apurement.</t>
  </si>
  <si>
    <t>●   Pour les titres cotés à une bourse de valeur : indiquer le nombre, le prix unitaire d'acquisition et le cours de la bourse au 31 décembre.</t>
  </si>
  <si>
    <t>●   Faire ressortir les actions ou parts propres et indiquer la date d'acquisition et le nombre de titres détenus.</t>
  </si>
  <si>
    <t>●   Commenter toute variation significative ;</t>
  </si>
  <si>
    <t>●   Indiquer la date de rapprochement des comptes bancaires.</t>
  </si>
  <si>
    <t>●   Indiquer si possible les dates des AGE et le montant du capital augmenté en cas d'augmentation de capital.</t>
  </si>
  <si>
    <t>●   Commenter toute variation significative.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</si>
  <si>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</si>
  <si>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</si>
  <si>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</si>
  <si>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   Commenter toutes les créances anciennes.</t>
  </si>
  <si>
    <t>IMMOBILISATIONS (BRUTES)</t>
  </si>
  <si>
    <t>BIENS PRIS EN LOCATION-ACQUISITION</t>
  </si>
  <si>
    <t>IMMOBILISATIONS (AMORTISSEMENTS)</t>
  </si>
  <si>
    <t>IMMOBILISATIONS (PLUS-VALUES ET MOINS- VALUES DE CESSION)</t>
  </si>
  <si>
    <t>ACTIF CIRCULANT ET DETTES CIRCULANTES  HAO</t>
  </si>
  <si>
    <t>DETTES CIRCULANTES HAO</t>
  </si>
  <si>
    <t>STOCKS ET EN COURS (1)</t>
  </si>
  <si>
    <t>ECARTS DE CONVERSION ET TRANSFERTS DE CHARGES</t>
  </si>
  <si>
    <t>CAPITAL</t>
  </si>
  <si>
    <t>TOTAL SUBVENTIONS D'INVESTISSEMENT ET PROVISIONS REGLEMENTEES</t>
  </si>
  <si>
    <t>ENGAGEMENTS DE RETRAITE ET AVANTAGES ASSIMILES : PARTIE 1 (METHODE ACTUARIELLE)</t>
  </si>
  <si>
    <t>ENGAGEMENTS DE RETRAITE ET AVANTAGES ASSIMILES : PARTIE 2 (METHODE ACTUARIELLE)</t>
  </si>
  <si>
    <t>+ Emprunts</t>
  </si>
  <si>
    <t>+ Autres dettes financières diverses</t>
  </si>
  <si>
    <t>- 5 -</t>
  </si>
  <si>
    <t>Immobilisations</t>
  </si>
  <si>
    <t>Achats de
matières premières
et fournitures liées</t>
  </si>
  <si>
    <t>Flux de trésorerie provenant des activités opérationnelles  (Somme FA à FE)</t>
  </si>
  <si>
    <t>Engagements réciproques</t>
  </si>
  <si>
    <t>CUMUL DES
AMORTISSEMENTS
A LA CLOTURE
DE L'EXERCICE</t>
  </si>
  <si>
    <r>
      <t>Chiffre d'affaires HT 
(CA HT) ou Valeur ajoutée (VA) (</t>
    </r>
    <r>
      <rPr>
        <vertAlign val="superscript"/>
        <sz val="9"/>
        <rFont val="Arial"/>
        <family val="2"/>
      </rPr>
      <t>3</t>
    </r>
    <r>
      <rPr>
        <sz val="9"/>
        <rFont val="Arial"/>
        <family val="2"/>
      </rPr>
      <t>) (</t>
    </r>
    <r>
      <rPr>
        <vertAlign val="superscript"/>
        <sz val="9"/>
        <rFont val="Arial"/>
        <family val="2"/>
      </rPr>
      <t>4</t>
    </r>
    <r>
      <rPr>
        <sz val="9"/>
        <rFont val="Arial"/>
        <family val="2"/>
      </rPr>
      <t>)</t>
    </r>
  </si>
  <si>
    <r>
      <t>Code nomenclature
d'activité (</t>
    </r>
    <r>
      <rPr>
        <vertAlign val="superscript"/>
        <sz val="9"/>
        <rFont val="Arial"/>
        <family val="2"/>
      </rPr>
      <t>1</t>
    </r>
    <r>
      <rPr>
        <sz val="9"/>
        <rFont val="Arial"/>
        <family val="2"/>
      </rPr>
      <t>)</t>
    </r>
  </si>
  <si>
    <t>Désignation de l'activité (2)</t>
  </si>
  <si>
    <t>% activité
dans le CA HT ou la VA</t>
  </si>
  <si>
    <r>
      <t>(</t>
    </r>
    <r>
      <rPr>
        <vertAlign val="superscript"/>
        <sz val="8"/>
        <rFont val="Arial"/>
        <family val="2"/>
      </rPr>
      <t>1</t>
    </r>
    <r>
      <rPr>
        <sz val="8"/>
        <rFont val="Arial"/>
        <family val="2"/>
      </rPr>
      <t>) Note 36 Suite (Nomenclature)</t>
    </r>
  </si>
  <si>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</si>
  <si>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Dettes de location-acquisition</t>
  </si>
  <si>
    <t>Provisions pour risques et charges à court terme</t>
  </si>
  <si>
    <t>VALEUR AJOUTEE (XB +RA+RB) + (somme TE à RJ)</t>
  </si>
  <si>
    <t>RESULTAT  FINANCIER  (somme TK à RN)</t>
  </si>
  <si>
    <t>RESULTAT HORS ACTIVITES ORDINAIRES (somme TN à RP)</t>
  </si>
  <si>
    <t>TABLEAU DES FLUX DE TRESORERIE</t>
  </si>
  <si>
    <t>Flux de trésorerie provenant des activités d’investissement (somme FF à FJ)</t>
  </si>
  <si>
    <t>Flux de trésorerie provenant des capitaux propres (somme FK à FN)</t>
  </si>
  <si>
    <t>Flux de trésorerie provenant des capitaux étrangers (somme FO à FQ)</t>
  </si>
  <si>
    <t>DETTES GARANTIES PAR DES SURETES REELLES ET LES ENGAGEMENTS FINANCIERS</t>
  </si>
  <si>
    <t>IMMOBILISATIONS BRUTES</t>
  </si>
  <si>
    <t>NOTE 3C bis</t>
  </si>
  <si>
    <t>IMMOBILISATIONS : DEPRECIATIONS</t>
  </si>
  <si>
    <t>ENGAGEMENTS DE RETRAITE ET AVANTAGES ASSIMILES : (METHODE ACTUARIELLE)</t>
  </si>
  <si>
    <t>ENGAGEMENTS DE RETRAITE ET AVANTAGES ASSIMILES : (METHODE ACTUARIELLE SUITE)</t>
  </si>
  <si>
    <t>Durée (mois) :</t>
  </si>
  <si>
    <t>DEPRECIATIONS
CUMULES
A L'OUVERTURE
DE L'EXERCICE</t>
  </si>
  <si>
    <t>DIMINUTIONS :
REPRISES
DE L'EXERCICE</t>
  </si>
  <si>
    <t>CUMUL DES
DEPRECIATIONS
A LA CLOTURE
DE L'EXERCICE</t>
  </si>
  <si>
    <t>NOTE 28</t>
  </si>
  <si>
    <t>DOTATIONS ET CHARGES POUR PROVISIONS ET DEPRECIATIONS</t>
  </si>
  <si>
    <t>TABLES DES CODES</t>
  </si>
  <si>
    <r>
      <t xml:space="preserve">FICHE R4  : FICHE RECAPITULATIVE DES NOTES ANNEXES PRESENTEES </t>
    </r>
    <r>
      <rPr>
        <b/>
        <vertAlign val="superscript"/>
        <sz val="11"/>
        <color rgb="FF006600"/>
        <rFont val="Arial"/>
        <family val="2"/>
      </rPr>
      <t>(1)</t>
    </r>
  </si>
  <si>
    <t>NOTE 1: DETTES GARANTIES PAR DES SURETES REELLES ET LES ENGAGEMENTS FINANCIERS</t>
  </si>
  <si>
    <r>
      <t>SURETES REELLES (</t>
    </r>
    <r>
      <rPr>
        <vertAlign val="superscript"/>
        <sz val="9"/>
        <color theme="1"/>
        <rFont val="Arial"/>
        <family val="2"/>
      </rPr>
      <t>2</t>
    </r>
    <r>
      <rPr>
        <sz val="9"/>
        <color theme="1"/>
        <rFont val="Arial"/>
        <family val="2"/>
      </rPr>
      <t>)</t>
    </r>
  </si>
  <si>
    <r>
      <t>Montant
brut (</t>
    </r>
    <r>
      <rPr>
        <vertAlign val="superscript"/>
        <sz val="9"/>
        <color theme="1"/>
        <rFont val="Arial"/>
        <family val="2"/>
      </rPr>
      <t>1</t>
    </r>
    <r>
      <rPr>
        <sz val="9"/>
        <color theme="1"/>
        <rFont val="Arial"/>
        <family val="2"/>
      </rPr>
      <t>)</t>
    </r>
  </si>
  <si>
    <t>Emprunts et dettes financières diverses :</t>
  </si>
  <si>
    <t>Autres dettes sur contrats de location-acquisition</t>
  </si>
  <si>
    <t>Primes de remboursement des obligations non échues</t>
  </si>
  <si>
    <t>Achats de marchandises à terme</t>
  </si>
  <si>
    <t>Achats à terme de devises non couverts</t>
  </si>
  <si>
    <t>Commandes fermes des clients</t>
  </si>
  <si>
    <t>Autres engagements réciproques</t>
  </si>
  <si>
    <t>(1) indiquer le montant de la garantie</t>
  </si>
  <si>
    <t xml:space="preserve">(2) indiquer les références de la sûreté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</si>
  <si>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</si>
  <si>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</si>
  <si>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</si>
  <si>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</si>
  <si>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</si>
  <si>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r>
      <rPr>
        <b/>
        <sz val="8"/>
        <rFont val="Times New Roman"/>
        <family val="1"/>
      </rPr>
      <t>Commentaire :</t>
    </r>
    <r>
      <rPr>
        <sz val="8"/>
        <rFont val="Times New Roman"/>
        <family val="1"/>
      </rPr>
      <t xml:space="preserve">  </t>
    </r>
  </si>
  <si>
    <t>A - DECLARATION DE CONFORMITE AU SYSCOHADA ET FAITS MARQUANTS DE L'EXERCICE</t>
  </si>
  <si>
    <t xml:space="preserve">Commentaire :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</si>
  <si>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</si>
  <si>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</si>
  <si>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 xml:space="preserve">●  Mentionner les faits marquants après la déclaration de conformité. </t>
  </si>
  <si>
    <t>D - INFORMATIONS COMPLEMENTAIRES RELATIVES AU BILAN, AU COMPTE DE RESULTAT ET
AU TABLEAU DES FLUX DE TRESORERIE</t>
  </si>
  <si>
    <t>Avances et acomptes sur immobilisations incorporelles</t>
  </si>
  <si>
    <t>Avances et acomptes sur immobilisations corporelles</t>
  </si>
  <si>
    <t>●  Pour les frais de développement, donner toutes les informations mentionnées dans la partie Opérations et problèmes spécifiques.</t>
  </si>
  <si>
    <t>●  Donner le détail des produits et charges liés aux immeubles de placement.</t>
  </si>
  <si>
    <r>
      <rPr>
        <sz val="8"/>
        <color theme="1"/>
        <rFont val="Calibri"/>
        <family val="2"/>
      </rPr>
      <t xml:space="preserve">●   </t>
    </r>
    <r>
      <rPr>
        <i/>
        <sz val="8"/>
        <color theme="1"/>
        <rFont val="Times New Roman"/>
        <family val="1"/>
      </rPr>
      <t>Indiquer la nature du bien, le nom du bailleur et la durée du bail.</t>
    </r>
  </si>
  <si>
    <t>AUGMENTATIONS:</t>
  </si>
  <si>
    <t>DIMINUTIONS :</t>
  </si>
  <si>
    <t>Reprises d'amortissements</t>
  </si>
  <si>
    <t>E = A + B - C - D</t>
  </si>
  <si>
    <t>-   les modes d'amortissement utilisés ;</t>
  </si>
  <si>
    <t>-   la durée d'utilité ou les taux d'amortissements utilisés.</t>
  </si>
  <si>
    <t>DOTATIONS 
DE L'EXERCICE</t>
  </si>
  <si>
    <t>Amortissements
relatifs aux éléments
sortis de l'actif</t>
  </si>
  <si>
    <t>Montants en
coûts
historiques</t>
  </si>
  <si>
    <t>Créances rattachées à des avances et participations à des GIE</t>
  </si>
  <si>
    <t>Immobilisations financières diverses</t>
  </si>
  <si>
    <t>Dépréciations des titres de participation</t>
  </si>
  <si>
    <t>Dépréciations des autres immobilisations financières</t>
  </si>
  <si>
    <r>
      <t>Commentaire</t>
    </r>
    <r>
      <rPr>
        <sz val="8"/>
        <color indexed="8"/>
        <rFont val="Times New Roman"/>
        <family val="1"/>
      </rPr>
      <t>:</t>
    </r>
  </si>
  <si>
    <r>
      <t xml:space="preserve">Commentaire </t>
    </r>
    <r>
      <rPr>
        <sz val="8"/>
        <color indexed="8"/>
        <rFont val="Times New Roman"/>
        <family val="1"/>
      </rPr>
      <t>:</t>
    </r>
  </si>
  <si>
    <t>Variation de stock
en valeur absolue</t>
  </si>
  <si>
    <t>Clients (hors réserves de propriété et Groupe)</t>
  </si>
  <si>
    <t>Clients effets à recevoir 
(hors réserves de propriété et groupe)</t>
  </si>
  <si>
    <t>Clients avec réserves de propriété</t>
  </si>
  <si>
    <t>Compte transitoire ajustement spécial lié à la révision du
SYSCOHADA (Voir Notes 8A &amp; 8C)</t>
  </si>
  <si>
    <t>Autres valeurs assimilées</t>
  </si>
  <si>
    <t xml:space="preserve">●  Pour les attributions gratuites d'actions indiquer : </t>
  </si>
  <si>
    <t>- Date de délibération de l’AGE qui décide de l’attribution des actions </t>
  </si>
  <si>
    <t>- Pourcentage maximum du capital social à attribuer aux dirigeants </t>
  </si>
  <si>
    <t xml:space="preserve">- Pourcentage maximum du capital social à attribuer au personnel salarié </t>
  </si>
  <si>
    <t>- Nombre d’actions à attribuer gratuitement </t>
  </si>
  <si>
    <t>- Nombre de ses actions propres que la société détient</t>
  </si>
  <si>
    <t>Provisions spéciales de réévaluation</t>
  </si>
  <si>
    <t>●  Commenter toute variation significative.</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</si>
  <si>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</si>
  <si>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Autres avances et dettes assorties de conditions particulières</t>
  </si>
  <si>
    <t>Emprunts et dettes auprès des établissements de crédit</t>
  </si>
  <si>
    <t>Avances et dettes assorties de conditions particulières</t>
  </si>
  <si>
    <t>Dettes liées à des participations et sociétés en participation</t>
  </si>
  <si>
    <t>Provisions pour pertes de change</t>
  </si>
  <si>
    <t>Provisions pour propre assureur</t>
  </si>
  <si>
    <t>Provisions de droits à réduction ou avantage en nature</t>
  </si>
  <si>
    <t>●   Pour les pensions et obligations de retraite, indiquer :</t>
  </si>
  <si>
    <t>●   Indiquer les événements et circonstances qui ont conduit à la provision et à la reprise.</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</si>
  <si>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</si>
  <si>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</si>
  <si>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r>
      <t xml:space="preserve">●   </t>
    </r>
    <r>
      <rPr>
        <i/>
        <sz val="8"/>
        <color indexed="8"/>
        <rFont val="Times New Roman"/>
        <family val="1"/>
      </rPr>
      <t>Commenter toute variation significative.</t>
    </r>
  </si>
  <si>
    <t>NOTE 19 : AUTRES DETTES ET PROVISIONS POUR RISQUES ET CHARGES A COURT TERME</t>
  </si>
  <si>
    <t>Compte d'affacturage et de titrisation</t>
  </si>
  <si>
    <t>Compte transitoire ajustement spécial lié à la révision du
SYSCOHADA (Voir Note 8B)</t>
  </si>
  <si>
    <t>Provisions pour risques et charges à court terme (voir note 28)</t>
  </si>
  <si>
    <t>Crédit de trésorerie</t>
  </si>
  <si>
    <t>Ventes de marchandises dans l'Etat partie</t>
  </si>
  <si>
    <t>Ventes de marchandises dans les autres Etats parties de la Région</t>
  </si>
  <si>
    <t>Ventes de marchandises hors Région</t>
  </si>
  <si>
    <t>Ventes de marchandises groupe</t>
  </si>
  <si>
    <t>Ventes de marchandises sur internet</t>
  </si>
  <si>
    <t>Ventes de produits fabriqués dans l'Etat partie</t>
  </si>
  <si>
    <t>Ventes de produits fabriqués dans les autres Etats parties de la Région</t>
  </si>
  <si>
    <t>Ventes de produits fabriqués hors Région</t>
  </si>
  <si>
    <t>Ventes de produits fabriqués groupe</t>
  </si>
  <si>
    <t>Ventes de produits fabriqués sur internet</t>
  </si>
  <si>
    <t>Ventes  de travaux et services dans l'Etat partie</t>
  </si>
  <si>
    <t>Ventes  de travaux et services dans les autres Etats parties de la Région</t>
  </si>
  <si>
    <t>Ventes de travaux et services hors Région</t>
  </si>
  <si>
    <t>Ventes de travaux et services  groupe</t>
  </si>
  <si>
    <t>Ventes de travaux et services  sur internet</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</si>
  <si>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</si>
  <si>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</si>
  <si>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</si>
  <si>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</si>
  <si>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</si>
  <si>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Achats de marchandises dans l'Etat partie</t>
  </si>
  <si>
    <t>Achats de marchandises dans les autres Etats parties de  la Région</t>
  </si>
  <si>
    <t>Achats de marchandises groupe</t>
  </si>
  <si>
    <t>Achats de matières premières et fournitures liées  dans l'Etat partie</t>
  </si>
  <si>
    <t>Achats de matères premières et fournitures liées  dans les autres Etats parties de la Région</t>
  </si>
  <si>
    <t>Achats de marchandises hors Région</t>
  </si>
  <si>
    <t>Achats matières premières et fournitures liées hors Région</t>
  </si>
  <si>
    <t>Achats matières premières et fournitures liées groupe</t>
  </si>
  <si>
    <t>Rémunérations de personnel extérieur à l'entité</t>
  </si>
  <si>
    <t>Charges pour dépréciations et provisions pour risques à court terme d'exploitation (voir note 28)</t>
  </si>
  <si>
    <t>Indemnités forfaitaires versées au personnel</t>
  </si>
  <si>
    <t>Note n°/référence
aus autres parties
des états financiers</t>
  </si>
  <si>
    <t>●   Faire un commentaire si nécessaire en cas de mouvement significatif du personnel</t>
  </si>
  <si>
    <r>
      <rPr>
        <b/>
        <sz val="8"/>
        <rFont val="Times New Roman"/>
        <family val="1"/>
      </rPr>
      <t>Commentaire</t>
    </r>
    <r>
      <rPr>
        <sz val="8"/>
        <rFont val="Times New Roman"/>
        <family val="1"/>
      </rPr>
      <t xml:space="preserve">: </t>
    </r>
  </si>
  <si>
    <t>NOTE 28
SYSTEME NORMAL</t>
  </si>
  <si>
    <t xml:space="preserve">NOTE 28 : DOTATIONS ET CHARGES POUR PROVISIONS ET DEPRECIATIONS </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</si>
  <si>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</si>
  <si>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</si>
  <si>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</si>
  <si>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</si>
  <si>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</si>
  <si>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</si>
  <si>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</si>
  <si>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</si>
  <si>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</si>
  <si>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titres et valeurs à encaisser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</si>
  <si>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</si>
  <si>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</si>
  <si>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</si>
  <si>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</si>
  <si>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</si>
  <si>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</si>
  <si>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 xml:space="preserve">TOTAL </t>
  </si>
  <si>
    <t>TOTAL CHARGES POUR DEPRECIATIONS ET PROVISIONS A COURT TERME</t>
  </si>
  <si>
    <t>Pertes et charges sur risques financiers</t>
  </si>
  <si>
    <t>Revenus de participations et autres titres immobilisés</t>
  </si>
  <si>
    <t>Gains de change financiers</t>
  </si>
  <si>
    <t>Intérêts dans loyers de location-financement</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</si>
  <si>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</si>
  <si>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</si>
  <si>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</si>
  <si>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</si>
  <si>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</si>
  <si>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Charges pour dépréciation et provisions à court terme à caractère financier (voir note 28)</t>
  </si>
  <si>
    <t>Reprises de charges pour dépréciation et provisions à court terme à caractère financier (voir note 28)</t>
  </si>
  <si>
    <t>Charges HAO constatées  (compte 831) à  détailler (1) :</t>
  </si>
  <si>
    <t>Charges pour dépréciations et provisions pour risques à court terme  HAO</t>
  </si>
  <si>
    <t>Charges liées aux opéations de restructuration</t>
  </si>
  <si>
    <t>Produits HAO constatés (compte 841) à détailler(1) :</t>
  </si>
  <si>
    <t>Produits liés aux opéations de restructuration</t>
  </si>
  <si>
    <t>Indemnités et subventions HAO (entité agricole)</t>
  </si>
  <si>
    <t>Transfert de charges H.A.O</t>
  </si>
  <si>
    <t>Reprises de charges pour dépréciations et provisions pour risques à court terme HAO</t>
  </si>
  <si>
    <t>Reprises des charges, provisions et dépréciations H.A.O</t>
  </si>
  <si>
    <t>NOTE 34 : FICHE DE SYNTHESE DES PRINCIPAUX INDICATEURS FINANCIERS</t>
  </si>
  <si>
    <t xml:space="preserve"> - Pertes de change financières</t>
  </si>
  <si>
    <t xml:space="preserve">(a) Résultat d’exploitation après impôt théorique sur le bénéfice.
(b) Les écarts de conversion doivent être éliminés afin de ramener les créances et les dettes concernées à leur valeur initiale.
Dettes financières* = emprunts et dettes financières diverses + dettes de location acquisition.
</t>
  </si>
  <si>
    <t>Montant</t>
  </si>
  <si>
    <t>1 : RESULTAT NET COMPTABLE DE L'EXERCICE</t>
  </si>
  <si>
    <t xml:space="preserve">     ……………..</t>
  </si>
  <si>
    <t>4 : RESULTAT IMPOSABLE AVANT DEDUCTION DES DEFICITS ( 4 = 1+2-3)</t>
  </si>
  <si>
    <t>8 : RESULTAT FISCAL DE L'EXERCICE (8= 4-5-6+7)</t>
  </si>
  <si>
    <t>9: IMPOTS SUR LE RESULTAT AU TAUX DE :</t>
  </si>
  <si>
    <t>Frais d'internet</t>
  </si>
  <si>
    <t>Rémunérations d'affacturage et de titrisation</t>
  </si>
  <si>
    <t>Charges externes diverses</t>
  </si>
  <si>
    <t>Autres droits d'enregistrement</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</si>
  <si>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</si>
  <si>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</si>
  <si>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NOTE 33 ACHATS DESTINES A LA PRODUCTION EN F CFA</t>
  </si>
  <si>
    <t>COMPLEMENT NOTE 27 B</t>
  </si>
  <si>
    <t>INTERETS</t>
  </si>
  <si>
    <t>NOTE 3A : IMMOBILISATIONS (BRUTES)</t>
  </si>
  <si>
    <t>NOTE 3A
SYSTEME NORMAL</t>
  </si>
  <si>
    <t>NOTE 3B : BIENS PRIS EN LOCATION ACQUISITION</t>
  </si>
  <si>
    <t>NOTE 3B
SYSTEME NORMAL</t>
  </si>
  <si>
    <t>NOTE 3C
SYSTEME NORMAL</t>
  </si>
  <si>
    <t>NOTE 3C : IMMOBILISATIONS (AMORTISSEMENTS)</t>
  </si>
  <si>
    <t>NOTE 3C BIS : IMMOBILISATIONS (DEPRECIATIONS)</t>
  </si>
  <si>
    <t>NOTE 3C BIS
SYSTEME NORMAL</t>
  </si>
  <si>
    <t>NOTE 3D : IMMOBILISATIONS (PLUS-VALUES ET MOINS- VALUES DE CESSION)</t>
  </si>
  <si>
    <t>NOTE 3D
SYSTEME NORMAL</t>
  </si>
  <si>
    <t>NOTE 3E : INFORMATIONS SUR LES REEVALUATIONS EFFECTUEES PAR L'ENTITE</t>
  </si>
  <si>
    <t>NOTE 3E
SYSTEME NORMAL</t>
  </si>
  <si>
    <t>NOTE 8A : TABLEAU D’ETALEMENT DES CHARGES IMMOBILISEES</t>
  </si>
  <si>
    <t>NOTE 8A
SYSTEME NORMAL</t>
  </si>
  <si>
    <t>NOTE 8B
SYSTEME NORMAL</t>
  </si>
  <si>
    <t>NOTE 8B : TABLEAU D’ETALEMENT DE PROVISIONS POUR CHARGES A REPARTIR</t>
  </si>
  <si>
    <t>NOTE 8C
SYSTEME NORMAL</t>
  </si>
  <si>
    <t>NOTE 8C : TABLEAU D’ETALEMENT DE PROVISIONS POUR ENGAGEMENTS DE RETAITE</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</si>
  <si>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</si>
  <si>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</si>
  <si>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</si>
  <si>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(2)</t>
    </r>
  </si>
  <si>
    <t>NOTE 15A
SYSTEME NORMAL</t>
  </si>
  <si>
    <t>NOTE 15A : SUBVENTIONS D'INVESTISSEMENT ET PROVISIONS REGLEMENTEES</t>
  </si>
  <si>
    <t>NOTE 15B
SYSTEME NORMAL</t>
  </si>
  <si>
    <r>
      <t>NOTE 15B : AUTRES  FONDS  PROPRES (</t>
    </r>
    <r>
      <rPr>
        <b/>
        <vertAlign val="superscript"/>
        <sz val="11"/>
        <color rgb="FF006600"/>
        <rFont val="Arial"/>
        <family val="2"/>
      </rPr>
      <t>1</t>
    </r>
    <r>
      <rPr>
        <b/>
        <sz val="11"/>
        <color rgb="FF006600"/>
        <rFont val="Arial"/>
        <family val="2"/>
      </rPr>
      <t>)</t>
    </r>
  </si>
  <si>
    <t>NOTE 16A
SYSTEME NORMAL</t>
  </si>
  <si>
    <t>NOTE 16A : DETTES FINANCIERES ET RESSOURCES ASSIMILES</t>
  </si>
  <si>
    <t>NOTE 16B
SYSTEME NORMAL</t>
  </si>
  <si>
    <t>NOTE 16B : ENGAGEMENTS DE RETRAITE ET AVANTAGES ASSIMILES : (METHODE ACTUARIELLE)</t>
  </si>
  <si>
    <t>NOTE 16B BIS
SYSTEME NORMAL</t>
  </si>
  <si>
    <t>NOTE 16B BIS : ENGAGEMENTS DE RETRAITE ET AVANTAGES ASSIMILES : (METHODE ACTUARIELLE SUITE)</t>
  </si>
  <si>
    <t>NOTE 16C
SYSTEME NORMAL</t>
  </si>
  <si>
    <t>NOTE 16C : ACTIFS ET PASSIFS EVENTUELS</t>
  </si>
  <si>
    <t>NOTE 27A
SYSTEME NORMAL</t>
  </si>
  <si>
    <t>NOTE 27A : CHARGES DE PERSONNEL</t>
  </si>
  <si>
    <t>NOTE 27B : EFFECTIFS, MASSE SALARIALE ET PERSONNEL EXTERIEUR</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</si>
  <si>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</si>
  <si>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</si>
  <si>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</si>
  <si>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r>
      <rPr>
        <vertAlign val="superscript"/>
        <sz val="10"/>
        <color theme="1"/>
        <rFont val="Times New Roman"/>
        <family val="1"/>
      </rPr>
      <t>(1)</t>
    </r>
    <r>
      <rPr>
        <sz val="10"/>
        <color theme="1"/>
        <rFont val="Times New Roman"/>
        <family val="1"/>
      </rPr>
      <t xml:space="preserve"> A détailler</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</si>
  <si>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</si>
  <si>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</si>
  <si>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</si>
  <si>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</si>
  <si>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</si>
  <si>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</si>
  <si>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</si>
  <si>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</si>
  <si>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</si>
  <si>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</si>
  <si>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</si>
  <si>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</si>
  <si>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r>
      <t xml:space="preserve">●   </t>
    </r>
    <r>
      <rPr>
        <sz val="8"/>
        <color indexed="8"/>
        <rFont val="Times New Roman"/>
        <family val="1"/>
      </rPr>
      <t>Indiquer si possible le montant du capital à la constitution.</t>
    </r>
  </si>
  <si>
    <r>
      <t xml:space="preserve">●   </t>
    </r>
    <r>
      <rPr>
        <sz val="8"/>
        <color indexed="8"/>
        <rFont val="Times New Roman"/>
        <family val="1"/>
      </rPr>
      <t>Indiquer si possible les dates des AGE et le montant du capital diminué en cas de réduction de capital.</t>
    </r>
  </si>
  <si>
    <r>
      <t xml:space="preserve">●   </t>
    </r>
    <r>
      <rPr>
        <sz val="8"/>
        <color indexed="8"/>
        <rFont val="Times New Roman"/>
        <family val="1"/>
      </rPr>
      <t>Indiquer les avantages accordés aux actions de préférence.</t>
    </r>
  </si>
  <si>
    <r>
      <t xml:space="preserve">●   </t>
    </r>
    <r>
      <rPr>
        <sz val="8"/>
        <color indexed="8"/>
        <rFont val="Times New Roman"/>
        <family val="1"/>
      </rPr>
      <t>Apporteurs, capital non appelé : indiquer le délai restant pour appeler le capital.</t>
    </r>
  </si>
  <si>
    <r>
      <t>- Délai de conservation des actions par les bénéficiaires </t>
    </r>
    <r>
      <rPr>
        <b/>
        <sz val="8"/>
        <rFont val="Times New Roman"/>
        <family val="1"/>
      </rPr>
      <t xml:space="preserve">                                                                                                </t>
    </r>
  </si>
  <si>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</si>
  <si>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</si>
  <si>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</si>
  <si>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</si>
  <si>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</si>
  <si>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</si>
  <si>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</si>
  <si>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</si>
  <si>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</si>
  <si>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r>
      <t xml:space="preserve">●   </t>
    </r>
    <r>
      <rPr>
        <sz val="8"/>
        <color indexed="8"/>
        <rFont val="Times New Roman"/>
        <family val="1"/>
      </rPr>
      <t>Commenter les variations d'hypothèses actuarielles utilisées pour le calcul des engagements de retraite et avantages assimilés.</t>
    </r>
  </si>
  <si>
    <r>
      <t xml:space="preserve">●   </t>
    </r>
    <r>
      <rPr>
        <sz val="8"/>
        <color indexed="8"/>
        <rFont val="Times New Roman"/>
        <family val="1"/>
      </rPr>
      <t>Indiquer le montant de la charge par nature comptabilisée au cours de exercice</t>
    </r>
  </si>
  <si>
    <r>
      <t xml:space="preserve">●   </t>
    </r>
    <r>
      <rPr>
        <sz val="8"/>
        <color indexed="8"/>
        <rFont val="Times New Roman"/>
        <family val="1"/>
      </rPr>
      <t>Indiquer l’impact des variations obtenues sur le montant des engagements de retraite.</t>
    </r>
  </si>
  <si>
    <r>
      <t xml:space="preserve">●   </t>
    </r>
    <r>
      <rPr>
        <sz val="8"/>
        <color indexed="8"/>
        <rFont val="Times New Roman"/>
        <family val="1"/>
      </rPr>
      <t>Indiquer le montant comptabilisé au passif (ou actif) à la clôture de l'exercice.</t>
    </r>
  </si>
  <si>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</si>
  <si>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</si>
  <si>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</si>
  <si>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r>
      <t xml:space="preserve">●   </t>
    </r>
    <r>
      <rPr>
        <sz val="8"/>
        <color indexed="8"/>
        <rFont val="Times New Roman"/>
        <family val="1"/>
      </rPr>
      <t>Commenter toutes variations significatives.</t>
    </r>
  </si>
  <si>
    <r>
      <t xml:space="preserve">●   </t>
    </r>
    <r>
      <rPr>
        <sz val="8"/>
        <color indexed="8"/>
        <rFont val="Times New Roman"/>
        <family val="1"/>
      </rPr>
      <t>Indiquer pour les dettes du groupe le nom de la société du groupe et le % de titres détenus.</t>
    </r>
  </si>
  <si>
    <r>
      <t xml:space="preserve">●   </t>
    </r>
    <r>
      <rPr>
        <sz val="8"/>
        <color indexed="8"/>
        <rFont val="Times New Roman"/>
        <family val="1"/>
      </rPr>
      <t>Commenter les dettes anciennes.</t>
    </r>
  </si>
  <si>
    <r>
      <t xml:space="preserve">●   </t>
    </r>
    <r>
      <rPr>
        <sz val="8"/>
        <color indexed="8"/>
        <rFont val="Times New Roman"/>
        <family val="1"/>
      </rPr>
      <t>Commenter toute variation significative.</t>
    </r>
  </si>
  <si>
    <r>
      <t xml:space="preserve">●   </t>
    </r>
    <r>
      <rPr>
        <sz val="8"/>
        <color indexed="8"/>
        <rFont val="Times New Roman"/>
        <family val="1"/>
      </rPr>
      <t>Commenter les dettes anciennes</t>
    </r>
  </si>
  <si>
    <r>
      <t xml:space="preserve">●   </t>
    </r>
    <r>
      <rPr>
        <sz val="8"/>
        <color indexed="8"/>
        <rFont val="Times New Roman"/>
        <family val="1"/>
      </rPr>
      <t>Indiquer le taux de rémunération si compte courant rémunéré.</t>
    </r>
  </si>
  <si>
    <r>
      <t xml:space="preserve">●   </t>
    </r>
    <r>
      <rPr>
        <sz val="8"/>
        <color indexed="8"/>
        <rFont val="Times New Roman"/>
        <family val="1"/>
      </rPr>
      <t>Compte transitoire ajustement spécial, indiquer le détail du compte et la durée restant pour l'apurement.</t>
    </r>
  </si>
  <si>
    <r>
      <t xml:space="preserve">●   </t>
    </r>
    <r>
      <rPr>
        <sz val="8"/>
        <color indexed="8"/>
        <rFont val="Times New Roman"/>
        <family val="1"/>
      </rPr>
      <t>Indiquer le nom de l'organisme les conditions de crédit, le taux d'intérêt, la durée du crédit.</t>
    </r>
  </si>
  <si>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</si>
  <si>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charset val="2"/>
      </rPr>
      <t xml:space="preserve">: </t>
    </r>
  </si>
  <si>
    <r>
      <t xml:space="preserve">●   </t>
    </r>
    <r>
      <rPr>
        <sz val="8"/>
        <color indexed="8"/>
        <rFont val="Times New Roman"/>
        <family val="1"/>
      </rPr>
      <t>Détailler les pénalités et amendes et indiquer la cause.</t>
    </r>
  </si>
  <si>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</si>
  <si>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</si>
  <si>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r>
      <t xml:space="preserve">●   </t>
    </r>
    <r>
      <rPr>
        <sz val="8"/>
        <color indexed="8"/>
        <rFont val="Times New Roman"/>
        <family val="1"/>
      </rPr>
      <t>Indiquer la nature et la durée du contrat du personnel extérieur.</t>
    </r>
  </si>
  <si>
    <r>
      <t xml:space="preserve">●   </t>
    </r>
    <r>
      <rPr>
        <sz val="8"/>
        <color indexed="8"/>
        <rFont val="Times New Roman"/>
        <family val="1"/>
      </rPr>
      <t>Indiquer les événements et circonstances qui ont conduit à la constitution et à la reprise de la provision.</t>
    </r>
  </si>
  <si>
    <r>
      <t xml:space="preserve">●   </t>
    </r>
    <r>
      <rPr>
        <sz val="8"/>
        <color indexed="8"/>
        <rFont val="Times New Roman"/>
        <family val="1"/>
      </rPr>
      <t>En cas de paiement à terme, indiquer :</t>
    </r>
  </si>
  <si>
    <r>
      <t>(</t>
    </r>
    <r>
      <rPr>
        <vertAlign val="superscript"/>
        <sz val="8"/>
        <rFont val="Arial"/>
        <family val="2"/>
      </rPr>
      <t>2</t>
    </r>
    <r>
      <rPr>
        <sz val="8"/>
        <rFont val="Arial"/>
        <family val="2"/>
      </rPr>
      <t>) Lister de manière précise les activités dans l'ordre décroissant du C.A.HT ou de la valeur ajoutée (V.A).</t>
    </r>
  </si>
  <si>
    <r>
      <t>Autres
nationalités
(à préciser) (</t>
    </r>
    <r>
      <rPr>
        <vertAlign val="superscript"/>
        <sz val="8"/>
        <rFont val="Arial"/>
        <family val="2"/>
      </rPr>
      <t>2</t>
    </r>
    <r>
      <rPr>
        <sz val="8"/>
        <rFont val="Arial"/>
        <family val="2"/>
      </rPr>
      <t>)</t>
    </r>
  </si>
  <si>
    <t>(2) En cas de double nationalité</t>
  </si>
  <si>
    <t xml:space="preserve">CHANGEMENTS DE METHODES COMPTABLES, D’ESTIMATIONS ET CORRECTIONS D’ERREURS </t>
  </si>
  <si>
    <t>Instruments de monnaie  électronique</t>
  </si>
  <si>
    <t>+ Gains de change financiers</t>
  </si>
  <si>
    <t>N° note / ref
autres parties
des états financiers</t>
  </si>
  <si>
    <t>BURKINA FASO</t>
  </si>
  <si>
    <t xml:space="preserve">   MINISTERE DE L'ECONOMIE DES FINANCES ET DU DEVELOPPEMENT</t>
  </si>
  <si>
    <t>MINISTERE DE L'ECONOMIE DES FINANCES ET DU DEVELOPPEMENT</t>
  </si>
  <si>
    <t>N° IFU DU CONTRIBUABLE  :</t>
  </si>
  <si>
    <t>N° IFU du contribuable :</t>
  </si>
  <si>
    <t>N° IFU du contribuable  :</t>
  </si>
  <si>
    <r>
      <t>(</t>
    </r>
    <r>
      <rPr>
        <vertAlign val="superscript"/>
        <sz val="8"/>
        <rFont val="Arial"/>
        <family val="2"/>
      </rPr>
      <t>3</t>
    </r>
    <r>
      <rPr>
        <sz val="8"/>
        <rFont val="Arial"/>
        <family val="2"/>
      </rPr>
      <t>) Rayer la mention inutile - Au Burkina Faso, pour les besoins de l'INSD, on préfèrera le chiffre d'affaires.</t>
    </r>
  </si>
  <si>
    <t>N° IFU :</t>
  </si>
  <si>
    <t>N° IFU  :</t>
  </si>
  <si>
    <t>N° DE TELEDECLARANT (NES):</t>
  </si>
  <si>
    <t xml:space="preserve">N° de télédéclarant (NES): </t>
  </si>
  <si>
    <t>N° de télédéclarant (NES) :</t>
  </si>
  <si>
    <t>N° de télédéclarant (NES):</t>
  </si>
  <si>
    <t>ETAT COMPLEMENTAIRE POUR l'INSD: TVA SUPPORTEE NON DEDUCTIBLE</t>
  </si>
  <si>
    <t>Emplois :</t>
  </si>
  <si>
    <t>(3): Le contribuable peut insérer autant de déclarations fiscales supplémentaires qu'il le souhaite.</t>
  </si>
  <si>
    <t>(2) Bénéfice industriel ou commercial pour le calcul de l'IS ou de l'IBICA</t>
  </si>
  <si>
    <t>Taxe sur appointements et salaires</t>
  </si>
  <si>
    <t xml:space="preserve">TABLEAU  DES IMMOBILISATIONS ET DES AMORTISSEMENTS </t>
  </si>
  <si>
    <t>Matériels de transport mis à disposition du personnel</t>
  </si>
  <si>
    <t>Loyers de logement du personnel</t>
  </si>
  <si>
    <t>Bâtiment de logement mis à la disposition du personnel</t>
  </si>
  <si>
    <t>Autres à préciser</t>
  </si>
  <si>
    <t xml:space="preserve">DETAIL DES AVANTAGES EN NATURE  ALLOUES  AU PERSONNEL  </t>
  </si>
  <si>
    <t xml:space="preserve">TABLEAU DES IMMOBILISATIONS ET DES AMORTISSEMENTS </t>
  </si>
  <si>
    <t>ETAT ANNUEL des rémunérations des sassociés et des parts de bénéfices sociaux et autres rémunérations</t>
  </si>
  <si>
    <t>Relevé détaillé des loyers d'immeubles passés en charges avec indication de l'identité et de l'adresse des bailleurs</t>
  </si>
  <si>
    <t>Etat supplémentaire 1</t>
  </si>
  <si>
    <t>Etat supplémentaire 2</t>
  </si>
  <si>
    <t>Etat supplémentaire 3</t>
  </si>
  <si>
    <t>Etat supplémentaire 4</t>
  </si>
  <si>
    <t>Etat supplémentaire 5</t>
  </si>
  <si>
    <t>Etat supplémentaire 6</t>
  </si>
  <si>
    <t>Etat supplémentaire 7</t>
  </si>
  <si>
    <t>Etat supplémentaire 8</t>
  </si>
  <si>
    <t>Etat supplémentaire 9</t>
  </si>
  <si>
    <t>Etat supplémentaire 10</t>
  </si>
  <si>
    <t>Etat supplémentaire 11</t>
  </si>
  <si>
    <t>Etat supplémentaire 12</t>
  </si>
  <si>
    <t>Etat supplémentaire 13</t>
  </si>
  <si>
    <t>Etat supplémentaire 14</t>
  </si>
  <si>
    <t xml:space="preserve">ETATS </t>
  </si>
  <si>
    <t>Etat supplémentaire 15</t>
  </si>
  <si>
    <t>Etat des honoraires rétrocédés avec indication de l'identité complète de chaque bénéficiaire</t>
  </si>
  <si>
    <t>DETAIL DES CHARGES</t>
  </si>
  <si>
    <t>DETAIL DES PRODUITS</t>
  </si>
  <si>
    <t>TVA</t>
  </si>
  <si>
    <t>LISTE ETATS DGI</t>
  </si>
  <si>
    <t>ETAT SUPPLEMENTAIRE DIRECTION GENERALE DES IMPOTS/COMPTABILITE NATIONALE</t>
  </si>
  <si>
    <t>Etat supplémentaire 16</t>
  </si>
  <si>
    <t>ETAT SUPPLEMENTAIRE : ELEMENTS STATISTIQUES UEMOA</t>
  </si>
  <si>
    <t>ETAT SUPPLEMENTAIRE COMPTABILITE NATIONALE</t>
  </si>
  <si>
    <t xml:space="preserve">ETAT SUPPLEMENTAIRE N°1 </t>
  </si>
  <si>
    <t xml:space="preserve">ETAT SUPPLEMENTAIRE N°2 </t>
  </si>
  <si>
    <t xml:space="preserve">ETAT SUPPLEMENTAIRE N°4 </t>
  </si>
  <si>
    <t>ETAT SUPPLEMENTAIRE N°8</t>
  </si>
  <si>
    <t>ETAT SUPPLEMENTAIRE N°9</t>
  </si>
  <si>
    <t>ETAT SUPPLEMENTAIRE N°10</t>
  </si>
  <si>
    <t>ETAT SUPPLEMENTAIRE N°11</t>
  </si>
  <si>
    <t>ETAT SUPPLEMENTAIRE N°12</t>
  </si>
  <si>
    <t>MONTANT des traitements ou Salaires bruts            4</t>
  </si>
  <si>
    <t>NOMBRE de personnes à charge             5</t>
  </si>
  <si>
    <t>PERIODE               6</t>
  </si>
  <si>
    <t>MONTANT des allocations à la fonction                         7</t>
  </si>
  <si>
    <t>INDEMNITE de logement              8</t>
  </si>
  <si>
    <t>INDEMNITE de transport            9</t>
  </si>
  <si>
    <t>RETENUES pour pension            11</t>
  </si>
  <si>
    <t>RETENUES    IUTS                12</t>
  </si>
  <si>
    <t>NOM ET PRENOMS         1</t>
  </si>
  <si>
    <t>EMPLOI                                 2</t>
  </si>
  <si>
    <t>ADRESSE AU 1er JANVIER ou dernière adresse                                                       3</t>
  </si>
  <si>
    <t>Etat supplémentaire 17</t>
  </si>
  <si>
    <t>ETAT ANNUEL des commissions, courtages, ristournes, honoraires, droits d'auteurs et autres rémunérations versées à des tiers</t>
  </si>
  <si>
    <t>ETAT ANNUEL DES SALAIRES</t>
  </si>
  <si>
    <t>ETAT SUPPLEMENTAIRE N°13</t>
  </si>
  <si>
    <t>ETAT SUPPLEMENTAIRE N°14</t>
  </si>
  <si>
    <t>ETAT ANNUEL DES COMMISSIONS, VACATIONS, COURTAGES, RISTOURNES, HONORAIRES ET DROITS D'AUTEUR</t>
  </si>
  <si>
    <t>ETAT ANNUEL DES REMUNERATIONS VERSEES AUX ASSOCIES ET DES PARTS DE BENEFICES SOCIAUX</t>
  </si>
  <si>
    <t>ETAT DES LOYERS PASSES EN CHARGES</t>
  </si>
  <si>
    <t>ETAT SUPPLEMENTAIRE N°15</t>
  </si>
  <si>
    <t>ETAT SUPPLEMENTAIRE N°16</t>
  </si>
  <si>
    <t>Etat supplémentaire 18</t>
  </si>
  <si>
    <t xml:space="preserve">Liste des principaux clients </t>
  </si>
  <si>
    <t>Liste des principaux fournisseurs</t>
  </si>
  <si>
    <t>LISTE DES PRINCIPAUX CLIENTS</t>
  </si>
  <si>
    <t>ETAT SUPPLEMENTAIRE N°17</t>
  </si>
  <si>
    <t>LISTE DES PRINCIPAUX FOURNISSEURS</t>
  </si>
  <si>
    <t>ETAT SUPPLEMENTAIRE N°18</t>
  </si>
  <si>
    <t xml:space="preserve">N° IFU </t>
  </si>
  <si>
    <t>NOM, RAISON SOCIALE</t>
  </si>
  <si>
    <t>TELEPHONE</t>
  </si>
  <si>
    <t>LOCALITE</t>
  </si>
  <si>
    <t>SERVICE DES IMPOTS DE RATTACHEMENT</t>
  </si>
  <si>
    <t>Montant annuel HTVA</t>
  </si>
  <si>
    <t>TOTAL TTC</t>
  </si>
  <si>
    <t>BORDEREAU AVIS DE VERSEMENT</t>
  </si>
  <si>
    <t>DETERMINATION DU RESULTAT FISCAL ET DE L'IMPOT SUR LES SOCIETES (IS)</t>
  </si>
  <si>
    <t>DETERMINATION DU RESULTAT FISCAL ET DE L'IMPOT SUR LES BENEFICES INDUSTRIELS OU COMMERCIAUX (IBICA)</t>
  </si>
  <si>
    <t>DETERMINATION DU RESULTAT FISCAL ET DE L'IMPOT SUR LES DES BENEFICES NON COMMERCIAUX (IBNC)</t>
  </si>
  <si>
    <t>TABLEAU DE DETERMINATION DU RESULTAT FISCAL</t>
  </si>
  <si>
    <r>
      <t>2 :  REINTEGRATIONS (</t>
    </r>
    <r>
      <rPr>
        <vertAlign val="superscript"/>
        <sz val="9"/>
        <color theme="1"/>
        <rFont val="Arial"/>
        <family val="2"/>
      </rPr>
      <t>1</t>
    </r>
    <r>
      <rPr>
        <sz val="9"/>
        <color theme="1"/>
        <rFont val="Arial"/>
        <family val="2"/>
      </rPr>
      <t>)</t>
    </r>
  </si>
  <si>
    <r>
      <t>3 : DEDUCTIONS (</t>
    </r>
    <r>
      <rPr>
        <vertAlign val="superscript"/>
        <sz val="9"/>
        <color theme="1"/>
        <rFont val="Arial"/>
        <family val="2"/>
      </rPr>
      <t>1</t>
    </r>
    <r>
      <rPr>
        <sz val="9"/>
        <color theme="1"/>
        <rFont val="Arial"/>
        <family val="2"/>
      </rPr>
      <t>)</t>
    </r>
  </si>
  <si>
    <t>PAGE de garde Détermination du réultat fiscal et de l'IS</t>
  </si>
  <si>
    <t>PAGE de garde Détermination du réultat fiscal et de l'IBICA</t>
  </si>
  <si>
    <t>PAGE de garde Détermination du réultat fiscal et de l'IBNC</t>
  </si>
  <si>
    <t>Etat supplémentaire 19</t>
  </si>
  <si>
    <t>BORDEREAU AVIS DE VERSEMENT (IS, IBICA ou IBNC)</t>
  </si>
  <si>
    <t>Etat supplémentaire 20</t>
  </si>
  <si>
    <t>A INSERER AUX PAGES APPROPRIEES</t>
  </si>
  <si>
    <t>CME</t>
  </si>
  <si>
    <t>AUTRE</t>
  </si>
  <si>
    <t>NATURE DE L'OPERATION</t>
  </si>
  <si>
    <t>DESIGNATION DES SALARIES</t>
  </si>
  <si>
    <t>Montant perçu</t>
  </si>
  <si>
    <t>Type de rémunération</t>
  </si>
  <si>
    <t>Entités utilisant des imprimés:</t>
  </si>
  <si>
    <t>* N'utilisez que des imprimés normalisés</t>
  </si>
  <si>
    <t>* Remplir chaque page de façon parfaitement lisible sans décalage de lignes</t>
  </si>
  <si>
    <t>* Ne créer aucune rubrique</t>
  </si>
  <si>
    <t>* Eviter toute surcharge et donner les explications sur une feuille séparée</t>
  </si>
  <si>
    <t>* N'utilisez que des codes indiqués dans les tables</t>
  </si>
  <si>
    <t>* N'utilisez que des imprimés en noir et blanc</t>
  </si>
  <si>
    <t>* Reproduire à l'identique la contexture des imprimés normalisés</t>
  </si>
  <si>
    <t>* Fournir une liasse comprenant à la fois : la fiche d'identification et renseignements divers et les états financiers correspondant au système comptable</t>
  </si>
  <si>
    <t>Les rubriques et les postes du bilan, du Compte de résultat et du Tableau des Flux de trésorerie non chiffrés ne doivent pas être supprimés</t>
  </si>
  <si>
    <t>Les Notes annexes non chiffrées doivent êtres supprimées. Cependant, elles devront être indiquées dans la Fiche récapitulative des Notes Annexes.</t>
  </si>
  <si>
    <t>N° IFU du bailleur (éventuellement)</t>
  </si>
  <si>
    <t>NOM DU BAILLEUR</t>
  </si>
  <si>
    <t>Adresse, Téléphone</t>
  </si>
  <si>
    <t>Lieu de situation de l'immeuble loué</t>
  </si>
  <si>
    <t>Loyer mensuel</t>
  </si>
  <si>
    <t>Montant total loyers passés en charges</t>
  </si>
  <si>
    <t>ETAT ANNUEL DES HONORAIRES RETROCEDES POUR DETERMINATION DE L'IBNC</t>
  </si>
  <si>
    <t>N° IFU du bénéficiaire</t>
  </si>
  <si>
    <t>Montant total HTVA</t>
  </si>
  <si>
    <t>DETAIL DES PRODUITS EN FCFA</t>
  </si>
  <si>
    <t>VENTES</t>
  </si>
  <si>
    <t>SUBVENTIONS D'EXPLOITATION</t>
  </si>
  <si>
    <t>PRODUCTION IMMOBILISEE</t>
  </si>
  <si>
    <t>VARIATIONS DE STOCKS DE BIENS ET DE SERVICES PRODUITS</t>
  </si>
  <si>
    <t>AUTRES PRODUITS</t>
  </si>
  <si>
    <t>REVENUS FINANCIERS ET ASSIMILES</t>
  </si>
  <si>
    <t>TOTAL DES PRODUITS</t>
  </si>
  <si>
    <t>REPRISES DE PROVISIONS DE DEPRECIATIONS ET AUTRES</t>
  </si>
  <si>
    <t xml:space="preserve">NB: tous les sous-comptes utilisés devront être indiqués en détail </t>
  </si>
  <si>
    <r>
      <rPr>
        <b/>
        <sz val="7"/>
        <rFont val="Times New Roman"/>
        <family val="1"/>
      </rPr>
      <t>CODES ACTIVITES ECONOMIQUES</t>
    </r>
  </si>
  <si>
    <r>
      <rPr>
        <b/>
        <sz val="6"/>
        <rFont val="Times New Roman"/>
        <family val="1"/>
      </rPr>
      <t>Agriculture vivrière</t>
    </r>
  </si>
  <si>
    <r>
      <rPr>
        <b/>
        <sz val="6"/>
        <rFont val="Times New Roman"/>
        <family val="1"/>
      </rPr>
      <t>Industries du caoutchouc et des plastiques</t>
    </r>
  </si>
  <si>
    <r>
      <rPr>
        <sz val="6"/>
        <rFont val="Times New Roman"/>
        <family val="1"/>
      </rPr>
      <t>001 001 Culture céréalière</t>
    </r>
  </si>
  <si>
    <r>
      <rPr>
        <sz val="6"/>
        <rFont val="Times New Roman"/>
        <family val="1"/>
      </rPr>
      <t>022 001 Fabrication du caoutchouc naturel</t>
    </r>
  </si>
  <si>
    <r>
      <rPr>
        <sz val="6"/>
        <rFont val="Times New Roman"/>
        <family val="1"/>
      </rPr>
      <t>001 002 Culture de tubercules et plantains</t>
    </r>
  </si>
  <si>
    <r>
      <rPr>
        <sz val="6"/>
        <rFont val="Times New Roman"/>
        <family val="1"/>
      </rPr>
      <t>022 002 Industries du caoutchouc</t>
    </r>
  </si>
  <si>
    <r>
      <rPr>
        <sz val="6"/>
        <rFont val="Times New Roman"/>
        <family val="1"/>
      </rPr>
      <t>001 003 Culture de légumes</t>
    </r>
  </si>
  <si>
    <r>
      <rPr>
        <sz val="6"/>
        <rFont val="Times New Roman"/>
        <family val="1"/>
      </rPr>
      <t>022 003 Fabrication de matières plastiques</t>
    </r>
  </si>
  <si>
    <r>
      <rPr>
        <sz val="6"/>
        <rFont val="Times New Roman"/>
        <family val="1"/>
      </rPr>
      <t>001 004 Culture de condiments</t>
    </r>
  </si>
  <si>
    <r>
      <rPr>
        <b/>
        <sz val="6"/>
        <rFont val="Times New Roman"/>
        <family val="1"/>
      </rPr>
      <t>Fabrication d’autres produits minéraux non métalliques et de matériaux</t>
    </r>
  </si>
  <si>
    <r>
      <rPr>
        <sz val="6"/>
        <rFont val="Times New Roman"/>
        <family val="1"/>
      </rPr>
      <t>001 005 Culture de fruits</t>
    </r>
  </si>
  <si>
    <r>
      <rPr>
        <b/>
        <sz val="6"/>
        <rFont val="Times New Roman"/>
        <family val="1"/>
      </rPr>
      <t>de construction</t>
    </r>
  </si>
  <si>
    <r>
      <rPr>
        <sz val="6"/>
        <rFont val="Times New Roman"/>
        <family val="1"/>
      </rPr>
      <t>001 006 Culture d’autres produits de l’Agriculture vivrière</t>
    </r>
  </si>
  <si>
    <r>
      <rPr>
        <sz val="6"/>
        <rFont val="Times New Roman"/>
        <family val="1"/>
      </rPr>
      <t>023 001 Industrie du verre</t>
    </r>
  </si>
  <si>
    <r>
      <rPr>
        <b/>
        <sz val="6"/>
        <rFont val="Times New Roman"/>
        <family val="1"/>
      </rPr>
      <t>Agriculture industrielle et d’exportation</t>
    </r>
  </si>
  <si>
    <r>
      <rPr>
        <sz val="6"/>
        <rFont val="Times New Roman"/>
        <family val="1"/>
      </rPr>
      <t>023 002 Fabrication de produits minéraux pour la construction</t>
    </r>
  </si>
  <si>
    <r>
      <rPr>
        <sz val="6"/>
        <rFont val="Times New Roman"/>
        <family val="1"/>
      </rPr>
      <t>002 001 Culture de canne à sucre</t>
    </r>
  </si>
  <si>
    <r>
      <rPr>
        <sz val="6"/>
        <rFont val="Times New Roman"/>
        <family val="1"/>
      </rPr>
      <t>023 003 Fabrication d’autres produits minéraux non métalliques</t>
    </r>
  </si>
  <si>
    <r>
      <rPr>
        <sz val="6"/>
        <rFont val="Times New Roman"/>
        <family val="1"/>
      </rPr>
      <t>002 002 Culture d’arachide d’huilerie</t>
    </r>
  </si>
  <si>
    <r>
      <rPr>
        <b/>
        <sz val="6"/>
        <rFont val="Times New Roman"/>
        <family val="1"/>
      </rPr>
      <t>Métallurgie et travail des métaux</t>
    </r>
  </si>
  <si>
    <r>
      <rPr>
        <sz val="6"/>
        <rFont val="Times New Roman"/>
        <family val="1"/>
      </rPr>
      <t>002 003 Culture d’arachide de bouche</t>
    </r>
  </si>
  <si>
    <r>
      <rPr>
        <sz val="6"/>
        <rFont val="Times New Roman"/>
        <family val="1"/>
      </rPr>
      <t>024 001 Métallurgie</t>
    </r>
  </si>
  <si>
    <r>
      <rPr>
        <sz val="6"/>
        <rFont val="Times New Roman"/>
        <family val="1"/>
      </rPr>
      <t>002 004 Culture de tabac</t>
    </r>
  </si>
  <si>
    <r>
      <rPr>
        <sz val="6"/>
        <rFont val="Times New Roman"/>
        <family val="1"/>
      </rPr>
      <t>024 002 Travail des métaux</t>
    </r>
  </si>
  <si>
    <r>
      <rPr>
        <sz val="6"/>
        <rFont val="Times New Roman"/>
        <family val="1"/>
      </rPr>
      <t>002 005 Culture de coton</t>
    </r>
  </si>
  <si>
    <r>
      <rPr>
        <b/>
        <sz val="6"/>
        <rFont val="Times New Roman"/>
        <family val="1"/>
      </rPr>
      <t>Fabrication de machines, d’équipements et d’appareils électriques</t>
    </r>
  </si>
  <si>
    <r>
      <rPr>
        <sz val="6"/>
        <rFont val="Times New Roman"/>
        <family val="1"/>
      </rPr>
      <t>002 006 Culture de blé</t>
    </r>
  </si>
  <si>
    <r>
      <rPr>
        <sz val="6"/>
        <rFont val="Times New Roman"/>
        <family val="1"/>
      </rPr>
      <t>025 001 Fabrication de machines et d’équipements</t>
    </r>
  </si>
  <si>
    <r>
      <rPr>
        <sz val="6"/>
        <rFont val="Times New Roman"/>
        <family val="1"/>
      </rPr>
      <t>002 007 Culture de cacao</t>
    </r>
  </si>
  <si>
    <r>
      <rPr>
        <sz val="6"/>
        <rFont val="Times New Roman"/>
        <family val="1"/>
      </rPr>
      <t>025 002 Fabrication de machines de bureaux</t>
    </r>
  </si>
  <si>
    <r>
      <rPr>
        <sz val="6"/>
        <rFont val="Times New Roman"/>
        <family val="1"/>
      </rPr>
      <t>002 008 Culture de café</t>
    </r>
  </si>
  <si>
    <r>
      <rPr>
        <sz val="6"/>
        <rFont val="Times New Roman"/>
        <family val="1"/>
      </rPr>
      <t>025 003 Fabrication d’appareils électriques</t>
    </r>
  </si>
  <si>
    <r>
      <rPr>
        <sz val="6"/>
        <rFont val="Times New Roman"/>
        <family val="1"/>
      </rPr>
      <t>002 009 Culture de bananes d’exportation</t>
    </r>
  </si>
  <si>
    <r>
      <rPr>
        <b/>
        <sz val="6"/>
        <rFont val="Times New Roman"/>
        <family val="1"/>
      </rPr>
      <t>Fabrication d’équipements et appareils audiovisuels et de communication ;</t>
    </r>
  </si>
  <si>
    <r>
      <rPr>
        <sz val="6"/>
        <rFont val="Times New Roman"/>
        <family val="1"/>
      </rPr>
      <t>002 010 Culture d’ananas d’exportation</t>
    </r>
  </si>
  <si>
    <r>
      <rPr>
        <b/>
        <sz val="6"/>
        <rFont val="Times New Roman"/>
        <family val="1"/>
      </rPr>
      <t>fabrication d’instruments médicaux, d’optique et d’horlogerie</t>
    </r>
  </si>
  <si>
    <r>
      <rPr>
        <sz val="6"/>
        <rFont val="Times New Roman"/>
        <family val="1"/>
      </rPr>
      <t>002 011 Autres cultures industrielles</t>
    </r>
  </si>
  <si>
    <r>
      <rPr>
        <sz val="6"/>
        <rFont val="Times New Roman"/>
        <family val="1"/>
      </rPr>
      <t>026 001 Fabrication d’équipements et appareils audiovisuels et de Communication</t>
    </r>
  </si>
  <si>
    <r>
      <rPr>
        <b/>
        <sz val="6"/>
        <rFont val="Times New Roman"/>
        <family val="1"/>
      </rPr>
      <t>Elevage et chasse</t>
    </r>
  </si>
  <si>
    <r>
      <rPr>
        <sz val="6"/>
        <rFont val="Times New Roman"/>
        <family val="1"/>
      </rPr>
      <t>026 002 Fabrication d’instruments médicaux, d’optique et d’horlogerie</t>
    </r>
  </si>
  <si>
    <r>
      <rPr>
        <sz val="6"/>
        <rFont val="Times New Roman"/>
        <family val="1"/>
      </rPr>
      <t>003 001 Elevage bovin</t>
    </r>
  </si>
  <si>
    <r>
      <rPr>
        <b/>
        <sz val="6"/>
        <rFont val="Times New Roman"/>
        <family val="1"/>
      </rPr>
      <t>Fabrication de matériel de transport</t>
    </r>
  </si>
  <si>
    <r>
      <rPr>
        <sz val="6"/>
        <rFont val="Times New Roman"/>
        <family val="1"/>
      </rPr>
      <t>003 002 Elevage ovin, caprin, équin</t>
    </r>
  </si>
  <si>
    <r>
      <rPr>
        <sz val="6"/>
        <rFont val="Times New Roman"/>
        <family val="1"/>
      </rPr>
      <t>027 001 Fabrication de véhicules routiers</t>
    </r>
  </si>
  <si>
    <r>
      <rPr>
        <sz val="6"/>
        <rFont val="Times New Roman"/>
        <family val="1"/>
      </rPr>
      <t>003 003 Elevage de volaille</t>
    </r>
  </si>
  <si>
    <r>
      <rPr>
        <sz val="6"/>
        <rFont val="Times New Roman"/>
        <family val="1"/>
      </rPr>
      <t>027 002 Fabrication d’autres matériels de transport</t>
    </r>
  </si>
  <si>
    <r>
      <rPr>
        <sz val="6"/>
        <rFont val="Times New Roman"/>
        <family val="1"/>
      </rPr>
      <t>003 004 Autres élevages</t>
    </r>
  </si>
  <si>
    <r>
      <rPr>
        <b/>
        <sz val="6"/>
        <rFont val="Times New Roman"/>
        <family val="1"/>
      </rPr>
      <t>Industries diverses</t>
    </r>
  </si>
  <si>
    <r>
      <rPr>
        <sz val="6"/>
        <rFont val="Times New Roman"/>
        <family val="1"/>
      </rPr>
      <t>003 005 Chasse</t>
    </r>
  </si>
  <si>
    <r>
      <rPr>
        <sz val="6"/>
        <rFont val="Times New Roman"/>
        <family val="1"/>
      </rPr>
      <t>028 001 Fabrication de meubles</t>
    </r>
  </si>
  <si>
    <r>
      <rPr>
        <b/>
        <sz val="6"/>
        <rFont val="Times New Roman"/>
        <family val="1"/>
      </rPr>
      <t>Sylviculture, exploitation forestière</t>
    </r>
  </si>
  <si>
    <r>
      <rPr>
        <sz val="6"/>
        <rFont val="Times New Roman"/>
        <family val="1"/>
      </rPr>
      <t>028 002 Industries diverses</t>
    </r>
  </si>
  <si>
    <r>
      <rPr>
        <sz val="6"/>
        <rFont val="Times New Roman"/>
        <family val="1"/>
      </rPr>
      <t>004 001 Sylviculture</t>
    </r>
  </si>
  <si>
    <r>
      <rPr>
        <b/>
        <sz val="6"/>
        <rFont val="Times New Roman"/>
        <family val="1"/>
      </rPr>
      <t>Production et distribution d’eau, d’électricité et de gaz</t>
    </r>
  </si>
  <si>
    <r>
      <rPr>
        <sz val="6"/>
        <rFont val="Times New Roman"/>
        <family val="1"/>
      </rPr>
      <t>004 002 Exploitation forestière</t>
    </r>
  </si>
  <si>
    <r>
      <rPr>
        <sz val="6"/>
        <rFont val="Times New Roman"/>
        <family val="1"/>
      </rPr>
      <t>029 001 Production, transport et distribution d’électricité</t>
    </r>
  </si>
  <si>
    <r>
      <rPr>
        <b/>
        <sz val="6"/>
        <rFont val="Times New Roman"/>
        <family val="1"/>
      </rPr>
      <t>Pêche et aquaculture</t>
    </r>
  </si>
  <si>
    <r>
      <rPr>
        <sz val="6"/>
        <rFont val="Times New Roman"/>
        <family val="1"/>
      </rPr>
      <t>029 002 Captage, épuration et distribution d’eau</t>
    </r>
  </si>
  <si>
    <r>
      <rPr>
        <sz val="6"/>
        <rFont val="Times New Roman"/>
        <family val="1"/>
      </rPr>
      <t>005 001 Pêche de poissons</t>
    </r>
  </si>
  <si>
    <r>
      <rPr>
        <sz val="6"/>
        <rFont val="Times New Roman"/>
        <family val="1"/>
      </rPr>
      <t>029 003 Production et distribution de gaz</t>
    </r>
  </si>
  <si>
    <r>
      <rPr>
        <sz val="6"/>
        <rFont val="Times New Roman"/>
        <family val="1"/>
      </rPr>
      <t>005 002 Autres pèches et aquaculture</t>
    </r>
  </si>
  <si>
    <r>
      <rPr>
        <b/>
        <sz val="6"/>
        <rFont val="Times New Roman"/>
        <family val="1"/>
      </rPr>
      <t>Construction</t>
    </r>
  </si>
  <si>
    <r>
      <rPr>
        <b/>
        <sz val="6"/>
        <rFont val="Times New Roman"/>
        <family val="1"/>
      </rPr>
      <t>Industries extractives</t>
    </r>
  </si>
  <si>
    <r>
      <rPr>
        <sz val="6"/>
        <rFont val="Times New Roman"/>
        <family val="1"/>
      </rPr>
      <t>030 001 Préparation de sites et construction d’ouvrages de bâtiments ou de génie civil</t>
    </r>
  </si>
  <si>
    <r>
      <rPr>
        <sz val="6"/>
        <rFont val="Times New Roman"/>
        <family val="1"/>
      </rPr>
      <t>006 001 Extraction d’hydrocarbures</t>
    </r>
  </si>
  <si>
    <r>
      <rPr>
        <sz val="6"/>
        <rFont val="Times New Roman"/>
        <family val="1"/>
      </rPr>
      <t>030 002 Travaux d’installation et de finition</t>
    </r>
  </si>
  <si>
    <r>
      <rPr>
        <sz val="6"/>
        <rFont val="Times New Roman"/>
        <family val="1"/>
      </rPr>
      <t>006 002 Extraction d’autres produits</t>
    </r>
  </si>
  <si>
    <r>
      <rPr>
        <b/>
        <sz val="6"/>
        <rFont val="Times New Roman"/>
        <family val="1"/>
      </rPr>
      <t>Commerce</t>
    </r>
  </si>
  <si>
    <r>
      <rPr>
        <b/>
        <sz val="6"/>
        <rFont val="Times New Roman"/>
        <family val="1"/>
      </rPr>
      <t>Production de viande et de poissons</t>
    </r>
  </si>
  <si>
    <r>
      <rPr>
        <sz val="6"/>
        <rFont val="Times New Roman"/>
        <family val="1"/>
      </rPr>
      <t>031 001 Commerce de véhicules, d’accessoires et de carburant</t>
    </r>
  </si>
  <si>
    <r>
      <rPr>
        <sz val="6"/>
        <rFont val="Times New Roman"/>
        <family val="1"/>
      </rPr>
      <t>007 001 Production de viande et de produits à base de viande</t>
    </r>
  </si>
  <si>
    <r>
      <rPr>
        <sz val="6"/>
        <rFont val="Times New Roman"/>
        <family val="1"/>
      </rPr>
      <t>031 002 Commerce de produits agricoles bruts et d’animaux vivants</t>
    </r>
  </si>
  <si>
    <r>
      <rPr>
        <sz val="6"/>
        <rFont val="Times New Roman"/>
        <family val="1"/>
      </rPr>
      <t>007 002 Production de poissons et de produits à base de poisson</t>
    </r>
  </si>
  <si>
    <r>
      <rPr>
        <sz val="6"/>
        <rFont val="Times New Roman"/>
        <family val="1"/>
      </rPr>
      <t>031 003 Autres commerces</t>
    </r>
  </si>
  <si>
    <r>
      <rPr>
        <b/>
        <sz val="6"/>
        <rFont val="Times New Roman"/>
        <family val="1"/>
      </rPr>
      <t>Travail des grains et fabrication de produits amylacés</t>
    </r>
  </si>
  <si>
    <r>
      <rPr>
        <b/>
        <sz val="6"/>
        <rFont val="Times New Roman"/>
        <family val="1"/>
      </rPr>
      <t>Réparations</t>
    </r>
  </si>
  <si>
    <r>
      <rPr>
        <sz val="6"/>
        <rFont val="Times New Roman"/>
        <family val="1"/>
      </rPr>
      <t>008 000 Travail des grains et fabrication de produits amylacés</t>
    </r>
  </si>
  <si>
    <r>
      <rPr>
        <sz val="6"/>
        <rFont val="Times New Roman"/>
        <family val="1"/>
      </rPr>
      <t>032 001 Entretien et réparation de véhicules automobiles</t>
    </r>
  </si>
  <si>
    <r>
      <rPr>
        <b/>
        <sz val="6"/>
        <rFont val="Times New Roman"/>
        <family val="1"/>
      </rPr>
      <t>Transformation du café et du cacao</t>
    </r>
  </si>
  <si>
    <r>
      <rPr>
        <sz val="6"/>
        <rFont val="Times New Roman"/>
        <family val="1"/>
      </rPr>
      <t>032 002 Réparations de biens personnels et domestiques</t>
    </r>
  </si>
  <si>
    <r>
      <rPr>
        <sz val="6"/>
        <rFont val="Times New Roman"/>
        <family val="1"/>
      </rPr>
      <t>009 001 Transformation du café</t>
    </r>
  </si>
  <si>
    <r>
      <rPr>
        <b/>
        <sz val="6"/>
        <rFont val="Times New Roman"/>
        <family val="1"/>
      </rPr>
      <t>Hôtels, restaurants</t>
    </r>
  </si>
  <si>
    <r>
      <rPr>
        <sz val="6"/>
        <rFont val="Times New Roman"/>
        <family val="1"/>
      </rPr>
      <t>009 002 Transformation du cacao</t>
    </r>
  </si>
  <si>
    <r>
      <rPr>
        <sz val="6"/>
        <rFont val="Times New Roman"/>
        <family val="1"/>
      </rPr>
      <t>033 001 Hôtels</t>
    </r>
  </si>
  <si>
    <r>
      <rPr>
        <b/>
        <sz val="6"/>
        <rFont val="Times New Roman"/>
        <family val="1"/>
      </rPr>
      <t>Industrie des oléagineux</t>
    </r>
  </si>
  <si>
    <r>
      <rPr>
        <sz val="6"/>
        <rFont val="Times New Roman"/>
        <family val="1"/>
      </rPr>
      <t>033 002 Bars et restaurants</t>
    </r>
  </si>
  <si>
    <r>
      <rPr>
        <sz val="6"/>
        <rFont val="Times New Roman"/>
        <family val="1"/>
      </rPr>
      <t>010 001 Huiles brutes et tourteaux</t>
    </r>
  </si>
  <si>
    <r>
      <rPr>
        <b/>
        <sz val="6"/>
        <rFont val="Times New Roman"/>
        <family val="1"/>
      </rPr>
      <t>Transport et communication</t>
    </r>
  </si>
  <si>
    <r>
      <rPr>
        <sz val="6"/>
        <rFont val="Times New Roman"/>
        <family val="1"/>
      </rPr>
      <t>010 002 Autres corps gras</t>
    </r>
  </si>
  <si>
    <r>
      <rPr>
        <sz val="6"/>
        <rFont val="Times New Roman"/>
        <family val="1"/>
      </rPr>
      <t>034 001 Transports ferroviaires</t>
    </r>
  </si>
  <si>
    <r>
      <rPr>
        <b/>
        <sz val="6"/>
        <rFont val="Times New Roman"/>
        <family val="1"/>
      </rPr>
      <t>Boulangerie, Pâtisserie et pâtes alimentaires</t>
    </r>
  </si>
  <si>
    <r>
      <rPr>
        <sz val="6"/>
        <rFont val="Times New Roman"/>
        <family val="1"/>
      </rPr>
      <t>034 002 Transports routiers, transports par conduite</t>
    </r>
  </si>
  <si>
    <r>
      <rPr>
        <sz val="6"/>
        <rFont val="Times New Roman"/>
        <family val="1"/>
      </rPr>
      <t>011 001 Fabrication de pains, de biscuits et de pâtisserie</t>
    </r>
  </si>
  <si>
    <r>
      <rPr>
        <sz val="6"/>
        <rFont val="Times New Roman"/>
        <family val="1"/>
      </rPr>
      <t>034 003 Transport par eau</t>
    </r>
  </si>
  <si>
    <r>
      <rPr>
        <sz val="6"/>
        <rFont val="Times New Roman"/>
        <family val="1"/>
      </rPr>
      <t>011 002 Fabrication de pâtes alimentaires</t>
    </r>
  </si>
  <si>
    <r>
      <rPr>
        <sz val="6"/>
        <rFont val="Times New Roman"/>
        <family val="1"/>
      </rPr>
      <t>034 004 Transport aérien</t>
    </r>
  </si>
  <si>
    <r>
      <rPr>
        <b/>
        <sz val="6"/>
        <rFont val="Times New Roman"/>
        <family val="1"/>
      </rPr>
      <t>Industries laitières</t>
    </r>
  </si>
  <si>
    <r>
      <rPr>
        <sz val="6"/>
        <rFont val="Times New Roman"/>
        <family val="1"/>
      </rPr>
      <t>034 005 Services annexes et auxiliaire de transport</t>
    </r>
  </si>
  <si>
    <r>
      <rPr>
        <sz val="6"/>
        <rFont val="Times New Roman"/>
        <family val="1"/>
      </rPr>
      <t>012 000 Industries laitières</t>
    </r>
  </si>
  <si>
    <r>
      <rPr>
        <b/>
        <sz val="6"/>
        <rFont val="Times New Roman"/>
        <family val="1"/>
      </rPr>
      <t>Postes, télécommunications</t>
    </r>
  </si>
  <si>
    <t>Sélectionner la ou les codes activités selon le découpage de votre chiffre d'affaires pour le renseignement de la fiche R2</t>
  </si>
  <si>
    <t>NOTE 36 (suite Nomenclature)</t>
  </si>
  <si>
    <t>CACHET DU SERVICE</t>
  </si>
  <si>
    <t>DATE DE RECEPTION</t>
  </si>
  <si>
    <t>Exercice comptable clos le : ……………………………..</t>
  </si>
  <si>
    <t>Réel normal d’imposition</t>
  </si>
  <si>
    <t>Réel simplifié d’imposition</t>
  </si>
  <si>
    <t>Supprimer cette ligne</t>
  </si>
  <si>
    <t>I. IDENTIFICATION DU CONTRIBUABLE</t>
  </si>
  <si>
    <t>N° Registre du commerce</t>
  </si>
  <si>
    <t xml:space="preserve">            N° IFU</t>
  </si>
  <si>
    <t>Raison Sociale :………………………………………………………………………………………………………</t>
  </si>
  <si>
    <t>Code Activité</t>
  </si>
  <si>
    <t>Adhérant CGA</t>
  </si>
  <si>
    <t>Activité:…………………………………………………………………………………………………………………</t>
  </si>
  <si>
    <t>Adresse du siège: Localité:………………………Tel…………………………E_mail…………………………</t>
  </si>
  <si>
    <t>BP :……………</t>
  </si>
  <si>
    <t xml:space="preserve">Secteur:……. </t>
  </si>
  <si>
    <t xml:space="preserve">    N° et rue:</t>
  </si>
  <si>
    <t>…………………</t>
  </si>
  <si>
    <t>Section:…….</t>
  </si>
  <si>
    <t>Lot:……………</t>
  </si>
  <si>
    <t>Parcelle:……</t>
  </si>
  <si>
    <t>Adresses des Etablissements Secondaires (joindre un intercalaire si nécessaire) :</t>
  </si>
  <si>
    <t>1)………………………………………………………………………………………………………………………</t>
  </si>
  <si>
    <t>2)………………………………………………………………………………………………………………………</t>
  </si>
  <si>
    <t>3)………………………………………………………………………………………………………………………</t>
  </si>
  <si>
    <t>II. DETERMINATION DE L'IMPOT</t>
  </si>
  <si>
    <t>01</t>
  </si>
  <si>
    <t xml:space="preserve">CHIFFRE D'AFFAIRES HORS TVA </t>
  </si>
  <si>
    <t>02</t>
  </si>
  <si>
    <t>RESULTAT FISCAL :     Bénéfice                   Perte</t>
  </si>
  <si>
    <t>03</t>
  </si>
  <si>
    <t>COTISATION IS EXIGIBLE (ou Minimum Forfaitaire de Perception)</t>
  </si>
  <si>
    <t>04</t>
  </si>
  <si>
    <t>ACOMPTES PROVISIONNELS DECLARES</t>
  </si>
  <si>
    <t>05</t>
  </si>
  <si>
    <t>IRVM SUBI (Attestation jointe)</t>
  </si>
  <si>
    <t>06</t>
  </si>
  <si>
    <t>IRC SUBI  (Attestation jointe)</t>
  </si>
  <si>
    <t>07</t>
  </si>
  <si>
    <t>COTISATION IS DUE [03-(04+05+06)]</t>
  </si>
  <si>
    <t>08</t>
  </si>
  <si>
    <t>Prélèvements à la source à titre d'acompte d'impôt sur les</t>
  </si>
  <si>
    <t>bénéfices imputés ( déclaration des prélèvements supportés ci</t>
  </si>
  <si>
    <t>annexée Montant IV)</t>
  </si>
  <si>
    <t>09</t>
  </si>
  <si>
    <t xml:space="preserve">Retenues à la source subies imputées ( déclaration des retenues </t>
  </si>
  <si>
    <r>
      <t>subies et attestations de retenues ci-jointes Montant T</t>
    </r>
    <r>
      <rPr>
        <vertAlign val="subscript"/>
        <sz val="11"/>
        <color indexed="8"/>
        <rFont val="Calibri"/>
        <family val="2"/>
      </rPr>
      <t>4</t>
    </r>
    <r>
      <rPr>
        <sz val="11"/>
        <color theme="1"/>
        <rFont val="Calibri"/>
        <family val="2"/>
        <scheme val="minor"/>
      </rPr>
      <t>)</t>
    </r>
  </si>
  <si>
    <t>10</t>
  </si>
  <si>
    <t>COTISATION IS A PAYER [ 07 - (08+09)] *</t>
  </si>
  <si>
    <t xml:space="preserve">Règlement joint à l'ordre du receveur des impôts </t>
  </si>
  <si>
    <t>- Chèque barré sur ……………..………... N° …………..………….. du …………….…... Montant ………..……</t>
  </si>
  <si>
    <t xml:space="preserve">-Virement (avis de credit): …………………………………………………………………………………... </t>
  </si>
  <si>
    <t>- Espèces d'un montant de ………………………………..………………………………………………………</t>
  </si>
  <si>
    <t>A……………………………..……………., le…………………..……</t>
  </si>
  <si>
    <t>Nom, Qualité et signature</t>
  </si>
  <si>
    <t>III- CADRE RESERVE A L'ADMINISTRATION</t>
  </si>
  <si>
    <r>
      <t xml:space="preserve">       </t>
    </r>
    <r>
      <rPr>
        <b/>
        <sz val="11"/>
        <color indexed="8"/>
        <rFont val="Cambria"/>
        <family val="1"/>
      </rPr>
      <t>PRISE EN RECETTE</t>
    </r>
  </si>
  <si>
    <t>PRISE EN CHARGE</t>
  </si>
  <si>
    <t>PENALITE</t>
  </si>
  <si>
    <t>VISA DU RECEVEUR</t>
  </si>
  <si>
    <t>L.J</t>
  </si>
  <si>
    <t>Base:</t>
  </si>
  <si>
    <t>Réf .</t>
  </si>
  <si>
    <t>Taux :</t>
  </si>
  <si>
    <t>Quittance n°</t>
  </si>
  <si>
    <t>Réf . AMR</t>
  </si>
  <si>
    <t>Montant :</t>
  </si>
  <si>
    <t>Quittance date :</t>
  </si>
  <si>
    <t>Date :</t>
  </si>
  <si>
    <r>
      <t xml:space="preserve">* Si la cotisation IS </t>
    </r>
    <r>
      <rPr>
        <sz val="8"/>
        <rFont val="Calibri"/>
        <family val="2"/>
      </rPr>
      <t>due</t>
    </r>
    <r>
      <rPr>
        <sz val="8"/>
        <color indexed="8"/>
        <rFont val="Calibri"/>
        <family val="2"/>
      </rPr>
      <t xml:space="preserve"> est inférieure ou égale aux prélèvements supportés et aux rétenues subies, porter «zéro(0)» dans la case</t>
    </r>
  </si>
  <si>
    <r>
      <t xml:space="preserve">                  </t>
    </r>
    <r>
      <rPr>
        <b/>
        <sz val="10"/>
        <color indexed="8"/>
        <rFont val="Cambria"/>
        <family val="1"/>
      </rPr>
      <t xml:space="preserve"> DE L'IMPOT SUR LES SOCIETES (IS)</t>
    </r>
  </si>
  <si>
    <t>Regime agrément</t>
  </si>
  <si>
    <t xml:space="preserve"> Date-cachet-signature</t>
  </si>
  <si>
    <t>NOTE 37 : EVENEMENTS POSTERIEURS A LA CLOTURE DE L'EXERCICE</t>
  </si>
  <si>
    <t>NOTE 38 : CHANGEMENTS DE METHODES COMPTABLES, D'ESTIMATIONS
ET CORRECTIONS D'ERREURS</t>
  </si>
  <si>
    <t>ETATS DGI</t>
  </si>
  <si>
    <t>NOTE 39</t>
  </si>
  <si>
    <t xml:space="preserve">ETAT SUPPLEMENTAIRE N° 19
</t>
  </si>
  <si>
    <t>TABLES DES COMMENTAIRES</t>
  </si>
  <si>
    <t>NOTE 39 : COMMENTAIRES</t>
  </si>
  <si>
    <t xml:space="preserve">DETAIL DES AVANTAGES EN NATURE  
ALLOUES AU PERSONNEL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</si>
</sst>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_ ;\-#,##0\ "/>
    <numFmt numFmtId="166" formatCode="###0;###0"/>
    <numFmt numFmtId="167" formatCode="_-* #,##0.00\ _F_-;\-* #,##0.00\ _F_-;_-* &quot;-&quot;??\ _F_-;_-@_-"/>
    <numFmt numFmtId="168" formatCode="_-* #,##0\ _F_-;\-* #,##0\ _F_-;_-* &quot;-&quot;??\ _F_-;_-@_-"/>
  </numFmts>
  <fonts count="130">
    <font>
      <sz val="11"/>
      <color theme="1"/>
      <name val="Calibri"/>
      <family val="2"/>
      <scheme val="minor"/>
    </font>
    <font>
      <sz val="8"/>
      <color theme="1"/>
      <name val="Arial"/>
      <family val="2"/>
    </font>
    <font>
      <sz val="8"/>
      <color theme="1"/>
      <name val="Calibri"/>
      <family val="2"/>
      <scheme val="minor"/>
    </font>
    <font>
      <b/>
      <sz val="9"/>
      <color theme="1"/>
      <name val="Calibri"/>
      <family val="2"/>
      <scheme val="minor"/>
    </font>
    <font>
      <sz val="9"/>
      <color theme="1"/>
      <name val="Arial"/>
      <family val="2"/>
    </font>
    <font>
      <b/>
      <sz val="12"/>
      <color theme="1"/>
      <name val="Calibri"/>
      <family val="2"/>
      <scheme val="minor"/>
    </font>
    <font>
      <b/>
      <sz val="14"/>
      <color theme="1"/>
      <name val="Calibri"/>
      <family val="2"/>
      <scheme val="minor"/>
    </font>
    <font>
      <sz val="14"/>
      <color theme="1"/>
      <name val="Calibri"/>
      <family val="2"/>
      <scheme val="minor"/>
    </font>
    <font>
      <sz val="10"/>
      <color theme="1"/>
      <name val="Arial"/>
      <family val="2"/>
    </font>
    <font>
      <b/>
      <sz val="11"/>
      <color theme="1"/>
      <name val="Calibri"/>
      <family val="2"/>
      <scheme val="minor"/>
    </font>
    <font>
      <b/>
      <sz val="12"/>
      <color theme="1"/>
      <name val="Arial"/>
      <family val="2"/>
    </font>
    <font>
      <sz val="10"/>
      <color theme="1"/>
      <name val="Calibri"/>
      <family val="2"/>
      <scheme val="minor"/>
    </font>
    <font>
      <sz val="8"/>
      <color theme="1"/>
      <name val="Times New Roman"/>
      <family val="1"/>
    </font>
    <font>
      <b/>
      <sz val="10"/>
      <color theme="1"/>
      <name val="Arial"/>
      <family val="2"/>
    </font>
    <font>
      <sz val="11"/>
      <color theme="1"/>
      <name val="Arial"/>
      <family val="2"/>
    </font>
    <font>
      <b/>
      <sz val="8"/>
      <color theme="1"/>
      <name val="Arial Black"/>
      <family val="2"/>
    </font>
    <font>
      <b/>
      <sz val="8"/>
      <color theme="1"/>
      <name val="Arial"/>
      <family val="2"/>
    </font>
    <font>
      <b/>
      <sz val="11"/>
      <color theme="1"/>
      <name val="Arial"/>
      <family val="2"/>
    </font>
    <font>
      <b/>
      <sz val="9"/>
      <color theme="1"/>
      <name val="Arial"/>
      <family val="2"/>
    </font>
    <font>
      <b/>
      <sz val="11"/>
      <color rgb="FF006600"/>
      <name val="Arial"/>
      <family val="2"/>
    </font>
    <font>
      <sz val="7"/>
      <color theme="1"/>
      <name val="Arial"/>
      <family val="2"/>
    </font>
    <font>
      <b/>
      <sz val="11"/>
      <name val="Arial"/>
      <family val="2"/>
    </font>
    <font>
      <sz val="10"/>
      <name val="Arial"/>
      <family val="2"/>
    </font>
    <font>
      <sz val="9"/>
      <name val="Arial"/>
      <family val="2"/>
    </font>
    <font>
      <sz val="8"/>
      <name val="Arial"/>
      <family val="2"/>
    </font>
    <font>
      <b/>
      <sz val="9"/>
      <name val="Arial"/>
      <family val="2"/>
    </font>
    <font>
      <b/>
      <sz val="8"/>
      <name val="Arial"/>
      <family val="2"/>
    </font>
    <font>
      <b/>
      <sz val="10"/>
      <name val="Arial"/>
      <family val="2"/>
    </font>
    <font>
      <sz val="6"/>
      <name val="Arial"/>
      <family val="2"/>
    </font>
    <font>
      <vertAlign val="superscript"/>
      <sz val="8"/>
      <name val="Arial"/>
      <family val="2"/>
    </font>
    <font>
      <sz val="11"/>
      <name val="Arial"/>
      <family val="2"/>
    </font>
    <font>
      <b/>
      <sz val="8"/>
      <color theme="1"/>
      <name val="Calibri"/>
      <family val="2"/>
      <scheme val="minor"/>
    </font>
    <font>
      <b/>
      <sz val="7"/>
      <color theme="1"/>
      <name val="Arial"/>
      <family val="2"/>
    </font>
    <font>
      <sz val="7"/>
      <color theme="1"/>
      <name val="Calibri"/>
      <family val="2"/>
      <scheme val="minor"/>
    </font>
    <font>
      <b/>
      <sz val="7"/>
      <name val="Arial"/>
      <family val="2"/>
    </font>
    <font>
      <i/>
      <sz val="8"/>
      <name val="Arial"/>
      <family val="2"/>
    </font>
    <font>
      <b/>
      <u/>
      <sz val="9"/>
      <color theme="1"/>
      <name val="Arial"/>
      <family val="2"/>
    </font>
    <font>
      <i/>
      <sz val="8"/>
      <color theme="1"/>
      <name val="Arial"/>
      <family val="2"/>
    </font>
    <font>
      <b/>
      <sz val="14"/>
      <color rgb="FF006600"/>
      <name val="Arial"/>
      <family val="2"/>
    </font>
    <font>
      <b/>
      <u/>
      <sz val="8"/>
      <name val="Arial"/>
      <family val="2"/>
    </font>
    <font>
      <b/>
      <i/>
      <sz val="8"/>
      <name val="Arial"/>
      <family val="2"/>
    </font>
    <font>
      <sz val="8"/>
      <name val="Times New Roman"/>
      <family val="1"/>
    </font>
    <font>
      <u/>
      <sz val="11"/>
      <color theme="10"/>
      <name val="Calibri"/>
      <family val="2"/>
      <scheme val="minor"/>
    </font>
    <font>
      <b/>
      <vertAlign val="superscript"/>
      <sz val="10"/>
      <name val="Arial"/>
      <family val="2"/>
    </font>
    <font>
      <b/>
      <vertAlign val="superscript"/>
      <sz val="11"/>
      <color rgb="FF006600"/>
      <name val="Arial"/>
      <family val="2"/>
    </font>
    <font>
      <sz val="9"/>
      <color rgb="FF0D0D0D"/>
      <name val="Arial"/>
      <family val="2"/>
    </font>
    <font>
      <i/>
      <sz val="9"/>
      <color theme="1"/>
      <name val="Arial"/>
      <family val="2"/>
    </font>
    <font>
      <sz val="9"/>
      <color theme="1"/>
      <name val="Calibri"/>
      <family val="2"/>
      <scheme val="minor"/>
    </font>
    <font>
      <vertAlign val="superscript"/>
      <sz val="9"/>
      <name val="Arial"/>
      <family val="2"/>
    </font>
    <font>
      <b/>
      <sz val="9"/>
      <color rgb="FF0D0D0D"/>
      <name val="Arial"/>
      <family val="2"/>
    </font>
    <font>
      <b/>
      <sz val="9"/>
      <color theme="1"/>
      <name val="Times New Roman"/>
      <family val="1"/>
    </font>
    <font>
      <i/>
      <sz val="10"/>
      <color theme="1"/>
      <name val="Times New Roman"/>
      <family val="1"/>
    </font>
    <font>
      <i/>
      <sz val="11"/>
      <color theme="1"/>
      <name val="Times New Roman"/>
      <family val="1"/>
    </font>
    <font>
      <i/>
      <sz val="9"/>
      <color theme="1"/>
      <name val="Times New Roman"/>
      <family val="1"/>
    </font>
    <font>
      <b/>
      <sz val="9"/>
      <color theme="8"/>
      <name val="Arial"/>
      <family val="2"/>
    </font>
    <font>
      <i/>
      <sz val="8"/>
      <color theme="1"/>
      <name val="Times New Roman"/>
      <family val="1"/>
    </font>
    <font>
      <i/>
      <sz val="8"/>
      <name val="Times New Roman"/>
      <family val="1"/>
    </font>
    <font>
      <i/>
      <sz val="9"/>
      <name val="Times New Roman"/>
      <family val="1"/>
    </font>
    <font>
      <sz val="8"/>
      <color indexed="8"/>
      <name val="Arial"/>
      <family val="2"/>
    </font>
    <font>
      <sz val="9"/>
      <name val="Times New Roman"/>
      <family val="1"/>
    </font>
    <font>
      <b/>
      <i/>
      <sz val="9"/>
      <name val="Arial"/>
      <family val="2"/>
    </font>
    <font>
      <sz val="9"/>
      <color rgb="FF000000"/>
      <name val="Arial"/>
      <family val="2"/>
    </font>
    <font>
      <b/>
      <i/>
      <sz val="10"/>
      <color theme="1"/>
      <name val="Arial"/>
      <family val="2"/>
    </font>
    <font>
      <sz val="11"/>
      <color theme="1"/>
      <name val="Calibri"/>
      <family val="2"/>
      <scheme val="minor"/>
    </font>
    <font>
      <b/>
      <sz val="10"/>
      <color theme="1"/>
      <name val="Calibri"/>
      <family val="2"/>
      <scheme val="minor"/>
    </font>
    <font>
      <b/>
      <sz val="9"/>
      <color rgb="FF000000"/>
      <name val="Arial"/>
      <family val="2"/>
    </font>
    <font>
      <b/>
      <i/>
      <sz val="10"/>
      <name val="Arial"/>
      <family val="2"/>
    </font>
    <font>
      <b/>
      <sz val="9"/>
      <color theme="1" tint="4.9989318521683403E-2"/>
      <name val="Arial"/>
      <family val="2"/>
    </font>
    <font>
      <sz val="9"/>
      <color theme="1"/>
      <name val="Times New Roman"/>
      <family val="1"/>
    </font>
    <font>
      <i/>
      <sz val="9"/>
      <color indexed="8"/>
      <name val="Times New Roman"/>
      <family val="1"/>
    </font>
    <font>
      <sz val="9"/>
      <color indexed="8"/>
      <name val="Times New Roman"/>
      <family val="1"/>
    </font>
    <font>
      <b/>
      <i/>
      <sz val="8"/>
      <color theme="1"/>
      <name val="Calibri"/>
      <family val="2"/>
      <scheme val="minor"/>
    </font>
    <font>
      <sz val="9"/>
      <color theme="1" tint="4.9989318521683403E-2"/>
      <name val="Arial"/>
      <family val="2"/>
    </font>
    <font>
      <b/>
      <sz val="9"/>
      <color indexed="8"/>
      <name val="Arial"/>
      <family val="2"/>
    </font>
    <font>
      <sz val="11"/>
      <color theme="1"/>
      <name val="Times New Roman"/>
      <family val="1"/>
    </font>
    <font>
      <b/>
      <i/>
      <sz val="8"/>
      <color theme="1"/>
      <name val="Arial"/>
      <family val="2"/>
    </font>
    <font>
      <sz val="8"/>
      <color rgb="FF000000"/>
      <name val="Arial"/>
      <family val="2"/>
    </font>
    <font>
      <b/>
      <u/>
      <sz val="9"/>
      <color theme="10"/>
      <name val="Calibri"/>
      <family val="2"/>
      <scheme val="minor"/>
    </font>
    <font>
      <b/>
      <sz val="9"/>
      <name val="Calibri"/>
      <family val="2"/>
      <scheme val="minor"/>
    </font>
    <font>
      <b/>
      <sz val="9"/>
      <color theme="4" tint="-0.249977111117893"/>
      <name val="Arial"/>
      <family val="2"/>
    </font>
    <font>
      <i/>
      <sz val="10"/>
      <name val="Times New Roman"/>
      <family val="1"/>
    </font>
    <font>
      <b/>
      <u/>
      <sz val="8"/>
      <color theme="1"/>
      <name val="Arial"/>
      <family val="2"/>
    </font>
    <font>
      <vertAlign val="superscript"/>
      <sz val="9"/>
      <color theme="1"/>
      <name val="Arial"/>
      <family val="2"/>
    </font>
    <font>
      <sz val="8"/>
      <color rgb="FF0D0D0D"/>
      <name val="Times New Roman"/>
      <family val="1"/>
    </font>
    <font>
      <sz val="8"/>
      <name val="Calibri"/>
      <family val="2"/>
      <scheme val="minor"/>
    </font>
    <font>
      <b/>
      <sz val="8"/>
      <name val="Times New Roman"/>
      <family val="1"/>
    </font>
    <font>
      <sz val="11"/>
      <name val="Calibri"/>
      <family val="2"/>
      <scheme val="minor"/>
    </font>
    <font>
      <b/>
      <sz val="8"/>
      <color theme="1"/>
      <name val="Times New Roman"/>
      <family val="1"/>
    </font>
    <font>
      <sz val="8"/>
      <color theme="1"/>
      <name val="Calibri"/>
      <family val="2"/>
    </font>
    <font>
      <sz val="8"/>
      <color indexed="8"/>
      <name val="Times New Roman"/>
      <family val="1"/>
    </font>
    <font>
      <i/>
      <sz val="8"/>
      <color indexed="8"/>
      <name val="Times New Roman"/>
      <family val="1"/>
    </font>
    <font>
      <sz val="10"/>
      <color theme="1"/>
      <name val="Times New Roman"/>
      <family val="1"/>
    </font>
    <font>
      <vertAlign val="superscript"/>
      <sz val="10"/>
      <color theme="1"/>
      <name val="Times New Roman"/>
      <family val="1"/>
    </font>
    <font>
      <sz val="8"/>
      <color rgb="FFC00000"/>
      <name val="Times New Roman"/>
      <family val="1"/>
    </font>
    <font>
      <sz val="8"/>
      <color theme="1"/>
      <name val="Times New Roman"/>
      <family val="1"/>
      <charset val="2"/>
    </font>
    <font>
      <b/>
      <sz val="12"/>
      <color theme="1"/>
      <name val="Times New Roman"/>
      <family val="1"/>
    </font>
    <font>
      <b/>
      <u val="double"/>
      <sz val="20"/>
      <name val="Times New Roman"/>
      <family val="1"/>
    </font>
    <font>
      <b/>
      <u val="double"/>
      <sz val="20"/>
      <name val="Calibri"/>
      <family val="2"/>
      <scheme val="minor"/>
    </font>
    <font>
      <b/>
      <sz val="14"/>
      <color theme="1"/>
      <name val="Times New Roman"/>
      <family val="1"/>
    </font>
    <font>
      <b/>
      <sz val="14"/>
      <color theme="1"/>
      <name val="Arial"/>
      <family val="2"/>
    </font>
    <font>
      <b/>
      <sz val="8"/>
      <color rgb="FFFF0000"/>
      <name val="Arial"/>
      <family val="2"/>
    </font>
    <font>
      <b/>
      <sz val="12"/>
      <color rgb="FF006600"/>
      <name val="Arial"/>
      <family val="2"/>
    </font>
    <font>
      <b/>
      <sz val="14"/>
      <name val="Calibri"/>
      <family val="2"/>
      <scheme val="minor"/>
    </font>
    <font>
      <b/>
      <sz val="18"/>
      <color theme="1"/>
      <name val="Calibri"/>
      <family val="2"/>
      <scheme val="minor"/>
    </font>
    <font>
      <sz val="12"/>
      <color theme="1"/>
      <name val="Arial"/>
      <family val="2"/>
    </font>
    <font>
      <b/>
      <sz val="12"/>
      <name val="Arial"/>
      <family val="2"/>
    </font>
    <font>
      <sz val="12"/>
      <name val="Arial"/>
      <family val="2"/>
    </font>
    <font>
      <b/>
      <u/>
      <sz val="12"/>
      <color rgb="FF006600"/>
      <name val="Arial"/>
      <family val="2"/>
    </font>
    <font>
      <b/>
      <sz val="16"/>
      <name val="Arial"/>
      <family val="2"/>
    </font>
    <font>
      <b/>
      <i/>
      <sz val="9"/>
      <name val="Calibri"/>
      <family val="2"/>
      <scheme val="minor"/>
    </font>
    <font>
      <b/>
      <i/>
      <sz val="11"/>
      <color theme="1"/>
      <name val="Calibri"/>
      <family val="2"/>
      <scheme val="minor"/>
    </font>
    <font>
      <b/>
      <sz val="7"/>
      <name val="Times New Roman"/>
      <family val="1"/>
    </font>
    <font>
      <b/>
      <sz val="6"/>
      <name val="Times New Roman"/>
      <family val="1"/>
    </font>
    <font>
      <sz val="6"/>
      <name val="Times New Roman"/>
      <family val="1"/>
    </font>
    <font>
      <sz val="11"/>
      <color rgb="FF000000"/>
      <name val="Calibri"/>
      <family val="2"/>
    </font>
    <font>
      <b/>
      <sz val="11"/>
      <color indexed="8"/>
      <name val="Cambria"/>
      <family val="1"/>
    </font>
    <font>
      <b/>
      <sz val="11"/>
      <name val="Cambria"/>
      <family val="1"/>
    </font>
    <font>
      <b/>
      <sz val="10"/>
      <name val="Cambria"/>
      <family val="1"/>
    </font>
    <font>
      <b/>
      <sz val="10"/>
      <color indexed="8"/>
      <name val="Cambria"/>
      <family val="1"/>
    </font>
    <font>
      <b/>
      <u/>
      <sz val="11"/>
      <name val="Times New Roman"/>
      <family val="1"/>
    </font>
    <font>
      <b/>
      <u/>
      <sz val="10"/>
      <name val="Arial"/>
      <family val="2"/>
    </font>
    <font>
      <i/>
      <u/>
      <sz val="11"/>
      <color indexed="8"/>
      <name val="Calibri"/>
      <family val="2"/>
    </font>
    <font>
      <sz val="11"/>
      <color indexed="8"/>
      <name val="Calibri"/>
      <family val="2"/>
    </font>
    <font>
      <sz val="11"/>
      <name val="Calibri"/>
      <family val="2"/>
    </font>
    <font>
      <b/>
      <sz val="11"/>
      <color indexed="8"/>
      <name val="Calibri"/>
      <family val="2"/>
    </font>
    <font>
      <sz val="12"/>
      <color indexed="8"/>
      <name val="Calibri"/>
      <family val="2"/>
    </font>
    <font>
      <vertAlign val="subscript"/>
      <sz val="11"/>
      <color indexed="8"/>
      <name val="Calibri"/>
      <family val="2"/>
    </font>
    <font>
      <b/>
      <sz val="11"/>
      <name val="Times New Roman"/>
      <family val="1"/>
    </font>
    <font>
      <sz val="8"/>
      <color indexed="8"/>
      <name val="Calibri"/>
      <family val="2"/>
    </font>
    <font>
      <sz val="8"/>
      <name val="Calibri"/>
      <family val="2"/>
    </font>
  </fonts>
  <fills count="25">
    <fill>
      <patternFill patternType="none"/>
    </fill>
    <fill>
      <patternFill patternType="gray125"/>
    </fill>
    <fill>
      <patternFill patternType="solid">
        <fgColor theme="0" tint="-0.14993743705557422"/>
        <bgColor indexed="64"/>
      </patternFill>
    </fill>
    <fill>
      <patternFill patternType="solid">
        <fgColor indexed="9"/>
        <bgColor indexed="64"/>
      </patternFill>
    </fill>
    <fill>
      <patternFill patternType="solid">
        <fgColor theme="0" tint="-4.9989318521683403E-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79998168889431442"/>
        <bgColor indexed="64"/>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solid">
        <fgColor rgb="FFFFFFFF"/>
        <bgColor indexed="64"/>
      </patternFill>
    </fill>
    <fill>
      <patternFill patternType="lightUp">
        <fgColor theme="0" tint="-0.34998626667073579"/>
        <bgColor theme="0" tint="-0.14993743705557422"/>
      </patternFill>
    </fill>
    <fill>
      <patternFill patternType="solid">
        <fgColor theme="0"/>
        <bgColor indexed="64"/>
      </patternFill>
    </fill>
    <fill>
      <patternFill patternType="solid">
        <fgColor rgb="FFC0C0C0"/>
      </patternFill>
    </fill>
  </fills>
  <borders count="34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indexed="64"/>
      </left>
      <right style="thin">
        <color indexed="64"/>
      </right>
      <top/>
      <bottom/>
      <diagonal/>
    </border>
    <border>
      <left style="thin">
        <color indexed="64"/>
      </left>
      <right style="thin">
        <color indexed="64"/>
      </right>
      <top/>
      <bottom style="thin">
        <color theme="1" tint="0.499984740745262"/>
      </bottom>
      <diagonal/>
    </border>
    <border>
      <left style="thin">
        <color indexed="64"/>
      </left>
      <right/>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thin">
        <color theme="1" tint="0.499984740745262"/>
      </left>
      <right style="thin">
        <color theme="1" tint="0.499984740745262"/>
      </right>
      <top style="medium">
        <color theme="1" tint="0.499984740745262"/>
      </top>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indexed="64"/>
      </top>
      <bottom/>
      <diagonal/>
    </border>
    <border>
      <left/>
      <right/>
      <top style="dashed">
        <color theme="0" tint="-0.499984740745262"/>
      </top>
      <bottom style="dashed">
        <color theme="1" tint="0.499984740745262"/>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indexed="64"/>
      </right>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thin">
        <color theme="0" tint="-0.499984740745262"/>
      </right>
      <top style="hair">
        <color indexed="64"/>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style="thin">
        <color theme="0" tint="-0.24994659260841701"/>
      </left>
      <right style="thin">
        <color theme="0" tint="-0.24994659260841701"/>
      </right>
      <top style="dashed">
        <color theme="0" tint="-0.24994659260841701"/>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double">
        <color theme="0" tint="-0.24994659260841701"/>
      </top>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indexed="64"/>
      </left>
      <right style="thin">
        <color theme="1" tint="0.499984740745262"/>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top style="medium">
        <color indexed="64"/>
      </top>
      <bottom style="thin">
        <color indexed="64"/>
      </bottom>
      <diagonal/>
    </border>
    <border>
      <left/>
      <right style="thin">
        <color theme="1" tint="0.499984740745262"/>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theme="1" tint="0.499984740745262"/>
      </left>
      <right/>
      <top style="medium">
        <color indexed="64"/>
      </top>
      <bottom style="medium">
        <color indexed="64"/>
      </bottom>
      <diagonal/>
    </border>
    <border>
      <left/>
      <right style="thin">
        <color theme="1" tint="0.499984740745262"/>
      </right>
      <top style="medium">
        <color indexed="64"/>
      </top>
      <bottom style="medium">
        <color indexed="64"/>
      </bottom>
      <diagonal/>
    </border>
    <border>
      <left/>
      <right/>
      <top style="dashed">
        <color theme="1" tint="0.499984740745262"/>
      </top>
      <bottom style="thin">
        <color indexed="64"/>
      </bottom>
      <diagonal/>
    </border>
    <border>
      <left/>
      <right style="thin">
        <color rgb="FFDADCDD"/>
      </right>
      <top style="thin">
        <color rgb="FFDADCDD"/>
      </top>
      <bottom style="thin">
        <color rgb="FFDADCDD"/>
      </bottom>
      <diagonal/>
    </border>
    <border>
      <left style="thin">
        <color rgb="FFDADCDD"/>
      </left>
      <right style="thin">
        <color rgb="FFDADCDD"/>
      </right>
      <top style="thin">
        <color rgb="FFDADCDD"/>
      </top>
      <bottom style="thin">
        <color rgb="FFDADCDD"/>
      </bottom>
      <diagonal/>
    </border>
    <border>
      <left style="thin">
        <color rgb="FFDADCDD"/>
      </left>
      <right/>
      <top style="thin">
        <color rgb="FFDADCDD"/>
      </top>
      <bottom style="thin">
        <color rgb="FFDADCDD"/>
      </bottom>
      <diagonal/>
    </border>
    <border>
      <left/>
      <right/>
      <top style="thin">
        <color rgb="FFDADCDD"/>
      </top>
      <bottom style="thin">
        <color rgb="FFDADCDD"/>
      </bottom>
      <diagonal/>
    </border>
    <border>
      <left style="thin">
        <color rgb="FFDADCDD"/>
      </left>
      <right style="thin">
        <color rgb="FFDADCDD"/>
      </right>
      <top/>
      <bottom style="thin">
        <color rgb="FFDADCDD"/>
      </bottom>
      <diagonal/>
    </border>
    <border>
      <left style="thin">
        <color rgb="FFDADCDD"/>
      </left>
      <right/>
      <top style="thin">
        <color rgb="FFDADCDD"/>
      </top>
      <bottom/>
      <diagonal/>
    </border>
    <border>
      <left/>
      <right/>
      <top style="thin">
        <color rgb="FFDADCDD"/>
      </top>
      <bottom/>
      <diagonal/>
    </border>
    <border>
      <left/>
      <right style="thin">
        <color rgb="FFDADCDD"/>
      </right>
      <top style="thin">
        <color rgb="FFDADCDD"/>
      </top>
      <bottom/>
      <diagonal/>
    </border>
    <border>
      <left style="medium">
        <color indexed="64"/>
      </left>
      <right/>
      <top style="medium">
        <color indexed="64"/>
      </top>
      <bottom style="thin">
        <color rgb="FFDADCDD"/>
      </bottom>
      <diagonal/>
    </border>
    <border>
      <left/>
      <right style="thin">
        <color rgb="FFDADCDD"/>
      </right>
      <top style="medium">
        <color indexed="64"/>
      </top>
      <bottom style="thin">
        <color rgb="FFDADCDD"/>
      </bottom>
      <diagonal/>
    </border>
    <border>
      <left style="thin">
        <color rgb="FFDADCDD"/>
      </left>
      <right style="thin">
        <color rgb="FFDADCDD"/>
      </right>
      <top style="medium">
        <color indexed="64"/>
      </top>
      <bottom style="thin">
        <color rgb="FFDADCDD"/>
      </bottom>
      <diagonal/>
    </border>
    <border>
      <left style="thin">
        <color rgb="FFDADCDD"/>
      </left>
      <right/>
      <top style="medium">
        <color indexed="64"/>
      </top>
      <bottom style="thin">
        <color rgb="FFDADCDD"/>
      </bottom>
      <diagonal/>
    </border>
    <border>
      <left/>
      <right/>
      <top style="medium">
        <color indexed="64"/>
      </top>
      <bottom style="thin">
        <color rgb="FFDADCDD"/>
      </bottom>
      <diagonal/>
    </border>
    <border>
      <left style="thin">
        <color rgb="FFDADCDD"/>
      </left>
      <right style="medium">
        <color indexed="64"/>
      </right>
      <top style="medium">
        <color indexed="64"/>
      </top>
      <bottom style="thin">
        <color rgb="FFDADCDD"/>
      </bottom>
      <diagonal/>
    </border>
    <border>
      <left style="medium">
        <color indexed="64"/>
      </left>
      <right/>
      <top style="thin">
        <color rgb="FFDADCDD"/>
      </top>
      <bottom style="thin">
        <color rgb="FFDADCDD"/>
      </bottom>
      <diagonal/>
    </border>
    <border>
      <left style="thin">
        <color rgb="FFDADCDD"/>
      </left>
      <right style="medium">
        <color indexed="64"/>
      </right>
      <top style="thin">
        <color rgb="FFDADCDD"/>
      </top>
      <bottom style="thin">
        <color rgb="FFDADCDD"/>
      </bottom>
      <diagonal/>
    </border>
    <border>
      <left/>
      <right style="medium">
        <color indexed="64"/>
      </right>
      <top style="thin">
        <color rgb="FFDADCDD"/>
      </top>
      <bottom style="thin">
        <color rgb="FFDADCDD"/>
      </bottom>
      <diagonal/>
    </border>
    <border>
      <left style="medium">
        <color indexed="64"/>
      </left>
      <right/>
      <top style="thin">
        <color rgb="FFDADCDD"/>
      </top>
      <bottom style="medium">
        <color indexed="64"/>
      </bottom>
      <diagonal/>
    </border>
    <border>
      <left/>
      <right style="thin">
        <color rgb="FFDADCDD"/>
      </right>
      <top style="thin">
        <color rgb="FFDADCDD"/>
      </top>
      <bottom style="medium">
        <color indexed="64"/>
      </bottom>
      <diagonal/>
    </border>
    <border>
      <left style="thin">
        <color rgb="FFDADCDD"/>
      </left>
      <right style="thin">
        <color rgb="FFDADCDD"/>
      </right>
      <top style="thin">
        <color rgb="FFDADCDD"/>
      </top>
      <bottom style="medium">
        <color indexed="64"/>
      </bottom>
      <diagonal/>
    </border>
    <border>
      <left style="thin">
        <color rgb="FFDADCDD"/>
      </left>
      <right/>
      <top style="thin">
        <color rgb="FFDADCDD"/>
      </top>
      <bottom style="medium">
        <color indexed="64"/>
      </bottom>
      <diagonal/>
    </border>
    <border>
      <left/>
      <right/>
      <top style="thin">
        <color rgb="FFDADCDD"/>
      </top>
      <bottom style="medium">
        <color indexed="64"/>
      </bottom>
      <diagonal/>
    </border>
    <border>
      <left style="thin">
        <color rgb="FFDADCDD"/>
      </left>
      <right style="medium">
        <color indexed="64"/>
      </right>
      <top style="thin">
        <color rgb="FFDADCDD"/>
      </top>
      <bottom style="medium">
        <color indexed="64"/>
      </bottom>
      <diagonal/>
    </border>
    <border>
      <left/>
      <right style="medium">
        <color indexed="64"/>
      </right>
      <top style="thin">
        <color theme="0" tint="-0.499984740745262"/>
      </top>
      <bottom style="thin">
        <color theme="0" tint="-0.499984740745262"/>
      </bottom>
      <diagonal/>
    </border>
    <border>
      <left/>
      <right style="medium">
        <color indexed="64"/>
      </right>
      <top/>
      <bottom style="dashed">
        <color theme="1" tint="0.499984740745262"/>
      </bottom>
      <diagonal/>
    </border>
    <border>
      <left/>
      <right style="medium">
        <color indexed="64"/>
      </right>
      <top/>
      <bottom style="dashed">
        <color theme="0"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24994659260841701"/>
      </right>
      <top style="medium">
        <color indexed="64"/>
      </top>
      <bottom style="thin">
        <color theme="0" tint="-0.499984740745262"/>
      </bottom>
      <diagonal/>
    </border>
    <border>
      <left style="thin">
        <color theme="0" tint="-0.24994659260841701"/>
      </left>
      <right style="thin">
        <color theme="0" tint="-0.24994659260841701"/>
      </right>
      <top style="medium">
        <color indexed="64"/>
      </top>
      <bottom style="thin">
        <color theme="0" tint="-0.499984740745262"/>
      </bottom>
      <diagonal/>
    </border>
    <border>
      <left style="thin">
        <color theme="0" tint="-0.24994659260841701"/>
      </left>
      <right style="thin">
        <color theme="0" tint="-0.499984740745262"/>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style="thin">
        <color theme="0" tint="-0.499984740745262"/>
      </top>
      <bottom style="medium">
        <color indexed="64"/>
      </bottom>
      <diagonal/>
    </border>
    <border>
      <left/>
      <right style="thin">
        <color theme="0" tint="-0.24994659260841701"/>
      </right>
      <top style="thin">
        <color theme="0" tint="-0.499984740745262"/>
      </top>
      <bottom style="medium">
        <color indexed="64"/>
      </bottom>
      <diagonal/>
    </border>
    <border>
      <left style="thin">
        <color theme="0" tint="-0.24994659260841701"/>
      </left>
      <right style="thin">
        <color theme="0" tint="-0.24994659260841701"/>
      </right>
      <top style="thin">
        <color theme="0" tint="-0.499984740745262"/>
      </top>
      <bottom style="medium">
        <color indexed="64"/>
      </bottom>
      <diagonal/>
    </border>
    <border>
      <left style="thin">
        <color theme="0" tint="-0.24994659260841701"/>
      </left>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top style="medium">
        <color indexed="64"/>
      </top>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style="medium">
        <color indexed="64"/>
      </right>
      <top style="thin">
        <color theme="0" tint="-0.499984740745262"/>
      </top>
      <bottom/>
      <diagonal/>
    </border>
    <border>
      <left style="medium">
        <color indexed="64"/>
      </left>
      <right style="thin">
        <color theme="0" tint="-0.499984740745262"/>
      </right>
      <top/>
      <bottom style="medium">
        <color indexed="64"/>
      </bottom>
      <diagonal/>
    </border>
    <border>
      <left style="thin">
        <color theme="0" tint="-0.499984740745262"/>
      </left>
      <right/>
      <top/>
      <bottom style="medium">
        <color indexed="64"/>
      </bottom>
      <diagonal/>
    </border>
    <border>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bottom style="thin">
        <color theme="1" tint="0.499984740745262"/>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style="medium">
        <color indexed="64"/>
      </left>
      <right style="thin">
        <color theme="1" tint="0.499984740745262"/>
      </right>
      <top style="medium">
        <color indexed="64"/>
      </top>
      <bottom/>
      <diagonal/>
    </border>
    <border>
      <left style="thin">
        <color theme="1" tint="0.499984740745262"/>
      </left>
      <right style="double">
        <color theme="1" tint="0.499984740745262"/>
      </right>
      <top style="medium">
        <color indexed="64"/>
      </top>
      <bottom/>
      <diagonal/>
    </border>
    <border>
      <left style="double">
        <color theme="1" tint="0.499984740745262"/>
      </left>
      <right/>
      <top style="medium">
        <color indexed="64"/>
      </top>
      <bottom style="thin">
        <color theme="1" tint="0.499984740745262"/>
      </bottom>
      <diagonal/>
    </border>
    <border>
      <left/>
      <right style="double">
        <color theme="1" tint="0.499984740745262"/>
      </right>
      <top style="medium">
        <color indexed="64"/>
      </top>
      <bottom style="thin">
        <color theme="1" tint="0.499984740745262"/>
      </bottom>
      <diagonal/>
    </border>
    <border>
      <left style="double">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bottom/>
      <diagonal/>
    </border>
    <border>
      <left style="double">
        <color theme="1" tint="0.499984740745262"/>
      </left>
      <right style="medium">
        <color indexed="64"/>
      </right>
      <top style="thin">
        <color theme="1" tint="0.499984740745262"/>
      </top>
      <bottom/>
      <diagonal/>
    </border>
    <border>
      <left style="double">
        <color theme="1" tint="0.499984740745262"/>
      </left>
      <right style="medium">
        <color indexed="64"/>
      </right>
      <top/>
      <bottom style="thin">
        <color theme="1" tint="0.499984740745262"/>
      </bottom>
      <diagonal/>
    </border>
    <border>
      <left style="double">
        <color theme="1" tint="0.499984740745262"/>
      </left>
      <right style="medium">
        <color indexed="64"/>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1" tint="0.499984740745262"/>
      </right>
      <top style="medium">
        <color indexed="64"/>
      </top>
      <bottom style="thin">
        <color theme="1" tint="0.499984740745262"/>
      </bottom>
      <diagonal/>
    </border>
    <border>
      <left style="medium">
        <color indexed="64"/>
      </left>
      <right style="thin">
        <color indexed="64"/>
      </right>
      <top/>
      <bottom/>
      <diagonal/>
    </border>
    <border>
      <left style="medium">
        <color indexed="64"/>
      </left>
      <right style="thin">
        <color indexed="64"/>
      </right>
      <top/>
      <bottom style="thin">
        <color theme="1" tint="0.499984740745262"/>
      </bottom>
      <diagonal/>
    </border>
    <border>
      <left style="medium">
        <color indexed="64"/>
      </left>
      <right/>
      <top style="thin">
        <color theme="1" tint="0.499984740745262"/>
      </top>
      <bottom/>
      <diagonal/>
    </border>
    <border>
      <left style="medium">
        <color indexed="64"/>
      </left>
      <right style="thin">
        <color indexed="64"/>
      </right>
      <top style="thin">
        <color theme="1" tint="0.499984740745262"/>
      </top>
      <bottom style="medium">
        <color indexed="64"/>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medium">
        <color indexed="64"/>
      </top>
      <bottom/>
      <diagonal/>
    </border>
    <border>
      <left/>
      <right style="medium">
        <color indexed="64"/>
      </right>
      <top/>
      <bottom style="thin">
        <color theme="1" tint="0.499984740745262"/>
      </bottom>
      <diagonal/>
    </border>
    <border>
      <left/>
      <right style="medium">
        <color indexed="64"/>
      </right>
      <top style="thin">
        <color theme="1" tint="0.499984740745262"/>
      </top>
      <bottom/>
      <diagonal/>
    </border>
    <border>
      <left style="medium">
        <color indexed="64"/>
      </left>
      <right style="thin">
        <color theme="1" tint="0.499984740745262"/>
      </right>
      <top style="medium">
        <color indexed="64"/>
      </top>
      <bottom style="thin">
        <color theme="1" tint="0.499984740745262"/>
      </bottom>
      <diagonal/>
    </border>
    <border>
      <left style="thin">
        <color indexed="64"/>
      </left>
      <right/>
      <top style="thin">
        <color theme="1" tint="0.499984740745262"/>
      </top>
      <bottom style="medium">
        <color indexed="64"/>
      </bottom>
      <diagonal/>
    </border>
    <border>
      <left style="thin">
        <color theme="1" tint="0.499984740745262"/>
      </left>
      <right/>
      <top/>
      <bottom style="medium">
        <color indexed="64"/>
      </bottom>
      <diagonal/>
    </border>
    <border>
      <left style="medium">
        <color indexed="64"/>
      </left>
      <right/>
      <top style="thin">
        <color theme="1" tint="0.499984740745262"/>
      </top>
      <bottom style="thin">
        <color rgb="FF808080"/>
      </bottom>
      <diagonal/>
    </border>
    <border>
      <left style="medium">
        <color indexed="64"/>
      </left>
      <right/>
      <top style="thin">
        <color rgb="FF808080"/>
      </top>
      <bottom style="thin">
        <color rgb="FF808080"/>
      </bottom>
      <diagonal/>
    </border>
    <border>
      <left style="medium">
        <color indexed="64"/>
      </left>
      <right/>
      <top style="thin">
        <color rgb="FF808080"/>
      </top>
      <bottom style="thin">
        <color theme="1" tint="0.499984740745262"/>
      </bottom>
      <diagonal/>
    </border>
    <border>
      <left style="medium">
        <color indexed="64"/>
      </left>
      <right style="thin">
        <color theme="1" tint="0.499984740745262"/>
      </right>
      <top/>
      <bottom style="thin">
        <color theme="1" tint="0.499984740745262"/>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medium">
        <color indexed="64"/>
      </top>
      <bottom style="dashed">
        <color theme="0" tint="-0.499984740745262"/>
      </bottom>
      <diagonal/>
    </border>
    <border>
      <left style="medium">
        <color indexed="64"/>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1" tint="0.499984740745262"/>
      </right>
      <top/>
      <bottom style="medium">
        <color indexed="64"/>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medium">
        <color indexed="64"/>
      </top>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24994659260841701"/>
      </right>
      <top/>
      <bottom/>
      <diagonal/>
    </border>
    <border>
      <left style="thin">
        <color theme="0" tint="-0.24994659260841701"/>
      </left>
      <right style="medium">
        <color indexed="64"/>
      </right>
      <top style="dashed">
        <color theme="0" tint="-0.24994659260841701"/>
      </top>
      <bottom style="dashed">
        <color theme="0" tint="-0.24994659260841701"/>
      </bottom>
      <diagonal/>
    </border>
    <border>
      <left style="medium">
        <color indexed="64"/>
      </left>
      <right/>
      <top style="thin">
        <color theme="0" tint="-0.34998626667073579"/>
      </top>
      <bottom style="thin">
        <color theme="0" tint="-0.34998626667073579"/>
      </bottom>
      <diagonal/>
    </border>
    <border>
      <left style="thin">
        <color theme="0" tint="-0.24994659260841701"/>
      </left>
      <right style="medium">
        <color indexed="64"/>
      </right>
      <top style="double">
        <color theme="0" tint="-0.24994659260841701"/>
      </top>
      <bottom/>
      <diagonal/>
    </border>
    <border>
      <left style="medium">
        <color indexed="64"/>
      </left>
      <right style="thin">
        <color theme="0" tint="-0.24994659260841701"/>
      </right>
      <top style="thin">
        <color theme="0" tint="-0.34998626667073579"/>
      </top>
      <bottom style="medium">
        <color indexed="64"/>
      </bottom>
      <diagonal/>
    </border>
    <border>
      <left style="thin">
        <color theme="0" tint="-0.24994659260841701"/>
      </left>
      <right style="thin">
        <color theme="0" tint="-0.24994659260841701"/>
      </right>
      <top style="thin">
        <color theme="0" tint="-0.34998626667073579"/>
      </top>
      <bottom style="medium">
        <color indexed="64"/>
      </bottom>
      <diagonal/>
    </border>
    <border>
      <left style="thin">
        <color theme="0" tint="-0.24994659260841701"/>
      </left>
      <right style="medium">
        <color indexed="64"/>
      </right>
      <top style="thin">
        <color theme="0" tint="-0.34998626667073579"/>
      </top>
      <bottom style="medium">
        <color indexed="64"/>
      </bottom>
      <diagonal/>
    </border>
    <border>
      <left style="thin">
        <color theme="0" tint="-0.499984740745262"/>
      </left>
      <right style="medium">
        <color indexed="64"/>
      </right>
      <top style="dashed">
        <color theme="0" tint="-0.499984740745262"/>
      </top>
      <bottom style="dashed">
        <color theme="0" tint="-0.499984740745262"/>
      </bottom>
      <diagonal/>
    </border>
    <border>
      <left style="thin">
        <color theme="0" tint="-0.499984740745262"/>
      </left>
      <right style="medium">
        <color indexed="64"/>
      </right>
      <top style="dashed">
        <color theme="0" tint="-0.499984740745262"/>
      </top>
      <bottom/>
      <diagonal/>
    </border>
    <border>
      <left style="thin">
        <color theme="0" tint="-0.499984740745262"/>
      </left>
      <right style="medium">
        <color indexed="64"/>
      </right>
      <top style="double">
        <color theme="0" tint="-0.499984740745262"/>
      </top>
      <bottom style="double">
        <color theme="0" tint="-0.499984740745262"/>
      </bottom>
      <diagonal/>
    </border>
    <border>
      <left style="thin">
        <color theme="0" tint="-0.499984740745262"/>
      </left>
      <right style="medium">
        <color indexed="64"/>
      </right>
      <top/>
      <bottom style="dashed">
        <color theme="0" tint="-0.499984740745262"/>
      </bottom>
      <diagonal/>
    </border>
    <border>
      <left style="thin">
        <color theme="0" tint="-0.499984740745262"/>
      </left>
      <right style="thin">
        <color theme="0" tint="-0.499984740745262"/>
      </right>
      <top style="double">
        <color theme="0" tint="-0.499984740745262"/>
      </top>
      <bottom style="medium">
        <color indexed="64"/>
      </bottom>
      <diagonal/>
    </border>
    <border>
      <left style="thin">
        <color theme="0" tint="-0.499984740745262"/>
      </left>
      <right style="medium">
        <color indexed="64"/>
      </right>
      <top style="double">
        <color theme="0" tint="-0.499984740745262"/>
      </top>
      <bottom style="medium">
        <color indexed="64"/>
      </bottom>
      <diagonal/>
    </border>
    <border>
      <left/>
      <right style="medium">
        <color indexed="64"/>
      </right>
      <top style="thin">
        <color theme="0" tint="-0.499984740745262"/>
      </top>
      <bottom style="hair">
        <color indexed="64"/>
      </bottom>
      <diagonal/>
    </border>
    <border>
      <left/>
      <right style="medium">
        <color indexed="64"/>
      </right>
      <top style="hair">
        <color indexed="64"/>
      </top>
      <bottom/>
      <diagonal/>
    </border>
    <border>
      <left style="thin">
        <color theme="1" tint="0.499984740745262"/>
      </left>
      <right style="medium">
        <color indexed="64"/>
      </right>
      <top/>
      <bottom/>
      <diagonal/>
    </border>
    <border>
      <left style="medium">
        <color indexed="64"/>
      </left>
      <right style="thin">
        <color theme="1" tint="0.499984740745262"/>
      </right>
      <top style="medium">
        <color theme="1" tint="0.499984740745262"/>
      </top>
      <bottom style="thin">
        <color theme="1" tint="0.499984740745262"/>
      </bottom>
      <diagonal/>
    </border>
    <border>
      <left style="thin">
        <color theme="1" tint="0.499984740745262"/>
      </left>
      <right style="medium">
        <color indexed="64"/>
      </right>
      <top style="medium">
        <color theme="1" tint="0.499984740745262"/>
      </top>
      <bottom style="thin">
        <color theme="1" tint="0.499984740745262"/>
      </bottom>
      <diagonal/>
    </border>
    <border>
      <left style="medium">
        <color indexed="64"/>
      </left>
      <right/>
      <top style="medium">
        <color theme="1" tint="0.499984740745262"/>
      </top>
      <bottom style="medium">
        <color indexed="64"/>
      </bottom>
      <diagonal/>
    </border>
    <border>
      <left/>
      <right/>
      <top style="medium">
        <color theme="1" tint="0.499984740745262"/>
      </top>
      <bottom style="medium">
        <color indexed="64"/>
      </bottom>
      <diagonal/>
    </border>
    <border>
      <left/>
      <right style="thin">
        <color theme="1" tint="0.499984740745262"/>
      </right>
      <top style="medium">
        <color theme="1" tint="0.499984740745262"/>
      </top>
      <bottom style="medium">
        <color indexed="64"/>
      </bottom>
      <diagonal/>
    </border>
    <border>
      <left style="thin">
        <color theme="1" tint="0.499984740745262"/>
      </left>
      <right style="thin">
        <color theme="1" tint="0.499984740745262"/>
      </right>
      <top style="medium">
        <color theme="1" tint="0.499984740745262"/>
      </top>
      <bottom style="medium">
        <color indexed="64"/>
      </bottom>
      <diagonal/>
    </border>
    <border>
      <left style="thin">
        <color theme="1" tint="0.499984740745262"/>
      </left>
      <right style="medium">
        <color indexed="64"/>
      </right>
      <top style="medium">
        <color theme="1" tint="0.499984740745262"/>
      </top>
      <bottom style="medium">
        <color indexed="64"/>
      </bottom>
      <diagonal/>
    </border>
    <border>
      <left style="thin">
        <color indexed="64"/>
      </left>
      <right style="thin">
        <color indexed="64"/>
      </right>
      <top style="thin">
        <color indexed="64"/>
      </top>
      <bottom/>
      <diagonal/>
    </border>
    <border>
      <left style="medium">
        <color indexed="64"/>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s>
  <cellStyleXfs count="7">
    <xf numFmtId="0" fontId="0" fillId="0" borderId="0"/>
    <xf numFmtId="0" fontId="42" fillId="0" borderId="0" applyNumberFormat="0" applyFill="0" applyBorder="0" applyAlignment="0" applyProtection="0"/>
    <xf numFmtId="0" fontId="22" fillId="0" borderId="0"/>
    <xf numFmtId="0" fontId="30" fillId="0" borderId="0"/>
    <xf numFmtId="9" fontId="63" fillId="0" borderId="0" applyFont="0" applyFill="0" applyBorder="0" applyAlignment="0" applyProtection="0"/>
    <xf numFmtId="167" fontId="22" fillId="0" borderId="0" applyFont="0" applyFill="0" applyBorder="0" applyAlignment="0" applyProtection="0"/>
    <xf numFmtId="0" fontId="22" fillId="0" borderId="0"/>
  </cellStyleXfs>
  <cellXfs count="2362">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top"/>
    </xf>
    <xf numFmtId="0" fontId="4" fillId="0" borderId="0" xfId="0" applyFont="1" applyAlignment="1">
      <alignment vertical="center"/>
    </xf>
    <xf numFmtId="0" fontId="4" fillId="0" borderId="0" xfId="0" applyFont="1"/>
    <xf numFmtId="0" fontId="0" fillId="0" borderId="0" xfId="0" applyAlignment="1">
      <alignment vertical="center" wrapText="1"/>
    </xf>
    <xf numFmtId="0" fontId="0" fillId="0" borderId="0" xfId="0" applyAlignment="1">
      <alignment horizontal="left" vertical="center"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6" xfId="0" applyBorder="1"/>
    <xf numFmtId="0" fontId="14" fillId="0" borderId="0" xfId="0" applyFont="1"/>
    <xf numFmtId="0" fontId="0" fillId="0" borderId="20" xfId="0" applyBorder="1" applyAlignment="1">
      <alignment vertical="center"/>
    </xf>
    <xf numFmtId="0" fontId="1" fillId="0" borderId="0" xfId="0" applyFont="1"/>
    <xf numFmtId="49" fontId="16" fillId="0" borderId="0" xfId="0" applyNumberFormat="1" applyFont="1" applyAlignment="1">
      <alignment horizontal="center"/>
    </xf>
    <xf numFmtId="49" fontId="17" fillId="0" borderId="0" xfId="0" applyNumberFormat="1" applyFont="1" applyAlignment="1">
      <alignment horizontal="center"/>
    </xf>
    <xf numFmtId="49" fontId="8" fillId="0" borderId="0" xfId="0" applyNumberFormat="1" applyFont="1" applyAlignment="1">
      <alignment horizontal="center"/>
    </xf>
    <xf numFmtId="49" fontId="1" fillId="0" borderId="0" xfId="0" applyNumberFormat="1" applyFont="1" applyAlignment="1">
      <alignment vertical="center" wrapText="1"/>
    </xf>
    <xf numFmtId="0" fontId="1" fillId="0" borderId="0" xfId="0" applyFont="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38"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49" fontId="8" fillId="0" borderId="0" xfId="0" applyNumberFormat="1" applyFont="1" applyAlignment="1">
      <alignment horizontal="center" vertical="center"/>
    </xf>
    <xf numFmtId="0" fontId="4" fillId="0" borderId="0" xfId="0" applyFont="1" applyAlignment="1">
      <alignment horizontal="center"/>
    </xf>
    <xf numFmtId="0" fontId="2" fillId="0" borderId="0" xfId="0" applyFont="1" applyAlignment="1">
      <alignment vertical="top"/>
    </xf>
    <xf numFmtId="0" fontId="4" fillId="0" borderId="0" xfId="0" applyFont="1" applyAlignment="1">
      <alignment horizontal="center" vertical="center"/>
    </xf>
    <xf numFmtId="0" fontId="18" fillId="0" borderId="22" xfId="0" applyFont="1" applyBorder="1" applyAlignment="1">
      <alignment horizontal="center" vertical="center"/>
    </xf>
    <xf numFmtId="0" fontId="0" fillId="0" borderId="0" xfId="0" applyAlignment="1">
      <alignment horizontal="center"/>
    </xf>
    <xf numFmtId="3" fontId="4" fillId="0" borderId="49" xfId="0" applyNumberFormat="1" applyFont="1" applyBorder="1" applyAlignment="1">
      <alignment vertical="center" wrapText="1"/>
    </xf>
    <xf numFmtId="3" fontId="32" fillId="0" borderId="49" xfId="0" applyNumberFormat="1" applyFont="1" applyBorder="1" applyAlignment="1">
      <alignment horizontal="right" vertical="center" wrapText="1"/>
    </xf>
    <xf numFmtId="0" fontId="14" fillId="0" borderId="0" xfId="0" applyFont="1" applyAlignment="1">
      <alignment vertical="center"/>
    </xf>
    <xf numFmtId="0" fontId="1" fillId="0" borderId="0" xfId="0" applyFont="1" applyAlignment="1">
      <alignment vertical="center" wrapText="1"/>
    </xf>
    <xf numFmtId="0" fontId="26" fillId="0" borderId="58" xfId="0" applyFont="1" applyBorder="1" applyAlignment="1">
      <alignment horizontal="center" vertical="center" wrapText="1"/>
    </xf>
    <xf numFmtId="3" fontId="32" fillId="0" borderId="49" xfId="0" applyNumberFormat="1" applyFont="1" applyBorder="1" applyAlignment="1">
      <alignment horizontal="center" vertical="center" wrapText="1"/>
    </xf>
    <xf numFmtId="3" fontId="20" fillId="0" borderId="0" xfId="0" applyNumberFormat="1" applyFont="1" applyAlignment="1">
      <alignment vertical="center" wrapText="1"/>
    </xf>
    <xf numFmtId="3" fontId="32" fillId="0" borderId="0" xfId="0" applyNumberFormat="1" applyFont="1" applyAlignment="1">
      <alignment vertical="center" wrapText="1"/>
    </xf>
    <xf numFmtId="0" fontId="20" fillId="0" borderId="0" xfId="0" applyFont="1" applyAlignment="1">
      <alignment horizontal="center" vertical="center" wrapText="1"/>
    </xf>
    <xf numFmtId="0" fontId="24" fillId="0" borderId="0" xfId="0" applyFont="1" applyAlignment="1">
      <alignment vertical="center" wrapText="1"/>
    </xf>
    <xf numFmtId="0" fontId="24" fillId="0" borderId="40" xfId="0" applyFont="1" applyBorder="1" applyAlignment="1">
      <alignment vertical="center"/>
    </xf>
    <xf numFmtId="0" fontId="24" fillId="0" borderId="41" xfId="0" applyFont="1" applyBorder="1" applyAlignment="1">
      <alignment vertical="center"/>
    </xf>
    <xf numFmtId="0" fontId="41" fillId="0" borderId="0" xfId="0" applyFont="1"/>
    <xf numFmtId="14" fontId="18" fillId="0" borderId="22" xfId="0" applyNumberFormat="1" applyFont="1" applyBorder="1" applyAlignment="1">
      <alignment horizontal="center" vertical="center"/>
    </xf>
    <xf numFmtId="49" fontId="1" fillId="0" borderId="0" xfId="0" applyNumberFormat="1" applyFont="1" applyAlignment="1">
      <alignment horizontal="center" wrapText="1"/>
    </xf>
    <xf numFmtId="0" fontId="4" fillId="0" borderId="0" xfId="0" applyFont="1" applyAlignment="1">
      <alignment horizontal="right" vertical="center"/>
    </xf>
    <xf numFmtId="0" fontId="18" fillId="0" borderId="29" xfId="0" applyFont="1" applyBorder="1" applyAlignment="1">
      <alignment horizontal="center" vertical="center" wrapText="1"/>
    </xf>
    <xf numFmtId="0" fontId="4" fillId="0" borderId="30" xfId="0" applyFont="1" applyBorder="1" applyAlignment="1">
      <alignment horizontal="center" vertical="center" wrapText="1"/>
    </xf>
    <xf numFmtId="3" fontId="4" fillId="0" borderId="49" xfId="0" applyNumberFormat="1" applyFont="1" applyBorder="1" applyAlignment="1" applyProtection="1">
      <alignment vertical="center" wrapText="1"/>
      <protection locked="0"/>
    </xf>
    <xf numFmtId="3" fontId="18" fillId="5" borderId="49" xfId="0" applyNumberFormat="1" applyFont="1" applyFill="1" applyBorder="1" applyAlignment="1">
      <alignment vertical="center" wrapText="1"/>
    </xf>
    <xf numFmtId="0" fontId="4" fillId="0" borderId="37" xfId="0" applyFont="1" applyBorder="1" applyAlignment="1">
      <alignment horizontal="center" vertical="center" wrapText="1"/>
    </xf>
    <xf numFmtId="0" fontId="46" fillId="0" borderId="26" xfId="0" applyFont="1" applyBorder="1" applyAlignment="1">
      <alignment horizontal="left" vertical="center" wrapText="1" indent="1"/>
    </xf>
    <xf numFmtId="0" fontId="4" fillId="0" borderId="31" xfId="0" applyFont="1" applyBorder="1" applyAlignment="1">
      <alignment horizontal="center" vertical="center" wrapText="1"/>
    </xf>
    <xf numFmtId="0" fontId="4" fillId="0" borderId="31" xfId="0" applyFont="1" applyBorder="1" applyAlignment="1">
      <alignment horizontal="left" vertical="center" wrapText="1" indent="1"/>
    </xf>
    <xf numFmtId="3" fontId="4" fillId="0" borderId="29" xfId="0" applyNumberFormat="1" applyFont="1" applyBorder="1" applyAlignment="1" applyProtection="1">
      <alignment vertical="center" wrapText="1"/>
      <protection locked="0"/>
    </xf>
    <xf numFmtId="49" fontId="4" fillId="0" borderId="25" xfId="0" applyNumberFormat="1" applyFont="1" applyBorder="1" applyAlignment="1" applyProtection="1">
      <alignment horizontal="center" vertical="center" wrapText="1"/>
      <protection locked="0"/>
    </xf>
    <xf numFmtId="3" fontId="4" fillId="0" borderId="29" xfId="0" applyNumberFormat="1" applyFont="1" applyBorder="1" applyAlignment="1">
      <alignment vertical="center" wrapText="1"/>
    </xf>
    <xf numFmtId="3" fontId="4" fillId="0" borderId="23" xfId="0" applyNumberFormat="1" applyFont="1" applyBorder="1" applyAlignment="1" applyProtection="1">
      <alignment vertical="center" wrapText="1"/>
      <protection locked="0"/>
    </xf>
    <xf numFmtId="0" fontId="4" fillId="0" borderId="30" xfId="0" applyFont="1" applyBorder="1" applyAlignment="1">
      <alignment horizontal="left" vertical="center" wrapText="1" indent="1"/>
    </xf>
    <xf numFmtId="3" fontId="4" fillId="0" borderId="29" xfId="0" applyNumberFormat="1" applyFont="1" applyBorder="1" applyAlignment="1" applyProtection="1">
      <alignment horizontal="right" vertical="center" wrapText="1"/>
      <protection locked="0"/>
    </xf>
    <xf numFmtId="3" fontId="4" fillId="0" borderId="29" xfId="0" applyNumberFormat="1" applyFont="1" applyBorder="1" applyAlignment="1">
      <alignment horizontal="right" vertical="center" wrapText="1"/>
    </xf>
    <xf numFmtId="3" fontId="4" fillId="0" borderId="23" xfId="0" applyNumberFormat="1" applyFont="1" applyBorder="1" applyAlignment="1" applyProtection="1">
      <alignment horizontal="right" vertical="center" wrapText="1"/>
      <protection locked="0"/>
    </xf>
    <xf numFmtId="0" fontId="18" fillId="0" borderId="31" xfId="0" applyFont="1" applyBorder="1" applyAlignment="1">
      <alignment horizontal="center" vertical="center" wrapText="1"/>
    </xf>
    <xf numFmtId="0" fontId="18" fillId="0" borderId="37" xfId="0" applyFont="1" applyBorder="1" applyAlignment="1">
      <alignment horizontal="center" vertical="center" wrapText="1"/>
    </xf>
    <xf numFmtId="3" fontId="18" fillId="0" borderId="29" xfId="0" applyNumberFormat="1" applyFont="1" applyBorder="1" applyAlignment="1" applyProtection="1">
      <alignment vertical="center" wrapText="1"/>
      <protection locked="0"/>
    </xf>
    <xf numFmtId="3" fontId="18" fillId="0" borderId="29" xfId="0" applyNumberFormat="1" applyFont="1" applyBorder="1" applyAlignment="1">
      <alignment vertical="center" wrapText="1"/>
    </xf>
    <xf numFmtId="3" fontId="18" fillId="0" borderId="23" xfId="0" applyNumberFormat="1" applyFont="1" applyBorder="1" applyAlignment="1" applyProtection="1">
      <alignment vertical="center" wrapText="1"/>
      <protection locked="0"/>
    </xf>
    <xf numFmtId="0" fontId="4" fillId="0" borderId="25" xfId="0" applyFont="1" applyBorder="1" applyAlignment="1" applyProtection="1">
      <alignment horizontal="center" vertical="center" wrapText="1"/>
      <protection locked="0"/>
    </xf>
    <xf numFmtId="3" fontId="4" fillId="2" borderId="29" xfId="0" applyNumberFormat="1" applyFont="1" applyFill="1" applyBorder="1" applyAlignment="1" applyProtection="1">
      <alignment horizontal="center" vertical="center" wrapText="1"/>
      <protection locked="0"/>
    </xf>
    <xf numFmtId="3" fontId="4" fillId="0" borderId="29" xfId="0" applyNumberFormat="1" applyFont="1" applyBorder="1" applyAlignment="1" applyProtection="1">
      <alignment horizontal="center" vertical="center" wrapText="1"/>
      <protection locked="0"/>
    </xf>
    <xf numFmtId="3" fontId="4" fillId="0" borderId="31" xfId="0" applyNumberFormat="1" applyFont="1" applyBorder="1" applyAlignment="1" applyProtection="1">
      <alignment horizontal="center" vertical="center" wrapText="1"/>
      <protection locked="0"/>
    </xf>
    <xf numFmtId="3" fontId="4" fillId="0" borderId="31" xfId="0" applyNumberFormat="1" applyFont="1" applyBorder="1" applyAlignment="1" applyProtection="1">
      <alignment horizontal="right" vertical="center" wrapText="1"/>
      <protection locked="0"/>
    </xf>
    <xf numFmtId="3" fontId="4" fillId="2" borderId="37" xfId="0" applyNumberFormat="1" applyFont="1" applyFill="1" applyBorder="1" applyAlignment="1" applyProtection="1">
      <alignment horizontal="center" vertical="center" wrapText="1"/>
      <protection locked="0"/>
    </xf>
    <xf numFmtId="0" fontId="4" fillId="0" borderId="37" xfId="0" applyFont="1" applyBorder="1" applyAlignment="1" applyProtection="1">
      <alignment horizontal="center" vertical="center" wrapText="1"/>
      <protection locked="0"/>
    </xf>
    <xf numFmtId="3" fontId="4" fillId="0" borderId="37" xfId="0" applyNumberFormat="1" applyFont="1" applyBorder="1" applyAlignment="1" applyProtection="1">
      <alignment vertical="center" wrapText="1"/>
      <protection locked="0"/>
    </xf>
    <xf numFmtId="0" fontId="18" fillId="2" borderId="29" xfId="0" applyFont="1" applyFill="1" applyBorder="1" applyAlignment="1">
      <alignment horizontal="center" vertical="center" wrapText="1"/>
    </xf>
    <xf numFmtId="3" fontId="18" fillId="2" borderId="29" xfId="0" applyNumberFormat="1" applyFont="1" applyFill="1" applyBorder="1" applyAlignment="1">
      <alignment horizontal="right" vertical="center" wrapText="1"/>
    </xf>
    <xf numFmtId="0" fontId="4" fillId="4" borderId="29" xfId="0" applyFont="1" applyFill="1" applyBorder="1" applyAlignment="1">
      <alignment horizontal="center" vertical="center" wrapText="1"/>
    </xf>
    <xf numFmtId="3" fontId="4" fillId="4" borderId="29" xfId="0" applyNumberFormat="1" applyFont="1" applyFill="1" applyBorder="1" applyAlignment="1">
      <alignment horizontal="center" vertical="center" wrapText="1"/>
    </xf>
    <xf numFmtId="3" fontId="4" fillId="4" borderId="29" xfId="0" applyNumberFormat="1" applyFont="1" applyFill="1" applyBorder="1" applyAlignment="1">
      <alignment horizontal="right" vertical="center" wrapText="1"/>
    </xf>
    <xf numFmtId="0" fontId="4" fillId="0" borderId="29" xfId="0" applyFont="1" applyBorder="1" applyAlignment="1">
      <alignment horizontal="center" vertical="center" wrapText="1"/>
    </xf>
    <xf numFmtId="3" fontId="4" fillId="0" borderId="31" xfId="0" applyNumberFormat="1" applyFont="1" applyBorder="1" applyAlignment="1">
      <alignment horizontal="center" vertical="center" wrapText="1"/>
    </xf>
    <xf numFmtId="3" fontId="4" fillId="0" borderId="31" xfId="0" applyNumberFormat="1" applyFont="1" applyBorder="1" applyAlignment="1">
      <alignment horizontal="right" vertical="center" wrapText="1"/>
    </xf>
    <xf numFmtId="3" fontId="4" fillId="0" borderId="37" xfId="0" applyNumberFormat="1" applyFont="1" applyBorder="1" applyAlignment="1">
      <alignment horizontal="center" vertical="center" wrapText="1"/>
    </xf>
    <xf numFmtId="3" fontId="4" fillId="0" borderId="37" xfId="0" applyNumberFormat="1" applyFont="1" applyBorder="1" applyAlignment="1">
      <alignment horizontal="right" vertical="center" wrapText="1"/>
    </xf>
    <xf numFmtId="0" fontId="18" fillId="2" borderId="37" xfId="0" applyFont="1" applyFill="1" applyBorder="1" applyAlignment="1">
      <alignment horizontal="center" vertical="center" wrapText="1"/>
    </xf>
    <xf numFmtId="3" fontId="18" fillId="2" borderId="37" xfId="0" applyNumberFormat="1" applyFont="1" applyFill="1" applyBorder="1" applyAlignment="1">
      <alignment horizontal="right" vertical="center" wrapText="1"/>
    </xf>
    <xf numFmtId="3" fontId="18" fillId="2" borderId="29" xfId="0" applyNumberFormat="1" applyFont="1" applyFill="1" applyBorder="1" applyAlignment="1" applyProtection="1">
      <alignment horizontal="right" vertical="center" wrapText="1"/>
      <protection locked="0"/>
    </xf>
    <xf numFmtId="0" fontId="18" fillId="2" borderId="31" xfId="0" applyFont="1" applyFill="1" applyBorder="1" applyAlignment="1">
      <alignment horizontal="center" vertical="center" wrapText="1"/>
    </xf>
    <xf numFmtId="3" fontId="4" fillId="2" borderId="31" xfId="0" applyNumberFormat="1" applyFont="1" applyFill="1" applyBorder="1" applyAlignment="1" applyProtection="1">
      <alignment horizontal="center" vertical="center" wrapText="1"/>
      <protection locked="0"/>
    </xf>
    <xf numFmtId="3" fontId="18" fillId="2" borderId="31" xfId="0" applyNumberFormat="1" applyFont="1" applyFill="1" applyBorder="1" applyAlignment="1">
      <alignment horizontal="right" vertical="center" wrapText="1"/>
    </xf>
    <xf numFmtId="0" fontId="18" fillId="0" borderId="30" xfId="0" applyFont="1" applyBorder="1" applyAlignment="1">
      <alignment horizontal="center" vertical="center" wrapText="1"/>
    </xf>
    <xf numFmtId="3" fontId="18" fillId="5" borderId="49" xfId="0" applyNumberFormat="1" applyFont="1" applyFill="1" applyBorder="1" applyAlignment="1">
      <alignment horizontal="right" vertical="center" wrapText="1"/>
    </xf>
    <xf numFmtId="3" fontId="4" fillId="0" borderId="49" xfId="0" applyNumberFormat="1" applyFont="1" applyBorder="1" applyAlignment="1">
      <alignment horizontal="right" vertical="center" wrapText="1"/>
    </xf>
    <xf numFmtId="0" fontId="1" fillId="0" borderId="0" xfId="0" applyFont="1" applyAlignment="1">
      <alignment horizontal="center" vertical="center" wrapText="1"/>
    </xf>
    <xf numFmtId="0" fontId="18" fillId="0" borderId="32" xfId="0" applyFont="1" applyBorder="1" applyAlignment="1">
      <alignment horizontal="center" vertical="center"/>
    </xf>
    <xf numFmtId="0" fontId="18" fillId="0" borderId="42" xfId="0" applyFont="1" applyBorder="1" applyAlignment="1">
      <alignment horizontal="left" vertical="center"/>
    </xf>
    <xf numFmtId="0" fontId="1" fillId="0" borderId="0" xfId="0" applyFont="1" applyAlignment="1">
      <alignment horizontal="left" vertical="center" wrapText="1" indent="1"/>
    </xf>
    <xf numFmtId="0" fontId="1" fillId="0" borderId="0" xfId="0" applyFont="1" applyAlignment="1">
      <alignment horizontal="right" vertical="center"/>
    </xf>
    <xf numFmtId="0" fontId="16" fillId="0" borderId="0" xfId="0" applyFont="1" applyAlignment="1">
      <alignment horizontal="center" vertical="center" wrapText="1"/>
    </xf>
    <xf numFmtId="0" fontId="24" fillId="0" borderId="55" xfId="0" applyFont="1" applyBorder="1" applyAlignment="1">
      <alignment horizontal="center" vertical="center" wrapText="1"/>
    </xf>
    <xf numFmtId="0" fontId="24" fillId="0" borderId="58" xfId="0" applyFont="1" applyBorder="1" applyAlignment="1">
      <alignment horizontal="center" vertical="center" wrapText="1"/>
    </xf>
    <xf numFmtId="3" fontId="20" fillId="0" borderId="49" xfId="0" applyNumberFormat="1" applyFont="1" applyBorder="1" applyAlignment="1">
      <alignment horizontal="right" vertical="center" wrapText="1"/>
    </xf>
    <xf numFmtId="0" fontId="18" fillId="0" borderId="42" xfId="0" applyFont="1" applyBorder="1" applyAlignment="1">
      <alignment horizontal="center" vertical="center"/>
    </xf>
    <xf numFmtId="0" fontId="1" fillId="0" borderId="0" xfId="0" applyFont="1" applyAlignment="1">
      <alignment horizontal="left" vertical="center" wrapText="1"/>
    </xf>
    <xf numFmtId="0" fontId="24" fillId="0" borderId="49" xfId="0" applyFont="1" applyBorder="1" applyAlignment="1">
      <alignment horizontal="center" vertical="center" wrapTex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49" xfId="0" applyFont="1" applyBorder="1" applyAlignment="1" applyProtection="1">
      <alignment horizontal="center" vertical="center" wrapText="1"/>
      <protection locked="0"/>
    </xf>
    <xf numFmtId="3" fontId="4" fillId="0" borderId="49" xfId="0" applyNumberFormat="1" applyFont="1" applyBorder="1" applyAlignment="1" applyProtection="1">
      <alignment horizontal="right" vertical="center" wrapText="1"/>
      <protection locked="0"/>
    </xf>
    <xf numFmtId="0" fontId="47" fillId="0" borderId="0" xfId="0" applyFont="1" applyAlignment="1">
      <alignment vertical="center"/>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18" fillId="2" borderId="49" xfId="0" applyNumberFormat="1" applyFont="1" applyFill="1" applyBorder="1" applyAlignment="1">
      <alignment vertical="center" wrapText="1"/>
    </xf>
    <xf numFmtId="3" fontId="20" fillId="0" borderId="0" xfId="0" applyNumberFormat="1" applyFont="1" applyAlignment="1">
      <alignment horizontal="right" vertical="center" wrapText="1"/>
    </xf>
    <xf numFmtId="0" fontId="47" fillId="0" borderId="0" xfId="0" applyFont="1"/>
    <xf numFmtId="3" fontId="18" fillId="0" borderId="49" xfId="0" applyNumberFormat="1" applyFont="1" applyBorder="1" applyAlignment="1">
      <alignment horizontal="right" vertical="center" wrapText="1"/>
    </xf>
    <xf numFmtId="3" fontId="4" fillId="0" borderId="49" xfId="0" applyNumberFormat="1" applyFont="1" applyBorder="1" applyAlignment="1" applyProtection="1">
      <alignment horizontal="center" vertical="center" wrapText="1"/>
      <protection locked="0"/>
    </xf>
    <xf numFmtId="0" fontId="18" fillId="0" borderId="0" xfId="0" applyFont="1" applyAlignment="1">
      <alignment vertical="center"/>
    </xf>
    <xf numFmtId="0" fontId="52" fillId="0" borderId="49" xfId="0" applyFont="1" applyBorder="1" applyAlignment="1">
      <alignment horizontal="center" vertical="center" wrapText="1"/>
    </xf>
    <xf numFmtId="4" fontId="4" fillId="0" borderId="49" xfId="0" applyNumberFormat="1" applyFont="1" applyBorder="1" applyAlignment="1">
      <alignment horizontal="right" vertical="center" wrapText="1"/>
    </xf>
    <xf numFmtId="4" fontId="4" fillId="0" borderId="49" xfId="0" applyNumberFormat="1" applyFont="1" applyBorder="1" applyAlignment="1" applyProtection="1">
      <alignment horizontal="right" vertical="center" wrapText="1"/>
      <protection locked="0"/>
    </xf>
    <xf numFmtId="0" fontId="54" fillId="0" borderId="0" xfId="0" applyFont="1" applyAlignment="1">
      <alignment vertical="center" wrapText="1"/>
    </xf>
    <xf numFmtId="3" fontId="18" fillId="0" borderId="49" xfId="0" applyNumberFormat="1" applyFont="1" applyBorder="1" applyAlignment="1" applyProtection="1">
      <alignment horizontal="right" vertical="center" wrapText="1"/>
      <protection locked="0"/>
    </xf>
    <xf numFmtId="0" fontId="4" fillId="5" borderId="49" xfId="0" applyFont="1" applyFill="1" applyBorder="1" applyAlignment="1" applyProtection="1">
      <alignment horizontal="center" vertical="center" wrapText="1"/>
      <protection locked="0"/>
    </xf>
    <xf numFmtId="0" fontId="18" fillId="5" borderId="49" xfId="0" applyFont="1" applyFill="1" applyBorder="1" applyAlignment="1" applyProtection="1">
      <alignment horizontal="center" vertical="center" wrapText="1"/>
      <protection locked="0"/>
    </xf>
    <xf numFmtId="3" fontId="18" fillId="7" borderId="49" xfId="0" applyNumberFormat="1" applyFont="1" applyFill="1" applyBorder="1" applyAlignment="1">
      <alignment horizontal="right" vertical="center" wrapText="1"/>
    </xf>
    <xf numFmtId="0" fontId="4" fillId="2" borderId="49" xfId="0" applyFont="1" applyFill="1" applyBorder="1" applyAlignment="1">
      <alignment horizontal="center" vertical="center" wrapText="1"/>
    </xf>
    <xf numFmtId="3" fontId="25" fillId="6" borderId="49" xfId="0" applyNumberFormat="1" applyFont="1" applyFill="1" applyBorder="1" applyAlignment="1">
      <alignment horizontal="right" vertical="center" wrapText="1"/>
    </xf>
    <xf numFmtId="3" fontId="25" fillId="7" borderId="49" xfId="0" applyNumberFormat="1" applyFont="1" applyFill="1" applyBorder="1" applyAlignment="1">
      <alignment horizontal="right" vertical="center" wrapText="1"/>
    </xf>
    <xf numFmtId="3" fontId="20" fillId="0" borderId="49" xfId="0" applyNumberFormat="1" applyFont="1" applyBorder="1" applyAlignment="1" applyProtection="1">
      <alignment horizontal="center" vertical="center" wrapText="1"/>
      <protection locked="0"/>
    </xf>
    <xf numFmtId="3" fontId="20" fillId="0" borderId="49" xfId="0" applyNumberFormat="1" applyFont="1" applyBorder="1" applyAlignment="1" applyProtection="1">
      <alignment horizontal="right" vertical="center" wrapText="1"/>
      <protection locked="0"/>
    </xf>
    <xf numFmtId="3" fontId="23" fillId="0" borderId="49" xfId="0" applyNumberFormat="1" applyFont="1" applyBorder="1" applyAlignment="1" applyProtection="1">
      <alignment horizontal="right" vertical="center" wrapText="1"/>
      <protection locked="0"/>
    </xf>
    <xf numFmtId="0" fontId="57" fillId="0" borderId="49" xfId="0" applyFont="1" applyBorder="1" applyAlignment="1" applyProtection="1">
      <alignment horizontal="center" vertical="center" wrapText="1"/>
      <protection locked="0"/>
    </xf>
    <xf numFmtId="3" fontId="24" fillId="0" borderId="49"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3" fontId="16" fillId="0" borderId="49" xfId="0" applyNumberFormat="1" applyFont="1" applyBorder="1" applyAlignment="1" applyProtection="1">
      <alignment horizontal="right" vertical="center" wrapText="1"/>
      <protection locked="0"/>
    </xf>
    <xf numFmtId="0" fontId="53" fillId="0" borderId="49" xfId="0" applyFont="1" applyBorder="1" applyAlignment="1" applyProtection="1">
      <alignment horizontal="center" vertical="center" wrapText="1"/>
      <protection locked="0"/>
    </xf>
    <xf numFmtId="0" fontId="51" fillId="0" borderId="49" xfId="0" applyFont="1" applyBorder="1" applyAlignment="1" applyProtection="1">
      <alignment horizontal="center" vertical="center" wrapText="1"/>
      <protection locked="0"/>
    </xf>
    <xf numFmtId="0" fontId="5" fillId="0" borderId="0" xfId="0" applyFont="1"/>
    <xf numFmtId="0" fontId="7" fillId="0" borderId="0" xfId="0" applyFont="1"/>
    <xf numFmtId="0" fontId="53" fillId="0" borderId="0" xfId="0" applyFont="1" applyAlignment="1">
      <alignment horizontal="left" vertical="top" indent="1"/>
    </xf>
    <xf numFmtId="0" fontId="1" fillId="7" borderId="49" xfId="0" applyFont="1" applyFill="1" applyBorder="1" applyAlignment="1">
      <alignment horizontal="center" vertical="center"/>
    </xf>
    <xf numFmtId="0" fontId="1" fillId="0" borderId="33" xfId="0" applyFont="1" applyBorder="1" applyAlignment="1">
      <alignment vertical="center"/>
    </xf>
    <xf numFmtId="0" fontId="1" fillId="0" borderId="34" xfId="0" applyFont="1" applyBorder="1" applyAlignment="1">
      <alignment vertical="center"/>
    </xf>
    <xf numFmtId="0" fontId="16" fillId="0" borderId="72" xfId="0" applyFont="1" applyBorder="1" applyAlignment="1">
      <alignment horizontal="center" vertical="center"/>
    </xf>
    <xf numFmtId="0" fontId="1" fillId="0" borderId="60" xfId="0" applyFont="1" applyBorder="1" applyAlignment="1">
      <alignment vertical="center"/>
    </xf>
    <xf numFmtId="0" fontId="24" fillId="0" borderId="0" xfId="0" applyFont="1" applyAlignment="1">
      <alignment vertical="center"/>
    </xf>
    <xf numFmtId="3" fontId="24" fillId="0" borderId="49" xfId="0" applyNumberFormat="1" applyFont="1" applyBorder="1" applyAlignment="1" applyProtection="1">
      <alignment vertical="center" wrapText="1"/>
      <protection locked="0"/>
    </xf>
    <xf numFmtId="3" fontId="24" fillId="0" borderId="55" xfId="0" applyNumberFormat="1" applyFont="1" applyBorder="1" applyAlignment="1" applyProtection="1">
      <alignment vertical="center" wrapText="1"/>
      <protection locked="0"/>
    </xf>
    <xf numFmtId="3" fontId="56" fillId="0" borderId="49" xfId="0" applyNumberFormat="1" applyFont="1" applyBorder="1" applyAlignment="1" applyProtection="1">
      <alignment horizontal="center" vertical="center" wrapText="1"/>
      <protection locked="0"/>
    </xf>
    <xf numFmtId="0" fontId="55" fillId="0" borderId="49" xfId="0" applyFont="1" applyBorder="1" applyAlignment="1" applyProtection="1">
      <alignment horizontal="center" vertical="center"/>
      <protection locked="0"/>
    </xf>
    <xf numFmtId="3" fontId="2" fillId="0" borderId="49" xfId="0" applyNumberFormat="1" applyFont="1" applyBorder="1" applyAlignment="1" applyProtection="1">
      <alignment horizontal="right" vertical="center"/>
      <protection locked="0"/>
    </xf>
    <xf numFmtId="9" fontId="1" fillId="0" borderId="68" xfId="0" applyNumberFormat="1" applyFont="1" applyBorder="1" applyAlignment="1" applyProtection="1">
      <alignment horizontal="right" vertical="center"/>
      <protection locked="0"/>
    </xf>
    <xf numFmtId="14" fontId="1" fillId="0" borderId="68" xfId="0" applyNumberFormat="1" applyFont="1" applyBorder="1" applyAlignment="1" applyProtection="1">
      <alignment horizontal="center" vertical="center"/>
      <protection locked="0"/>
    </xf>
    <xf numFmtId="3" fontId="1" fillId="0" borderId="68" xfId="0" applyNumberFormat="1" applyFont="1" applyBorder="1" applyAlignment="1" applyProtection="1">
      <alignment vertical="center"/>
      <protection locked="0"/>
    </xf>
    <xf numFmtId="9" fontId="1" fillId="0" borderId="49" xfId="0" applyNumberFormat="1" applyFont="1" applyBorder="1" applyAlignment="1" applyProtection="1">
      <alignment horizontal="right" vertical="center"/>
      <protection locked="0"/>
    </xf>
    <xf numFmtId="14" fontId="1" fillId="0" borderId="49" xfId="0" applyNumberFormat="1" applyFont="1" applyBorder="1" applyAlignment="1" applyProtection="1">
      <alignment horizontal="center" vertical="center"/>
      <protection locked="0"/>
    </xf>
    <xf numFmtId="3" fontId="1" fillId="0" borderId="49" xfId="0" applyNumberFormat="1" applyFont="1" applyBorder="1" applyAlignment="1" applyProtection="1">
      <alignment vertical="center"/>
      <protection locked="0"/>
    </xf>
    <xf numFmtId="9" fontId="1" fillId="0" borderId="58" xfId="0" applyNumberFormat="1" applyFont="1" applyBorder="1" applyAlignment="1" applyProtection="1">
      <alignment horizontal="right" vertical="center"/>
      <protection locked="0"/>
    </xf>
    <xf numFmtId="14" fontId="1" fillId="0" borderId="58" xfId="0" applyNumberFormat="1" applyFont="1" applyBorder="1" applyAlignment="1" applyProtection="1">
      <alignment horizontal="center" vertical="center"/>
      <protection locked="0"/>
    </xf>
    <xf numFmtId="3" fontId="1" fillId="0" borderId="58" xfId="0" applyNumberFormat="1" applyFont="1" applyBorder="1" applyAlignment="1" applyProtection="1">
      <alignment vertical="center"/>
      <protection locked="0"/>
    </xf>
    <xf numFmtId="3" fontId="23" fillId="0" borderId="49" xfId="3" applyNumberFormat="1" applyFont="1" applyBorder="1" applyAlignment="1" applyProtection="1">
      <alignment horizontal="right" vertical="center"/>
      <protection locked="0"/>
    </xf>
    <xf numFmtId="3" fontId="18" fillId="5" borderId="46" xfId="0" applyNumberFormat="1" applyFont="1" applyFill="1" applyBorder="1" applyAlignment="1">
      <alignment horizontal="right" vertical="center" wrapText="1"/>
    </xf>
    <xf numFmtId="3" fontId="18" fillId="5" borderId="47" xfId="0" applyNumberFormat="1" applyFont="1" applyFill="1" applyBorder="1" applyAlignment="1">
      <alignment horizontal="right" vertical="center" wrapText="1"/>
    </xf>
    <xf numFmtId="3" fontId="18" fillId="5" borderId="76" xfId="0" applyNumberFormat="1" applyFont="1" applyFill="1" applyBorder="1" applyAlignment="1">
      <alignment horizontal="right" vertical="center" wrapText="1"/>
    </xf>
    <xf numFmtId="3" fontId="4" fillId="0" borderId="76" xfId="0" applyNumberFormat="1" applyFont="1" applyBorder="1" applyAlignment="1" applyProtection="1">
      <alignment horizontal="right" vertical="center" wrapText="1"/>
      <protection locked="0"/>
    </xf>
    <xf numFmtId="3" fontId="32" fillId="0" borderId="49" xfId="0" applyNumberFormat="1" applyFont="1" applyBorder="1" applyAlignment="1" applyProtection="1">
      <alignment horizontal="right" vertical="center" wrapText="1"/>
      <protection locked="0"/>
    </xf>
    <xf numFmtId="3" fontId="34" fillId="4" borderId="49" xfId="0" applyNumberFormat="1" applyFont="1" applyFill="1" applyBorder="1" applyAlignment="1">
      <alignment horizontal="right" vertical="center" wrapText="1"/>
    </xf>
    <xf numFmtId="3" fontId="32" fillId="4" borderId="49" xfId="0" applyNumberFormat="1" applyFont="1" applyFill="1" applyBorder="1" applyAlignment="1">
      <alignment horizontal="right" vertical="center" wrapText="1"/>
    </xf>
    <xf numFmtId="49" fontId="8" fillId="0" borderId="0" xfId="0" applyNumberFormat="1" applyFont="1" applyAlignment="1">
      <alignment vertical="center"/>
    </xf>
    <xf numFmtId="0" fontId="1" fillId="0" borderId="35" xfId="0" applyFont="1" applyBorder="1" applyAlignment="1">
      <alignment vertical="center"/>
    </xf>
    <xf numFmtId="3" fontId="18" fillId="0" borderId="76" xfId="0" applyNumberFormat="1" applyFont="1" applyBorder="1" applyAlignment="1" applyProtection="1">
      <alignment horizontal="right" vertical="center" wrapText="1"/>
      <protection locked="0"/>
    </xf>
    <xf numFmtId="3" fontId="18" fillId="0" borderId="47" xfId="0" applyNumberFormat="1" applyFont="1" applyBorder="1" applyAlignment="1" applyProtection="1">
      <alignment horizontal="right" vertical="center" wrapText="1"/>
      <protection locked="0"/>
    </xf>
    <xf numFmtId="3" fontId="18" fillId="0" borderId="46" xfId="0" applyNumberFormat="1" applyFont="1" applyBorder="1" applyAlignment="1" applyProtection="1">
      <alignment horizontal="right" vertical="center" wrapText="1"/>
      <protection locked="0"/>
    </xf>
    <xf numFmtId="0" fontId="1" fillId="0" borderId="21" xfId="0" applyFont="1" applyBorder="1" applyAlignment="1">
      <alignment horizontal="center" vertical="center"/>
    </xf>
    <xf numFmtId="14" fontId="16" fillId="0" borderId="0" xfId="0" applyNumberFormat="1" applyFont="1" applyAlignment="1">
      <alignment horizontal="center" vertical="center"/>
    </xf>
    <xf numFmtId="0" fontId="15" fillId="0" borderId="29" xfId="0" applyFont="1" applyBorder="1" applyAlignment="1" applyProtection="1">
      <alignment horizontal="center" vertical="center"/>
      <protection locked="0"/>
    </xf>
    <xf numFmtId="0" fontId="9" fillId="0" borderId="29" xfId="0" applyFont="1" applyBorder="1" applyAlignment="1" applyProtection="1">
      <alignment horizontal="center" vertical="center"/>
      <protection locked="0"/>
    </xf>
    <xf numFmtId="0" fontId="9" fillId="0" borderId="31" xfId="0" applyFont="1" applyBorder="1" applyAlignment="1" applyProtection="1">
      <alignment horizontal="center" vertical="center"/>
      <protection locked="0"/>
    </xf>
    <xf numFmtId="14" fontId="18" fillId="0" borderId="37" xfId="0" applyNumberFormat="1" applyFont="1" applyBorder="1" applyAlignment="1" applyProtection="1">
      <alignment horizontal="center" vertical="center"/>
      <protection locked="0"/>
    </xf>
    <xf numFmtId="2" fontId="24" fillId="0" borderId="17" xfId="2" applyNumberFormat="1" applyFont="1" applyBorder="1" applyAlignment="1">
      <alignment horizontal="right" vertical="center"/>
    </xf>
    <xf numFmtId="2" fontId="24" fillId="0" borderId="18" xfId="2" applyNumberFormat="1" applyFont="1" applyBorder="1" applyAlignment="1">
      <alignment horizontal="right" vertical="center"/>
    </xf>
    <xf numFmtId="2" fontId="26" fillId="0" borderId="18" xfId="2" applyNumberFormat="1" applyFont="1" applyBorder="1" applyAlignment="1">
      <alignment horizontal="center" vertical="center"/>
    </xf>
    <xf numFmtId="2" fontId="24" fillId="0" borderId="18" xfId="2" applyNumberFormat="1" applyFont="1" applyBorder="1"/>
    <xf numFmtId="2" fontId="24" fillId="0" borderId="19" xfId="2" applyNumberFormat="1" applyFont="1" applyBorder="1"/>
    <xf numFmtId="2" fontId="23" fillId="0" borderId="10" xfId="2" applyNumberFormat="1" applyFont="1" applyBorder="1"/>
    <xf numFmtId="2" fontId="25" fillId="0" borderId="0" xfId="2" applyNumberFormat="1" applyFont="1"/>
    <xf numFmtId="2" fontId="26" fillId="0" borderId="0" xfId="2" applyNumberFormat="1" applyFont="1"/>
    <xf numFmtId="2" fontId="24" fillId="0" borderId="0" xfId="2" applyNumberFormat="1" applyFont="1"/>
    <xf numFmtId="2" fontId="24" fillId="3" borderId="0" xfId="2" applyNumberFormat="1" applyFont="1" applyFill="1"/>
    <xf numFmtId="2" fontId="24" fillId="0" borderId="21" xfId="2" applyNumberFormat="1" applyFont="1" applyBorder="1"/>
    <xf numFmtId="2" fontId="23" fillId="0" borderId="0" xfId="2" applyNumberFormat="1" applyFont="1"/>
    <xf numFmtId="2" fontId="24" fillId="0" borderId="17" xfId="2" applyNumberFormat="1" applyFont="1" applyBorder="1"/>
    <xf numFmtId="2" fontId="26" fillId="0" borderId="20" xfId="2" applyNumberFormat="1" applyFont="1" applyBorder="1"/>
    <xf numFmtId="2" fontId="26" fillId="3" borderId="0" xfId="2" applyNumberFormat="1" applyFont="1" applyFill="1"/>
    <xf numFmtId="2" fontId="24" fillId="0" borderId="20" xfId="2" applyNumberFormat="1" applyFont="1" applyBorder="1"/>
    <xf numFmtId="2" fontId="26" fillId="3" borderId="0" xfId="2" applyNumberFormat="1" applyFont="1" applyFill="1" applyAlignment="1">
      <alignment horizontal="center"/>
    </xf>
    <xf numFmtId="2" fontId="24" fillId="0" borderId="26" xfId="2" applyNumberFormat="1" applyFont="1" applyBorder="1"/>
    <xf numFmtId="0" fontId="26" fillId="0" borderId="27" xfId="2" applyFont="1" applyBorder="1"/>
    <xf numFmtId="0" fontId="24" fillId="0" borderId="27" xfId="2" applyFont="1" applyBorder="1"/>
    <xf numFmtId="0" fontId="24" fillId="0" borderId="28" xfId="2" applyFont="1" applyBorder="1"/>
    <xf numFmtId="0" fontId="24" fillId="0" borderId="26" xfId="2" applyFont="1" applyBorder="1"/>
    <xf numFmtId="0" fontId="24" fillId="3" borderId="0" xfId="2" applyFont="1" applyFill="1"/>
    <xf numFmtId="0" fontId="24" fillId="0" borderId="0" xfId="2" applyFont="1"/>
    <xf numFmtId="0" fontId="26" fillId="0" borderId="0" xfId="2" applyFont="1"/>
    <xf numFmtId="0" fontId="23" fillId="0" borderId="17" xfId="2" applyFont="1" applyBorder="1" applyAlignment="1">
      <alignment horizontal="center" vertical="center" wrapText="1"/>
    </xf>
    <xf numFmtId="0" fontId="23" fillId="0" borderId="20" xfId="2" applyFont="1" applyBorder="1" applyAlignment="1">
      <alignment horizontal="center" vertical="center" wrapText="1"/>
    </xf>
    <xf numFmtId="0" fontId="23" fillId="0" borderId="26" xfId="2" applyFont="1" applyBorder="1" applyAlignment="1">
      <alignment horizontal="center" vertical="center" wrapText="1"/>
    </xf>
    <xf numFmtId="0" fontId="26" fillId="0" borderId="20" xfId="2" applyFont="1" applyBorder="1"/>
    <xf numFmtId="0" fontId="26" fillId="0" borderId="21" xfId="2" applyFont="1" applyBorder="1"/>
    <xf numFmtId="0" fontId="26" fillId="0" borderId="18" xfId="2" applyFont="1" applyBorder="1"/>
    <xf numFmtId="0" fontId="25" fillId="0" borderId="0" xfId="2" applyFont="1"/>
    <xf numFmtId="0" fontId="21" fillId="0" borderId="18" xfId="2" applyFont="1" applyBorder="1"/>
    <xf numFmtId="0" fontId="21" fillId="0" borderId="23" xfId="2" applyFont="1" applyBorder="1"/>
    <xf numFmtId="0" fontId="21" fillId="0" borderId="24" xfId="2" applyFont="1" applyBorder="1"/>
    <xf numFmtId="1" fontId="25" fillId="3" borderId="37" xfId="2" applyNumberFormat="1" applyFont="1" applyFill="1" applyBorder="1" applyAlignment="1" applyProtection="1">
      <alignment horizontal="center" vertical="center"/>
      <protection locked="0"/>
    </xf>
    <xf numFmtId="2" fontId="26" fillId="3" borderId="29" xfId="2" applyNumberFormat="1" applyFont="1" applyFill="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3" fillId="0" borderId="49" xfId="0" applyFont="1" applyBorder="1" applyAlignment="1" applyProtection="1">
      <alignment horizontal="center" vertical="center" wrapText="1"/>
      <protection locked="0"/>
    </xf>
    <xf numFmtId="3" fontId="4" fillId="0" borderId="22" xfId="0" applyNumberFormat="1" applyFont="1" applyBorder="1" applyAlignment="1" applyProtection="1">
      <alignment horizontal="right" wrapText="1"/>
      <protection locked="0"/>
    </xf>
    <xf numFmtId="3" fontId="4" fillId="0" borderId="54" xfId="0" applyNumberFormat="1" applyFont="1" applyBorder="1" applyAlignment="1" applyProtection="1">
      <alignment horizontal="right" wrapText="1"/>
      <protection locked="0"/>
    </xf>
    <xf numFmtId="0" fontId="4" fillId="0" borderId="25" xfId="0" applyFont="1" applyBorder="1" applyAlignment="1" applyProtection="1">
      <alignment vertical="center" wrapText="1"/>
      <protection locked="0"/>
    </xf>
    <xf numFmtId="0" fontId="4" fillId="0" borderId="49" xfId="0" applyFont="1" applyBorder="1" applyAlignment="1" applyProtection="1">
      <alignment horizontal="left" vertical="center" wrapText="1"/>
      <protection locked="0"/>
    </xf>
    <xf numFmtId="3" fontId="25" fillId="2" borderId="49" xfId="0" applyNumberFormat="1" applyFont="1" applyFill="1" applyBorder="1" applyAlignment="1">
      <alignment horizontal="right" vertical="center" wrapText="1"/>
    </xf>
    <xf numFmtId="0" fontId="9" fillId="0" borderId="0" xfId="0" applyFont="1"/>
    <xf numFmtId="10" fontId="32" fillId="0" borderId="49" xfId="0" applyNumberFormat="1" applyFont="1" applyBorder="1" applyAlignment="1" applyProtection="1">
      <alignment horizontal="right" vertical="center" wrapText="1"/>
      <protection locked="0"/>
    </xf>
    <xf numFmtId="0" fontId="18" fillId="0" borderId="0" xfId="0" applyFont="1" applyAlignment="1">
      <alignment horizontal="center" vertical="center"/>
    </xf>
    <xf numFmtId="14" fontId="18"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23" fillId="0" borderId="0" xfId="2" applyFont="1" applyAlignment="1">
      <alignment vertical="center"/>
    </xf>
    <xf numFmtId="0" fontId="0" fillId="0" borderId="20" xfId="0" applyBorder="1"/>
    <xf numFmtId="0" fontId="0" fillId="0" borderId="21" xfId="0" applyBorder="1"/>
    <xf numFmtId="0" fontId="23" fillId="0" borderId="20" xfId="2" applyFont="1" applyBorder="1" applyAlignment="1">
      <alignment vertical="center"/>
    </xf>
    <xf numFmtId="0" fontId="23" fillId="0" borderId="0" xfId="2" applyFont="1"/>
    <xf numFmtId="0" fontId="25" fillId="0" borderId="20" xfId="2"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lignment horizontal="right" vertical="center"/>
    </xf>
    <xf numFmtId="0" fontId="4" fillId="0" borderId="22" xfId="0" applyFont="1" applyBorder="1" applyAlignment="1">
      <alignment horizontal="center" vertical="center"/>
    </xf>
    <xf numFmtId="0" fontId="4" fillId="0" borderId="22" xfId="0" applyFont="1" applyBorder="1" applyAlignment="1">
      <alignment horizontal="right" vertical="center"/>
    </xf>
    <xf numFmtId="1" fontId="30" fillId="0" borderId="9" xfId="0" applyNumberFormat="1" applyFont="1" applyBorder="1"/>
    <xf numFmtId="0" fontId="30" fillId="0" borderId="0" xfId="0" applyFont="1"/>
    <xf numFmtId="0" fontId="30" fillId="0" borderId="10" xfId="0" applyFont="1" applyBorder="1"/>
    <xf numFmtId="0" fontId="47" fillId="0" borderId="22" xfId="0" applyFont="1" applyBorder="1"/>
    <xf numFmtId="0" fontId="61" fillId="0" borderId="0" xfId="0" applyFont="1"/>
    <xf numFmtId="0" fontId="4" fillId="0" borderId="22" xfId="0" applyFont="1" applyBorder="1" applyAlignment="1">
      <alignment horizontal="left" vertical="center"/>
    </xf>
    <xf numFmtId="0" fontId="4" fillId="0" borderId="22" xfId="0" applyFont="1" applyBorder="1" applyAlignment="1">
      <alignment vertical="center"/>
    </xf>
    <xf numFmtId="0" fontId="23" fillId="0" borderId="20" xfId="2" applyFont="1" applyBorder="1"/>
    <xf numFmtId="0" fontId="25" fillId="0" borderId="21" xfId="2" applyFont="1" applyBorder="1"/>
    <xf numFmtId="0" fontId="47" fillId="0" borderId="26" xfId="0" applyFont="1" applyBorder="1"/>
    <xf numFmtId="0" fontId="25" fillId="0" borderId="27" xfId="2" applyFont="1" applyBorder="1"/>
    <xf numFmtId="0" fontId="25" fillId="0" borderId="28" xfId="2" applyFont="1" applyBorder="1"/>
    <xf numFmtId="0" fontId="4" fillId="0" borderId="0" xfId="0" applyFont="1" applyAlignment="1">
      <alignment horizontal="left"/>
    </xf>
    <xf numFmtId="0" fontId="4" fillId="0" borderId="53" xfId="0" applyFont="1" applyBorder="1" applyAlignment="1">
      <alignment horizontal="left"/>
    </xf>
    <xf numFmtId="49" fontId="18" fillId="0" borderId="53" xfId="0" applyNumberFormat="1" applyFont="1" applyBorder="1" applyAlignment="1">
      <alignment horizontal="left" vertical="center"/>
    </xf>
    <xf numFmtId="0" fontId="4" fillId="0" borderId="22" xfId="0" applyFont="1" applyBorder="1"/>
    <xf numFmtId="2" fontId="23" fillId="0" borderId="0" xfId="2" applyNumberFormat="1" applyFont="1" applyAlignment="1">
      <alignment horizontal="left"/>
    </xf>
    <xf numFmtId="2" fontId="25" fillId="0" borderId="42" xfId="2" applyNumberFormat="1" applyFont="1" applyBorder="1" applyAlignment="1">
      <alignment horizontal="left"/>
    </xf>
    <xf numFmtId="2" fontId="23" fillId="0" borderId="0" xfId="2" applyNumberFormat="1" applyFont="1" applyAlignment="1">
      <alignment horizontal="center"/>
    </xf>
    <xf numFmtId="0" fontId="25" fillId="0" borderId="22" xfId="2" applyFont="1" applyBorder="1"/>
    <xf numFmtId="2" fontId="23" fillId="0" borderId="53" xfId="2" applyNumberFormat="1" applyFont="1" applyBorder="1" applyAlignment="1">
      <alignment horizontal="left"/>
    </xf>
    <xf numFmtId="2" fontId="23" fillId="0" borderId="53" xfId="2" applyNumberFormat="1" applyFont="1" applyBorder="1" applyAlignment="1">
      <alignment horizontal="center"/>
    </xf>
    <xf numFmtId="0" fontId="47" fillId="0" borderId="53" xfId="0" applyFont="1" applyBorder="1"/>
    <xf numFmtId="0" fontId="0" fillId="0" borderId="0" xfId="0" applyAlignment="1">
      <alignment horizontal="left" vertical="center"/>
    </xf>
    <xf numFmtId="0" fontId="18" fillId="0" borderId="0" xfId="0" applyFont="1" applyAlignment="1">
      <alignment horizontal="left" vertical="center" wrapText="1" indent="1"/>
    </xf>
    <xf numFmtId="0" fontId="18" fillId="0" borderId="57" xfId="0" applyFont="1" applyBorder="1" applyAlignment="1">
      <alignment horizontal="left" vertical="center"/>
    </xf>
    <xf numFmtId="1" fontId="28" fillId="0" borderId="18" xfId="2" applyNumberFormat="1" applyFont="1" applyBorder="1" applyAlignment="1">
      <alignment horizontal="right" vertical="center"/>
    </xf>
    <xf numFmtId="1" fontId="28" fillId="0" borderId="19" xfId="2" applyNumberFormat="1" applyFont="1" applyBorder="1" applyAlignment="1">
      <alignment horizontal="right" vertical="center"/>
    </xf>
    <xf numFmtId="49" fontId="8" fillId="0" borderId="0" xfId="0" applyNumberFormat="1" applyFont="1" applyAlignment="1" applyProtection="1">
      <alignment horizontal="center" vertical="center"/>
      <protection locked="0"/>
    </xf>
    <xf numFmtId="0" fontId="23" fillId="0" borderId="49" xfId="0" applyFont="1" applyBorder="1" applyAlignment="1" applyProtection="1">
      <alignment horizontal="left" vertical="center" wrapText="1"/>
      <protection locked="0"/>
    </xf>
    <xf numFmtId="0" fontId="4" fillId="0" borderId="49" xfId="0" applyFont="1" applyBorder="1" applyAlignment="1" applyProtection="1">
      <alignment vertical="center" wrapText="1"/>
      <protection locked="0"/>
    </xf>
    <xf numFmtId="0" fontId="4" fillId="11" borderId="29" xfId="0" applyFont="1" applyFill="1" applyBorder="1" applyAlignment="1">
      <alignment horizontal="center" vertical="center" wrapText="1"/>
    </xf>
    <xf numFmtId="0" fontId="4" fillId="11" borderId="46" xfId="0" applyFont="1" applyFill="1" applyBorder="1" applyAlignment="1">
      <alignment horizontal="center" vertical="center"/>
    </xf>
    <xf numFmtId="0" fontId="47" fillId="11" borderId="47" xfId="0" applyFont="1" applyFill="1" applyBorder="1" applyAlignment="1">
      <alignment horizontal="center" vertical="center"/>
    </xf>
    <xf numFmtId="0" fontId="47" fillId="11" borderId="49" xfId="0" applyFont="1" applyFill="1" applyBorder="1" applyAlignment="1">
      <alignment horizontal="center" vertical="center"/>
    </xf>
    <xf numFmtId="0" fontId="4" fillId="11" borderId="49" xfId="0" applyFont="1" applyFill="1" applyBorder="1" applyAlignment="1">
      <alignment horizontal="center" vertical="center" wrapText="1"/>
    </xf>
    <xf numFmtId="0" fontId="18" fillId="0" borderId="22" xfId="0" applyFont="1" applyBorder="1" applyAlignment="1">
      <alignment horizontal="left" vertical="center"/>
    </xf>
    <xf numFmtId="0" fontId="50" fillId="0" borderId="0" xfId="0" applyFont="1" applyAlignment="1">
      <alignment horizontal="left" vertical="center" indent="3"/>
    </xf>
    <xf numFmtId="0" fontId="69" fillId="0" borderId="0" xfId="0" applyFont="1" applyAlignment="1">
      <alignment horizontal="left" vertical="center" indent="6"/>
    </xf>
    <xf numFmtId="0" fontId="1" fillId="11" borderId="49" xfId="0" applyFont="1" applyFill="1" applyBorder="1" applyAlignment="1">
      <alignment horizontal="center" vertical="center" wrapText="1"/>
    </xf>
    <xf numFmtId="3" fontId="18" fillId="7" borderId="49" xfId="0" applyNumberFormat="1" applyFont="1" applyFill="1" applyBorder="1" applyAlignment="1" applyProtection="1">
      <alignment horizontal="right" vertical="center" wrapText="1"/>
      <protection locked="0"/>
    </xf>
    <xf numFmtId="0" fontId="47" fillId="0" borderId="22" xfId="0" applyFont="1" applyBorder="1" applyAlignment="1">
      <alignment vertical="center"/>
    </xf>
    <xf numFmtId="0" fontId="47" fillId="0" borderId="57" xfId="0" applyFont="1" applyBorder="1" applyAlignment="1">
      <alignment horizontal="left" vertical="center"/>
    </xf>
    <xf numFmtId="0" fontId="4" fillId="0" borderId="57" xfId="0" applyFont="1" applyBorder="1" applyAlignment="1">
      <alignment horizontal="left" vertical="center"/>
    </xf>
    <xf numFmtId="0" fontId="24" fillId="11" borderId="49" xfId="0" applyFont="1" applyFill="1" applyBorder="1" applyAlignment="1">
      <alignment horizontal="center" vertical="center" wrapText="1"/>
    </xf>
    <xf numFmtId="0" fontId="23" fillId="11" borderId="49" xfId="0" applyFont="1" applyFill="1" applyBorder="1" applyAlignment="1">
      <alignment horizontal="center" vertical="center" wrapText="1"/>
    </xf>
    <xf numFmtId="0" fontId="4" fillId="15" borderId="49" xfId="0" applyFont="1" applyFill="1" applyBorder="1" applyAlignment="1">
      <alignment vertical="center" wrapText="1"/>
    </xf>
    <xf numFmtId="0" fontId="4" fillId="15" borderId="49" xfId="0" applyFont="1" applyFill="1" applyBorder="1" applyAlignment="1">
      <alignment horizontal="center" vertical="center" wrapText="1"/>
    </xf>
    <xf numFmtId="0" fontId="18" fillId="0" borderId="22" xfId="0" applyFont="1" applyBorder="1" applyAlignment="1">
      <alignment vertical="center"/>
    </xf>
    <xf numFmtId="0" fontId="2" fillId="0" borderId="0" xfId="0" applyFont="1" applyAlignment="1">
      <alignment vertical="center"/>
    </xf>
    <xf numFmtId="49" fontId="1" fillId="0" borderId="0" xfId="0" applyNumberFormat="1" applyFont="1" applyAlignment="1">
      <alignment horizontal="center" vertical="center" wrapText="1"/>
    </xf>
    <xf numFmtId="3" fontId="26" fillId="4" borderId="49" xfId="0" applyNumberFormat="1" applyFont="1" applyFill="1" applyBorder="1" applyAlignment="1">
      <alignment vertical="center" wrapText="1"/>
    </xf>
    <xf numFmtId="0" fontId="24" fillId="11" borderId="58" xfId="0" applyFont="1" applyFill="1" applyBorder="1" applyAlignment="1">
      <alignment horizontal="center" vertical="center" wrapText="1"/>
    </xf>
    <xf numFmtId="3" fontId="16" fillId="4" borderId="73" xfId="0" applyNumberFormat="1" applyFont="1" applyFill="1" applyBorder="1" applyAlignment="1">
      <alignment vertical="center"/>
    </xf>
    <xf numFmtId="3" fontId="16" fillId="4" borderId="49" xfId="0" applyNumberFormat="1" applyFont="1" applyFill="1" applyBorder="1" applyAlignment="1">
      <alignment vertical="center"/>
    </xf>
    <xf numFmtId="3" fontId="16" fillId="4" borderId="55" xfId="0" applyNumberFormat="1" applyFont="1" applyFill="1" applyBorder="1" applyAlignment="1">
      <alignment vertical="center"/>
    </xf>
    <xf numFmtId="0" fontId="5" fillId="0" borderId="0" xfId="0" applyFont="1" applyAlignment="1">
      <alignment vertical="center" wrapText="1"/>
    </xf>
    <xf numFmtId="49" fontId="1" fillId="0" borderId="0" xfId="0" applyNumberFormat="1" applyFont="1" applyAlignment="1">
      <alignment vertical="center"/>
    </xf>
    <xf numFmtId="0" fontId="0" fillId="4" borderId="31" xfId="0" applyFill="1" applyBorder="1"/>
    <xf numFmtId="0" fontId="0" fillId="4" borderId="30" xfId="0" applyFill="1" applyBorder="1"/>
    <xf numFmtId="0" fontId="25" fillId="4" borderId="30" xfId="2" applyFont="1" applyFill="1" applyBorder="1" applyAlignment="1">
      <alignment horizontal="center"/>
    </xf>
    <xf numFmtId="0" fontId="23" fillId="4" borderId="30" xfId="2" applyFont="1" applyFill="1" applyBorder="1" applyAlignment="1">
      <alignment horizontal="center" vertical="center"/>
    </xf>
    <xf numFmtId="49" fontId="23" fillId="4" borderId="30" xfId="2" applyNumberFormat="1" applyFont="1" applyFill="1" applyBorder="1" applyAlignment="1">
      <alignment horizontal="center" vertical="center"/>
    </xf>
    <xf numFmtId="49" fontId="23" fillId="4" borderId="30" xfId="2" quotePrefix="1" applyNumberFormat="1" applyFont="1" applyFill="1" applyBorder="1" applyAlignment="1">
      <alignment horizontal="center" vertical="center"/>
    </xf>
    <xf numFmtId="0" fontId="23" fillId="4" borderId="30" xfId="2" applyFont="1" applyFill="1" applyBorder="1" applyAlignment="1">
      <alignment horizontal="center"/>
    </xf>
    <xf numFmtId="0" fontId="23" fillId="4" borderId="37" xfId="2" applyFont="1" applyFill="1" applyBorder="1" applyAlignment="1">
      <alignment horizontal="center" vertical="center"/>
    </xf>
    <xf numFmtId="0" fontId="24" fillId="11" borderId="49" xfId="0" applyFont="1" applyFill="1" applyBorder="1" applyAlignment="1">
      <alignment horizontal="center" vertical="center"/>
    </xf>
    <xf numFmtId="49" fontId="8" fillId="0" borderId="0" xfId="0" applyNumberFormat="1" applyFont="1" applyAlignment="1" applyProtection="1">
      <alignment vertical="center"/>
      <protection locked="0"/>
    </xf>
    <xf numFmtId="0" fontId="78" fillId="0" borderId="49" xfId="0" applyFont="1" applyBorder="1" applyAlignment="1">
      <alignment vertical="center"/>
    </xf>
    <xf numFmtId="0" fontId="78" fillId="0" borderId="49" xfId="0" applyFont="1" applyBorder="1" applyAlignment="1" applyProtection="1">
      <alignment horizontal="center" vertical="center"/>
      <protection locked="0"/>
    </xf>
    <xf numFmtId="0" fontId="78" fillId="0" borderId="46" xfId="0" applyFont="1" applyBorder="1" applyAlignment="1">
      <alignment horizontal="left" vertical="center"/>
    </xf>
    <xf numFmtId="0" fontId="78" fillId="0" borderId="50" xfId="0" applyFont="1" applyBorder="1" applyAlignment="1">
      <alignment horizontal="left" vertical="center"/>
    </xf>
    <xf numFmtId="0" fontId="78" fillId="0" borderId="47" xfId="0" applyFont="1" applyBorder="1" applyAlignment="1">
      <alignment horizontal="left" vertical="center"/>
    </xf>
    <xf numFmtId="0" fontId="78" fillId="0" borderId="49" xfId="0" applyFont="1" applyBorder="1" applyAlignment="1">
      <alignment vertical="center" wrapText="1"/>
    </xf>
    <xf numFmtId="0" fontId="78" fillId="0" borderId="49" xfId="0" applyFont="1" applyBorder="1" applyAlignment="1" applyProtection="1">
      <alignment horizontal="center" vertical="center" wrapText="1"/>
      <protection locked="0"/>
    </xf>
    <xf numFmtId="0" fontId="12" fillId="0" borderId="0" xfId="0" applyFont="1" applyAlignment="1">
      <alignment vertical="top"/>
    </xf>
    <xf numFmtId="0" fontId="74" fillId="0" borderId="0" xfId="0" applyFont="1" applyAlignment="1">
      <alignment vertical="top"/>
    </xf>
    <xf numFmtId="0" fontId="4" fillId="0" borderId="19" xfId="0" applyFont="1" applyBorder="1" applyAlignment="1">
      <alignment horizontal="center" vertical="center" wrapText="1"/>
    </xf>
    <xf numFmtId="3" fontId="4" fillId="0" borderId="31" xfId="0" applyNumberFormat="1" applyFont="1" applyBorder="1" applyAlignment="1">
      <alignment vertical="center" wrapText="1"/>
    </xf>
    <xf numFmtId="0" fontId="25" fillId="0" borderId="26" xfId="2" applyFont="1" applyBorder="1" applyAlignment="1">
      <alignment vertical="center"/>
    </xf>
    <xf numFmtId="0" fontId="0" fillId="0" borderId="27" xfId="0" applyBorder="1"/>
    <xf numFmtId="0" fontId="23" fillId="0" borderId="27" xfId="2" applyFont="1" applyBorder="1" applyAlignment="1">
      <alignment vertical="center"/>
    </xf>
    <xf numFmtId="0" fontId="0" fillId="0" borderId="93" xfId="0" applyBorder="1"/>
    <xf numFmtId="0" fontId="0" fillId="0" borderId="28" xfId="0" applyBorder="1"/>
    <xf numFmtId="0" fontId="16" fillId="10" borderId="29" xfId="0" applyFont="1" applyFill="1" applyBorder="1" applyAlignment="1">
      <alignment horizontal="center" vertical="center"/>
    </xf>
    <xf numFmtId="49" fontId="4" fillId="10" borderId="25" xfId="0" applyNumberFormat="1" applyFont="1" applyFill="1" applyBorder="1" applyAlignment="1" applyProtection="1">
      <alignment horizontal="center" vertical="center" wrapText="1"/>
      <protection locked="0"/>
    </xf>
    <xf numFmtId="3" fontId="18" fillId="10" borderId="29" xfId="0" applyNumberFormat="1" applyFont="1" applyFill="1" applyBorder="1" applyAlignment="1">
      <alignment vertical="center" wrapText="1"/>
    </xf>
    <xf numFmtId="49" fontId="4" fillId="7" borderId="25" xfId="0" applyNumberFormat="1" applyFont="1" applyFill="1" applyBorder="1" applyAlignment="1" applyProtection="1">
      <alignment horizontal="center" vertical="center" wrapText="1"/>
      <protection locked="0"/>
    </xf>
    <xf numFmtId="3" fontId="18" fillId="7" borderId="29" xfId="0" applyNumberFormat="1" applyFont="1" applyFill="1" applyBorder="1" applyAlignment="1">
      <alignment vertical="center" wrapText="1"/>
    </xf>
    <xf numFmtId="0" fontId="18" fillId="7" borderId="29" xfId="0" applyFont="1" applyFill="1" applyBorder="1" applyAlignment="1">
      <alignment horizontal="left" vertical="center" wrapText="1" indent="1"/>
    </xf>
    <xf numFmtId="0" fontId="4" fillId="7" borderId="25" xfId="0" applyFont="1" applyFill="1" applyBorder="1" applyAlignment="1" applyProtection="1">
      <alignment horizontal="center" vertical="center" wrapText="1"/>
      <protection locked="0"/>
    </xf>
    <xf numFmtId="0" fontId="18" fillId="7" borderId="31" xfId="0" applyFont="1" applyFill="1" applyBorder="1" applyAlignment="1">
      <alignment horizontal="left" vertical="center" wrapText="1" indent="1"/>
    </xf>
    <xf numFmtId="3" fontId="18" fillId="9" borderId="49" xfId="0" applyNumberFormat="1" applyFont="1" applyFill="1" applyBorder="1" applyAlignment="1">
      <alignment horizontal="right" vertical="center" wrapText="1"/>
    </xf>
    <xf numFmtId="0" fontId="4" fillId="0" borderId="0" xfId="0" applyFont="1" applyAlignment="1">
      <alignment horizontal="left" indent="1"/>
    </xf>
    <xf numFmtId="0" fontId="13" fillId="11" borderId="0" xfId="0" applyFont="1" applyFill="1"/>
    <xf numFmtId="0" fontId="13" fillId="11" borderId="27" xfId="0" applyFont="1" applyFill="1" applyBorder="1"/>
    <xf numFmtId="0" fontId="18" fillId="9" borderId="24" xfId="0" applyFont="1" applyFill="1" applyBorder="1" applyAlignment="1">
      <alignment vertical="center"/>
    </xf>
    <xf numFmtId="0" fontId="4" fillId="0" borderId="18" xfId="0" applyFont="1" applyBorder="1" applyAlignment="1">
      <alignment horizontal="left" indent="1"/>
    </xf>
    <xf numFmtId="3" fontId="1" fillId="2" borderId="19" xfId="0" applyNumberFormat="1" applyFont="1" applyFill="1" applyBorder="1" applyAlignment="1">
      <alignment vertical="center" wrapText="1"/>
    </xf>
    <xf numFmtId="10" fontId="4" fillId="0" borderId="49" xfId="0" applyNumberFormat="1" applyFont="1" applyBorder="1" applyAlignment="1" applyProtection="1">
      <alignment horizontal="right" vertical="center" wrapText="1"/>
      <protection locked="0"/>
    </xf>
    <xf numFmtId="3" fontId="46" fillId="0" borderId="49" xfId="0" applyNumberFormat="1" applyFont="1" applyBorder="1" applyAlignment="1" applyProtection="1">
      <alignment vertical="center" wrapText="1"/>
      <protection locked="0"/>
    </xf>
    <xf numFmtId="0" fontId="18" fillId="0" borderId="57" xfId="0" applyFont="1" applyBorder="1" applyAlignment="1">
      <alignment horizontal="center" vertical="center"/>
    </xf>
    <xf numFmtId="0" fontId="16" fillId="0" borderId="42" xfId="0" applyFont="1" applyBorder="1" applyAlignment="1">
      <alignment horizontal="center" vertical="center"/>
    </xf>
    <xf numFmtId="0" fontId="4" fillId="16" borderId="33" xfId="0" applyFont="1" applyFill="1" applyBorder="1" applyAlignment="1">
      <alignment vertical="center" wrapText="1"/>
    </xf>
    <xf numFmtId="0" fontId="4" fillId="16" borderId="34" xfId="0" applyFont="1" applyFill="1" applyBorder="1" applyAlignment="1">
      <alignment vertical="center" wrapText="1"/>
    </xf>
    <xf numFmtId="0" fontId="4" fillId="16" borderId="38" xfId="0" applyFont="1" applyFill="1" applyBorder="1" applyAlignment="1">
      <alignment vertical="center" wrapText="1"/>
    </xf>
    <xf numFmtId="0" fontId="4" fillId="16" borderId="0" xfId="0" applyFont="1" applyFill="1" applyAlignment="1">
      <alignment vertical="center" wrapText="1"/>
    </xf>
    <xf numFmtId="0" fontId="16" fillId="0" borderId="0" xfId="0" applyFont="1" applyAlignment="1">
      <alignment horizontal="center" vertical="center"/>
    </xf>
    <xf numFmtId="0" fontId="18" fillId="0" borderId="42" xfId="0" applyFont="1" applyBorder="1" applyAlignment="1">
      <alignment vertical="center"/>
    </xf>
    <xf numFmtId="0" fontId="4" fillId="0" borderId="42" xfId="0" applyFont="1" applyBorder="1" applyAlignment="1">
      <alignment vertical="center"/>
    </xf>
    <xf numFmtId="0" fontId="4" fillId="0" borderId="0" xfId="0" applyFont="1" applyAlignment="1">
      <alignment horizontal="left" vertical="center"/>
    </xf>
    <xf numFmtId="0" fontId="16" fillId="0" borderId="57"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vertical="center"/>
    </xf>
    <xf numFmtId="0" fontId="4" fillId="0" borderId="85" xfId="0" applyFont="1" applyBorder="1" applyAlignment="1">
      <alignment horizontal="right"/>
    </xf>
    <xf numFmtId="0" fontId="4" fillId="0" borderId="22" xfId="0" applyFont="1" applyBorder="1" applyAlignment="1">
      <alignment horizontal="center"/>
    </xf>
    <xf numFmtId="0" fontId="18" fillId="0" borderId="22" xfId="0" applyFont="1" applyBorder="1" applyAlignment="1">
      <alignment horizontal="center"/>
    </xf>
    <xf numFmtId="0" fontId="3" fillId="0" borderId="22" xfId="0" applyFont="1" applyBorder="1" applyAlignment="1">
      <alignment horizontal="center"/>
    </xf>
    <xf numFmtId="0" fontId="4" fillId="0" borderId="48" xfId="0" applyFont="1" applyBorder="1" applyAlignment="1">
      <alignment vertical="center"/>
    </xf>
    <xf numFmtId="0" fontId="4" fillId="0" borderId="48" xfId="0" applyFont="1" applyBorder="1" applyAlignment="1">
      <alignment horizontal="center" vertical="center"/>
    </xf>
    <xf numFmtId="3" fontId="1" fillId="0" borderId="49" xfId="0" applyNumberFormat="1" applyFont="1" applyBorder="1" applyAlignment="1" applyProtection="1">
      <alignment horizontal="right" vertical="center"/>
      <protection locked="0"/>
    </xf>
    <xf numFmtId="0" fontId="16" fillId="0" borderId="0" xfId="0" applyFont="1" applyAlignment="1">
      <alignment vertical="center"/>
    </xf>
    <xf numFmtId="0" fontId="24" fillId="0" borderId="0" xfId="0" applyFont="1" applyAlignment="1">
      <alignment horizontal="left" vertical="center"/>
    </xf>
    <xf numFmtId="0" fontId="40" fillId="0" borderId="0" xfId="0" applyFont="1" applyAlignment="1">
      <alignment horizontal="left" vertical="center"/>
    </xf>
    <xf numFmtId="0" fontId="75" fillId="0" borderId="0" xfId="0" applyFont="1" applyAlignment="1">
      <alignment vertical="center"/>
    </xf>
    <xf numFmtId="0" fontId="26" fillId="0" borderId="0" xfId="0" applyFont="1" applyAlignment="1">
      <alignment vertical="center"/>
    </xf>
    <xf numFmtId="0" fontId="0" fillId="0" borderId="23" xfId="0" applyBorder="1"/>
    <xf numFmtId="0" fontId="0" fillId="0" borderId="24" xfId="0" applyBorder="1"/>
    <xf numFmtId="0" fontId="47" fillId="0" borderId="19" xfId="0" applyFont="1" applyBorder="1" applyAlignment="1">
      <alignment vertical="center"/>
    </xf>
    <xf numFmtId="3" fontId="47" fillId="0" borderId="31" xfId="0" applyNumberFormat="1" applyFont="1" applyBorder="1" applyAlignment="1" applyProtection="1">
      <alignment vertical="center"/>
      <protection locked="0"/>
    </xf>
    <xf numFmtId="0" fontId="47" fillId="0" borderId="21" xfId="0" applyFont="1" applyBorder="1" applyAlignment="1">
      <alignment vertical="center"/>
    </xf>
    <xf numFmtId="3" fontId="47" fillId="0" borderId="79" xfId="0" applyNumberFormat="1" applyFont="1" applyBorder="1" applyAlignment="1" applyProtection="1">
      <alignment vertical="center"/>
      <protection locked="0"/>
    </xf>
    <xf numFmtId="3" fontId="47" fillId="0" borderId="81" xfId="0" applyNumberFormat="1" applyFont="1" applyBorder="1" applyAlignment="1" applyProtection="1">
      <alignment vertical="center"/>
      <protection locked="0"/>
    </xf>
    <xf numFmtId="3" fontId="3" fillId="0" borderId="80" xfId="0" applyNumberFormat="1" applyFont="1" applyBorder="1" applyAlignment="1">
      <alignment vertical="center"/>
    </xf>
    <xf numFmtId="3" fontId="3" fillId="0" borderId="80" xfId="0" applyNumberFormat="1" applyFont="1" applyBorder="1" applyAlignment="1" applyProtection="1">
      <alignment vertical="center"/>
      <protection locked="0"/>
    </xf>
    <xf numFmtId="3" fontId="47" fillId="0" borderId="54" xfId="0" applyNumberFormat="1" applyFont="1" applyBorder="1" applyAlignment="1" applyProtection="1">
      <alignment vertical="center"/>
      <protection locked="0"/>
    </xf>
    <xf numFmtId="0" fontId="23" fillId="0" borderId="17" xfId="0" applyFont="1" applyBorder="1" applyAlignment="1">
      <alignment horizontal="left" vertical="center" indent="1"/>
    </xf>
    <xf numFmtId="0" fontId="47" fillId="0" borderId="18" xfId="0" applyFont="1" applyBorder="1" applyAlignment="1">
      <alignment horizontal="left" vertical="center" indent="1"/>
    </xf>
    <xf numFmtId="0" fontId="23" fillId="0" borderId="20" xfId="0" applyFont="1" applyBorder="1" applyAlignment="1">
      <alignment horizontal="left" vertical="center" indent="1"/>
    </xf>
    <xf numFmtId="0" fontId="47" fillId="0" borderId="0" xfId="0" applyFont="1" applyAlignment="1">
      <alignment horizontal="left" vertical="center" indent="1"/>
    </xf>
    <xf numFmtId="0" fontId="0" fillId="0" borderId="20" xfId="0" applyBorder="1" applyAlignment="1">
      <alignment horizontal="left" vertical="center" indent="1"/>
    </xf>
    <xf numFmtId="0" fontId="60" fillId="0" borderId="0" xfId="0" applyFont="1" applyAlignment="1">
      <alignment horizontal="left" vertical="center" indent="1"/>
    </xf>
    <xf numFmtId="0" fontId="23" fillId="0" borderId="18" xfId="0" applyFont="1" applyBorder="1" applyAlignment="1">
      <alignment vertical="center"/>
    </xf>
    <xf numFmtId="0" fontId="23" fillId="0" borderId="19" xfId="0" applyFont="1" applyBorder="1" applyAlignment="1">
      <alignment vertical="center"/>
    </xf>
    <xf numFmtId="0" fontId="23" fillId="0" borderId="0" xfId="0" applyFont="1" applyAlignment="1">
      <alignment vertical="center"/>
    </xf>
    <xf numFmtId="0" fontId="23" fillId="0" borderId="21" xfId="0" applyFont="1" applyBorder="1" applyAlignment="1">
      <alignment vertical="center"/>
    </xf>
    <xf numFmtId="165" fontId="23" fillId="0" borderId="94" xfId="0" applyNumberFormat="1" applyFont="1" applyBorder="1" applyAlignment="1" applyProtection="1">
      <alignment vertical="center"/>
      <protection locked="0"/>
    </xf>
    <xf numFmtId="165" fontId="23" fillId="0" borderId="95" xfId="0" applyNumberFormat="1" applyFont="1" applyBorder="1" applyAlignment="1" applyProtection="1">
      <alignment vertical="center"/>
      <protection locked="0"/>
    </xf>
    <xf numFmtId="3" fontId="4" fillId="0" borderId="55"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8" xfId="0" applyNumberFormat="1" applyFont="1" applyBorder="1" applyAlignment="1" applyProtection="1">
      <alignment horizontal="center" vertical="center"/>
      <protection locked="0"/>
    </xf>
    <xf numFmtId="0" fontId="3" fillId="11" borderId="49" xfId="0" applyFont="1" applyFill="1" applyBorder="1" applyAlignment="1">
      <alignment horizontal="center" vertical="center"/>
    </xf>
    <xf numFmtId="0" fontId="16" fillId="0" borderId="60" xfId="0" applyFont="1" applyBorder="1" applyAlignment="1">
      <alignment horizontal="center" vertical="center"/>
    </xf>
    <xf numFmtId="0" fontId="1" fillId="0" borderId="40" xfId="0" applyFont="1" applyBorder="1" applyAlignment="1">
      <alignment vertical="center"/>
    </xf>
    <xf numFmtId="0" fontId="1" fillId="0" borderId="41" xfId="0" applyFont="1" applyBorder="1" applyAlignment="1">
      <alignment vertical="center"/>
    </xf>
    <xf numFmtId="0" fontId="16" fillId="0" borderId="22" xfId="0" applyFont="1" applyBorder="1" applyAlignment="1">
      <alignment horizontal="center" vertical="center"/>
    </xf>
    <xf numFmtId="0" fontId="16" fillId="0" borderId="99" xfId="0" applyFont="1" applyBorder="1" applyAlignment="1">
      <alignment horizontal="center" vertical="center"/>
    </xf>
    <xf numFmtId="0" fontId="1" fillId="0" borderId="0" xfId="0" applyFont="1" applyAlignment="1">
      <alignment horizontal="left" vertical="center"/>
    </xf>
    <xf numFmtId="0" fontId="16" fillId="0" borderId="0" xfId="0" applyFont="1" applyAlignment="1">
      <alignment horizontal="left" vertical="center"/>
    </xf>
    <xf numFmtId="0" fontId="16" fillId="0" borderId="60" xfId="0" applyFont="1" applyBorder="1" applyAlignment="1">
      <alignment horizontal="left" vertical="center"/>
    </xf>
    <xf numFmtId="0" fontId="1" fillId="0" borderId="0" xfId="0" applyFont="1" applyAlignment="1">
      <alignment horizontal="left"/>
    </xf>
    <xf numFmtId="0" fontId="81" fillId="0" borderId="38" xfId="0" applyFont="1" applyBorder="1" applyAlignment="1">
      <alignment horizontal="left" vertical="center" indent="1"/>
    </xf>
    <xf numFmtId="0" fontId="53" fillId="0" borderId="60" xfId="0" applyFont="1" applyBorder="1" applyAlignment="1">
      <alignment horizontal="left" vertical="top" indent="1"/>
    </xf>
    <xf numFmtId="0" fontId="81" fillId="0" borderId="33" xfId="0" applyFont="1" applyBorder="1" applyAlignment="1">
      <alignment horizontal="left" vertical="center" indent="1"/>
    </xf>
    <xf numFmtId="0" fontId="18" fillId="0" borderId="49" xfId="0" applyFont="1" applyBorder="1" applyAlignment="1">
      <alignment horizontal="center" vertical="center" wrapText="1"/>
    </xf>
    <xf numFmtId="0" fontId="4" fillId="11" borderId="37" xfId="0" applyFont="1" applyFill="1" applyBorder="1" applyAlignment="1">
      <alignment horizontal="center" vertical="center" wrapText="1"/>
    </xf>
    <xf numFmtId="0" fontId="4" fillId="0" borderId="49" xfId="0" applyFont="1" applyBorder="1" applyAlignment="1">
      <alignment horizontal="center" vertical="center" wrapText="1"/>
    </xf>
    <xf numFmtId="0" fontId="18" fillId="2" borderId="49" xfId="0" applyFont="1" applyFill="1" applyBorder="1" applyAlignment="1">
      <alignment horizontal="center" vertical="center" wrapText="1"/>
    </xf>
    <xf numFmtId="0" fontId="18" fillId="9" borderId="49" xfId="0" applyFont="1" applyFill="1" applyBorder="1" applyAlignment="1">
      <alignment horizontal="center" vertical="center" wrapText="1"/>
    </xf>
    <xf numFmtId="10" fontId="4" fillId="0" borderId="49" xfId="0" applyNumberFormat="1" applyFont="1" applyBorder="1" applyAlignment="1">
      <alignment horizontal="right" vertical="center" wrapText="1"/>
    </xf>
    <xf numFmtId="10" fontId="18" fillId="7" borderId="49" xfId="0" applyNumberFormat="1" applyFont="1" applyFill="1" applyBorder="1" applyAlignment="1">
      <alignment horizontal="right" vertical="center" wrapText="1"/>
    </xf>
    <xf numFmtId="10" fontId="18" fillId="6" borderId="49" xfId="0" applyNumberFormat="1" applyFont="1" applyFill="1" applyBorder="1"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5" fillId="0" borderId="24" xfId="0" applyFont="1" applyBorder="1" applyAlignment="1">
      <alignment horizontal="center" vertical="center"/>
    </xf>
    <xf numFmtId="0" fontId="0" fillId="0" borderId="25" xfId="0" applyBorder="1"/>
    <xf numFmtId="0" fontId="12" fillId="0" borderId="0" xfId="0" applyFont="1"/>
    <xf numFmtId="0" fontId="9" fillId="0" borderId="0" xfId="0" applyFont="1" applyAlignment="1">
      <alignment horizontal="center"/>
    </xf>
    <xf numFmtId="0" fontId="4" fillId="0" borderId="23" xfId="0" applyFont="1" applyBorder="1" applyAlignment="1">
      <alignment horizontal="left" vertical="center" indent="1"/>
    </xf>
    <xf numFmtId="0" fontId="0" fillId="0" borderId="24" xfId="0" applyBorder="1" applyAlignment="1">
      <alignment vertical="center"/>
    </xf>
    <xf numFmtId="0" fontId="0" fillId="0" borderId="21" xfId="0" applyBorder="1" applyAlignment="1">
      <alignment vertical="center"/>
    </xf>
    <xf numFmtId="0" fontId="14" fillId="0" borderId="20" xfId="0" applyFont="1" applyBorder="1"/>
    <xf numFmtId="0" fontId="0" fillId="0" borderId="30" xfId="0" applyBorder="1"/>
    <xf numFmtId="0" fontId="4" fillId="0" borderId="26" xfId="0" applyFont="1" applyBorder="1" applyAlignment="1">
      <alignment horizontal="left" vertical="center" indent="1"/>
    </xf>
    <xf numFmtId="0" fontId="0" fillId="0" borderId="0" xfId="0" applyProtection="1">
      <protection locked="0"/>
    </xf>
    <xf numFmtId="0" fontId="64" fillId="0" borderId="0" xfId="0" applyFont="1"/>
    <xf numFmtId="0" fontId="18" fillId="0" borderId="100" xfId="0" applyFont="1" applyBorder="1" applyAlignment="1">
      <alignment horizontal="center" vertical="center"/>
    </xf>
    <xf numFmtId="0" fontId="25" fillId="0" borderId="100" xfId="0" applyFont="1" applyBorder="1" applyAlignment="1">
      <alignment horizontal="center" vertical="center"/>
    </xf>
    <xf numFmtId="0" fontId="4" fillId="0" borderId="100" xfId="0" applyFont="1" applyBorder="1" applyAlignment="1">
      <alignment horizontal="center" vertical="center"/>
    </xf>
    <xf numFmtId="0" fontId="8" fillId="0" borderId="0" xfId="0" applyFont="1" applyAlignment="1">
      <alignment horizontal="center"/>
    </xf>
    <xf numFmtId="0" fontId="4" fillId="0" borderId="100" xfId="0" applyFont="1" applyBorder="1" applyAlignment="1">
      <alignment horizontal="right" vertical="center"/>
    </xf>
    <xf numFmtId="0" fontId="4" fillId="0" borderId="53" xfId="0" applyFont="1" applyBorder="1" applyAlignment="1">
      <alignment horizontal="center" vertical="center"/>
    </xf>
    <xf numFmtId="0" fontId="4" fillId="0" borderId="0" xfId="0" applyFont="1" applyAlignment="1">
      <alignment horizontal="right"/>
    </xf>
    <xf numFmtId="0" fontId="8" fillId="0" borderId="0" xfId="0" applyFont="1" applyAlignment="1">
      <alignment horizontal="center" vertical="center"/>
    </xf>
    <xf numFmtId="0" fontId="16" fillId="0" borderId="115" xfId="0" applyFont="1" applyBorder="1" applyAlignment="1">
      <alignment horizontal="center" vertical="center"/>
    </xf>
    <xf numFmtId="0" fontId="1" fillId="0" borderId="115" xfId="0" applyFont="1" applyBorder="1" applyAlignment="1">
      <alignment vertical="center"/>
    </xf>
    <xf numFmtId="0" fontId="16" fillId="0" borderId="116" xfId="0" applyFont="1" applyBorder="1" applyAlignment="1">
      <alignment horizontal="center" vertical="center"/>
    </xf>
    <xf numFmtId="0" fontId="1" fillId="0" borderId="115" xfId="0" applyFont="1" applyBorder="1" applyAlignment="1">
      <alignment horizontal="right" vertical="center"/>
    </xf>
    <xf numFmtId="0" fontId="18" fillId="11" borderId="111" xfId="0" applyFont="1" applyFill="1" applyBorder="1" applyAlignment="1">
      <alignment horizontal="center" vertical="center"/>
    </xf>
    <xf numFmtId="0" fontId="18" fillId="11" borderId="123" xfId="0" applyFont="1" applyFill="1" applyBorder="1" applyAlignment="1">
      <alignment horizontal="center" vertical="center"/>
    </xf>
    <xf numFmtId="1" fontId="24" fillId="0" borderId="124" xfId="0" applyNumberFormat="1" applyFont="1" applyBorder="1" applyAlignment="1">
      <alignment horizontal="center" vertical="center"/>
    </xf>
    <xf numFmtId="0" fontId="24" fillId="0" borderId="125" xfId="0" applyFont="1" applyBorder="1" applyAlignment="1">
      <alignment horizontal="left" vertical="center"/>
    </xf>
    <xf numFmtId="0" fontId="1" fillId="0" borderId="118" xfId="0" applyFont="1" applyBorder="1" applyAlignment="1">
      <alignment vertical="center"/>
    </xf>
    <xf numFmtId="0" fontId="1" fillId="0" borderId="126" xfId="0" applyFont="1" applyBorder="1" applyAlignment="1">
      <alignment vertical="center"/>
    </xf>
    <xf numFmtId="3" fontId="1" fillId="0" borderId="124" xfId="0" applyNumberFormat="1" applyFont="1" applyBorder="1" applyAlignment="1" applyProtection="1">
      <alignment vertical="center"/>
      <protection locked="0"/>
    </xf>
    <xf numFmtId="3" fontId="1" fillId="0" borderId="110" xfId="0" applyNumberFormat="1" applyFont="1" applyBorder="1" applyAlignment="1" applyProtection="1">
      <alignment vertical="center"/>
      <protection locked="0"/>
    </xf>
    <xf numFmtId="3" fontId="1" fillId="0" borderId="110" xfId="0" applyNumberFormat="1" applyFont="1" applyBorder="1" applyAlignment="1">
      <alignment vertical="center"/>
    </xf>
    <xf numFmtId="10" fontId="1" fillId="0" borderId="110" xfId="0" applyNumberFormat="1" applyFont="1" applyBorder="1" applyAlignment="1">
      <alignment horizontal="right" vertical="center"/>
    </xf>
    <xf numFmtId="1" fontId="24" fillId="0" borderId="110" xfId="0" applyNumberFormat="1" applyFont="1" applyBorder="1" applyAlignment="1">
      <alignment horizontal="center" vertical="center"/>
    </xf>
    <xf numFmtId="0" fontId="24" fillId="0" borderId="108" xfId="0" applyFont="1" applyBorder="1" applyAlignment="1">
      <alignment horizontal="left" vertical="center"/>
    </xf>
    <xf numFmtId="0" fontId="1" fillId="0" borderId="109" xfId="0" applyFont="1" applyBorder="1" applyAlignment="1">
      <alignment vertical="center"/>
    </xf>
    <xf numFmtId="3" fontId="1" fillId="0" borderId="127" xfId="0" applyNumberFormat="1" applyFont="1" applyBorder="1" applyAlignment="1" applyProtection="1">
      <alignment vertical="center"/>
      <protection locked="0"/>
    </xf>
    <xf numFmtId="3" fontId="1" fillId="0" borderId="127" xfId="0" applyNumberFormat="1" applyFont="1" applyBorder="1" applyAlignment="1">
      <alignment vertical="center"/>
    </xf>
    <xf numFmtId="10" fontId="1" fillId="0" borderId="127" xfId="0" applyNumberFormat="1" applyFont="1" applyBorder="1" applyAlignment="1">
      <alignment horizontal="right" vertical="center"/>
    </xf>
    <xf numFmtId="1" fontId="40" fillId="0" borderId="110" xfId="0" applyNumberFormat="1" applyFont="1" applyBorder="1" applyAlignment="1">
      <alignment horizontal="center" vertical="center"/>
    </xf>
    <xf numFmtId="0" fontId="40" fillId="0" borderId="108" xfId="0" applyFont="1" applyBorder="1" applyAlignment="1">
      <alignment horizontal="left" vertical="center"/>
    </xf>
    <xf numFmtId="3" fontId="16" fillId="0" borderId="128" xfId="0" applyNumberFormat="1" applyFont="1" applyBorder="1" applyAlignment="1">
      <alignment vertical="center"/>
    </xf>
    <xf numFmtId="3" fontId="1" fillId="0" borderId="128" xfId="0" applyNumberFormat="1" applyFont="1" applyBorder="1" applyAlignment="1" applyProtection="1">
      <alignment vertical="center"/>
      <protection locked="0"/>
    </xf>
    <xf numFmtId="3" fontId="1" fillId="0" borderId="128" xfId="0" applyNumberFormat="1" applyFont="1" applyBorder="1" applyAlignment="1">
      <alignment vertical="center"/>
    </xf>
    <xf numFmtId="1" fontId="24" fillId="0" borderId="107" xfId="0" applyNumberFormat="1" applyFont="1" applyBorder="1" applyAlignment="1">
      <alignment horizontal="center" vertical="center"/>
    </xf>
    <xf numFmtId="0" fontId="24" fillId="0" borderId="129" xfId="0" applyFont="1" applyBorder="1" applyAlignment="1">
      <alignment horizontal="left" vertical="center"/>
    </xf>
    <xf numFmtId="0" fontId="1" fillId="0" borderId="122" xfId="0" applyFont="1" applyBorder="1" applyAlignment="1">
      <alignment vertical="center"/>
    </xf>
    <xf numFmtId="0" fontId="1" fillId="0" borderId="130" xfId="0" applyFont="1" applyBorder="1" applyAlignment="1">
      <alignment vertical="center"/>
    </xf>
    <xf numFmtId="3" fontId="1" fillId="0" borderId="131" xfId="0" applyNumberFormat="1" applyFont="1" applyBorder="1" applyAlignment="1" applyProtection="1">
      <alignment vertical="center"/>
      <protection locked="0"/>
    </xf>
    <xf numFmtId="3" fontId="1" fillId="0" borderId="132" xfId="0" applyNumberFormat="1" applyFont="1" applyBorder="1" applyAlignment="1" applyProtection="1">
      <alignment vertical="center"/>
      <protection locked="0"/>
    </xf>
    <xf numFmtId="3" fontId="1" fillId="0" borderId="132" xfId="0" applyNumberFormat="1" applyFont="1" applyBorder="1" applyAlignment="1">
      <alignment vertical="center"/>
    </xf>
    <xf numFmtId="10" fontId="1" fillId="0" borderId="132" xfId="0" applyNumberFormat="1" applyFont="1" applyBorder="1" applyAlignment="1">
      <alignment horizontal="right" vertical="center"/>
    </xf>
    <xf numFmtId="1" fontId="24" fillId="0" borderId="0" xfId="0" applyNumberFormat="1" applyFont="1" applyAlignment="1">
      <alignment horizontal="center" vertical="center"/>
    </xf>
    <xf numFmtId="3" fontId="1" fillId="0" borderId="0" xfId="0" applyNumberFormat="1" applyFont="1" applyAlignment="1">
      <alignment vertical="center"/>
    </xf>
    <xf numFmtId="10" fontId="1" fillId="0" borderId="0" xfId="0" applyNumberFormat="1" applyFont="1" applyAlignment="1">
      <alignment horizontal="right" vertical="center"/>
    </xf>
    <xf numFmtId="3" fontId="1" fillId="0" borderId="135" xfId="0" applyNumberFormat="1" applyFont="1" applyBorder="1" applyAlignment="1" applyProtection="1">
      <alignment vertical="center"/>
      <protection locked="0"/>
    </xf>
    <xf numFmtId="3" fontId="1" fillId="0" borderId="135" xfId="0" applyNumberFormat="1" applyFont="1" applyBorder="1" applyAlignment="1">
      <alignment vertical="center"/>
    </xf>
    <xf numFmtId="0" fontId="30" fillId="0" borderId="110" xfId="0" applyFont="1" applyBorder="1" applyProtection="1">
      <protection locked="0"/>
    </xf>
    <xf numFmtId="0" fontId="30" fillId="0" borderId="136" xfId="0" applyFont="1" applyBorder="1" applyProtection="1">
      <protection locked="0"/>
    </xf>
    <xf numFmtId="0" fontId="30" fillId="0" borderId="109" xfId="0" applyFont="1" applyBorder="1"/>
    <xf numFmtId="0" fontId="1" fillId="0" borderId="137" xfId="0" applyFont="1" applyBorder="1" applyAlignment="1">
      <alignment vertical="center"/>
    </xf>
    <xf numFmtId="0" fontId="30" fillId="0" borderId="137" xfId="0" applyFont="1" applyBorder="1"/>
    <xf numFmtId="0" fontId="30" fillId="0" borderId="138" xfId="0" applyFont="1" applyBorder="1"/>
    <xf numFmtId="0" fontId="24" fillId="0" borderId="107" xfId="0" applyFont="1" applyBorder="1" applyProtection="1">
      <protection locked="0"/>
    </xf>
    <xf numFmtId="0" fontId="24" fillId="0" borderId="107" xfId="0" applyFont="1" applyBorder="1"/>
    <xf numFmtId="1" fontId="40" fillId="0" borderId="0" xfId="0" applyNumberFormat="1" applyFont="1" applyAlignment="1">
      <alignment horizontal="center" vertical="center"/>
    </xf>
    <xf numFmtId="3" fontId="16" fillId="0" borderId="0" xfId="0" applyNumberFormat="1" applyFont="1" applyAlignment="1">
      <alignment vertical="center"/>
    </xf>
    <xf numFmtId="10" fontId="16" fillId="0" borderId="0" xfId="0" applyNumberFormat="1" applyFont="1" applyAlignment="1">
      <alignment horizontal="right" vertical="center"/>
    </xf>
    <xf numFmtId="0" fontId="76" fillId="0" borderId="108" xfId="0" applyFont="1" applyBorder="1" applyAlignment="1">
      <alignment horizontal="left" vertical="center"/>
    </xf>
    <xf numFmtId="0" fontId="40" fillId="0" borderId="108" xfId="0" applyFont="1" applyBorder="1" applyAlignment="1">
      <alignment vertical="center"/>
    </xf>
    <xf numFmtId="0" fontId="24" fillId="0" borderId="0" xfId="0" applyFont="1" applyAlignment="1">
      <alignment horizontal="left" vertical="center" wrapText="1"/>
    </xf>
    <xf numFmtId="0" fontId="24" fillId="0" borderId="109" xfId="0" applyFont="1" applyBorder="1" applyAlignment="1">
      <alignment horizontal="left" vertical="center" wrapText="1"/>
    </xf>
    <xf numFmtId="3" fontId="1" fillId="0" borderId="139" xfId="0" applyNumberFormat="1" applyFont="1" applyBorder="1" applyAlignment="1" applyProtection="1">
      <alignment vertical="center"/>
      <protection locked="0"/>
    </xf>
    <xf numFmtId="0" fontId="24" fillId="0" borderId="137" xfId="0" applyFont="1" applyBorder="1" applyProtection="1">
      <protection locked="0"/>
    </xf>
    <xf numFmtId="0" fontId="40" fillId="0" borderId="108" xfId="0" applyFont="1" applyBorder="1" applyAlignment="1">
      <alignment horizontal="left" vertical="center" indent="4"/>
    </xf>
    <xf numFmtId="3" fontId="1" fillId="0" borderId="139" xfId="0" applyNumberFormat="1" applyFont="1" applyBorder="1" applyAlignment="1">
      <alignment vertical="center"/>
    </xf>
    <xf numFmtId="0" fontId="0" fillId="0" borderId="111" xfId="0" applyBorder="1"/>
    <xf numFmtId="0" fontId="0" fillId="0" borderId="114" xfId="0" applyBorder="1"/>
    <xf numFmtId="10" fontId="1" fillId="0" borderId="141" xfId="0" applyNumberFormat="1" applyFont="1" applyBorder="1" applyAlignment="1">
      <alignment horizontal="right" vertical="center"/>
    </xf>
    <xf numFmtId="3" fontId="64" fillId="7" borderId="142" xfId="0" applyNumberFormat="1" applyFont="1" applyFill="1" applyBorder="1" applyAlignment="1">
      <alignment vertical="center"/>
    </xf>
    <xf numFmtId="10" fontId="16" fillId="7" borderId="101" xfId="0" applyNumberFormat="1" applyFont="1" applyFill="1" applyBorder="1" applyAlignment="1">
      <alignment horizontal="right" vertical="center"/>
    </xf>
    <xf numFmtId="10" fontId="16" fillId="0" borderId="128" xfId="0" applyNumberFormat="1" applyFont="1" applyBorder="1" applyAlignment="1">
      <alignment horizontal="right" vertical="center"/>
    </xf>
    <xf numFmtId="0" fontId="24" fillId="0" borderId="20" xfId="2" applyFont="1" applyBorder="1" applyAlignment="1">
      <alignment horizontal="center" vertical="center"/>
    </xf>
    <xf numFmtId="0" fontId="26" fillId="3" borderId="0" xfId="2" applyFont="1" applyFill="1" applyAlignment="1">
      <alignment vertical="center"/>
    </xf>
    <xf numFmtId="49" fontId="26" fillId="3" borderId="0" xfId="2" applyNumberFormat="1" applyFont="1" applyFill="1" applyAlignment="1">
      <alignment horizontal="center" vertical="center"/>
    </xf>
    <xf numFmtId="0" fontId="26" fillId="3" borderId="20" xfId="2" applyFont="1" applyFill="1" applyBorder="1" applyAlignment="1">
      <alignment vertical="center"/>
    </xf>
    <xf numFmtId="0" fontId="26" fillId="0" borderId="21" xfId="2" applyFont="1" applyBorder="1" applyAlignment="1">
      <alignment vertical="center"/>
    </xf>
    <xf numFmtId="0" fontId="26" fillId="0" borderId="0" xfId="2" applyFont="1" applyAlignment="1">
      <alignment vertical="center"/>
    </xf>
    <xf numFmtId="0" fontId="26" fillId="0" borderId="20" xfId="2" applyFont="1" applyBorder="1" applyAlignment="1">
      <alignment vertical="center"/>
    </xf>
    <xf numFmtId="0" fontId="26" fillId="0" borderId="17" xfId="2" applyFont="1" applyBorder="1" applyAlignment="1">
      <alignment vertical="center"/>
    </xf>
    <xf numFmtId="0" fontId="26" fillId="3" borderId="18" xfId="2" applyFont="1" applyFill="1" applyBorder="1" applyAlignment="1">
      <alignment vertical="center"/>
    </xf>
    <xf numFmtId="0" fontId="26" fillId="3" borderId="17" xfId="2" applyFont="1" applyFill="1" applyBorder="1" applyAlignment="1">
      <alignment vertical="center"/>
    </xf>
    <xf numFmtId="0" fontId="26" fillId="0" borderId="19" xfId="2" applyFont="1" applyBorder="1" applyAlignment="1">
      <alignment vertical="center"/>
    </xf>
    <xf numFmtId="0" fontId="26" fillId="0" borderId="18" xfId="2" applyFont="1" applyBorder="1" applyAlignment="1">
      <alignment vertical="center"/>
    </xf>
    <xf numFmtId="0" fontId="25" fillId="0" borderId="0" xfId="2" applyFont="1" applyAlignment="1">
      <alignment vertical="center"/>
    </xf>
    <xf numFmtId="0" fontId="24" fillId="0" borderId="23" xfId="2" applyFont="1" applyBorder="1" applyAlignment="1">
      <alignment vertical="center"/>
    </xf>
    <xf numFmtId="0" fontId="26" fillId="0" borderId="24" xfId="2" applyFont="1" applyBorder="1" applyAlignment="1">
      <alignment vertical="center"/>
    </xf>
    <xf numFmtId="0" fontId="26" fillId="0" borderId="25" xfId="2" applyFont="1" applyBorder="1" applyAlignment="1">
      <alignment vertical="center"/>
    </xf>
    <xf numFmtId="0" fontId="21" fillId="0" borderId="26" xfId="2" applyFont="1" applyBorder="1" applyAlignment="1">
      <alignment vertical="center"/>
    </xf>
    <xf numFmtId="0" fontId="21" fillId="0" borderId="27" xfId="2" applyFont="1" applyBorder="1" applyAlignment="1">
      <alignment vertical="center"/>
    </xf>
    <xf numFmtId="0" fontId="21" fillId="0" borderId="0" xfId="2" applyFont="1" applyAlignment="1">
      <alignment vertical="center"/>
    </xf>
    <xf numFmtId="0" fontId="21" fillId="0" borderId="21" xfId="2" applyFont="1" applyBorder="1" applyAlignment="1">
      <alignment vertical="center"/>
    </xf>
    <xf numFmtId="0" fontId="21" fillId="0" borderId="20" xfId="2" applyFont="1" applyBorder="1" applyAlignment="1">
      <alignment vertical="center"/>
    </xf>
    <xf numFmtId="0" fontId="21" fillId="0" borderId="28" xfId="2" applyFont="1" applyBorder="1" applyAlignment="1">
      <alignment vertical="center"/>
    </xf>
    <xf numFmtId="0" fontId="21" fillId="0" borderId="18" xfId="2" applyFont="1" applyBorder="1" applyAlignment="1">
      <alignment vertical="center"/>
    </xf>
    <xf numFmtId="0" fontId="21" fillId="0" borderId="19" xfId="2" applyFont="1" applyBorder="1" applyAlignment="1">
      <alignment vertical="center"/>
    </xf>
    <xf numFmtId="0" fontId="21" fillId="0" borderId="17" xfId="2" applyFont="1" applyBorder="1" applyAlignment="1">
      <alignment vertical="center"/>
    </xf>
    <xf numFmtId="1" fontId="26" fillId="3" borderId="37" xfId="2" applyNumberFormat="1" applyFont="1" applyFill="1" applyBorder="1" applyAlignment="1" applyProtection="1">
      <alignment horizontal="center" vertical="center"/>
      <protection locked="0"/>
    </xf>
    <xf numFmtId="0" fontId="26" fillId="0" borderId="28" xfId="2" applyFont="1" applyBorder="1" applyAlignment="1">
      <alignment vertical="center"/>
    </xf>
    <xf numFmtId="0" fontId="26" fillId="0" borderId="27" xfId="2" applyFont="1" applyBorder="1" applyAlignment="1">
      <alignment vertical="center"/>
    </xf>
    <xf numFmtId="0" fontId="24" fillId="3" borderId="0" xfId="2" applyFont="1" applyFill="1" applyAlignment="1">
      <alignment vertical="center"/>
    </xf>
    <xf numFmtId="0" fontId="24" fillId="3" borderId="21" xfId="2" applyFont="1" applyFill="1" applyBorder="1" applyAlignment="1">
      <alignment vertical="center"/>
    </xf>
    <xf numFmtId="0" fontId="24" fillId="3" borderId="18" xfId="2" applyFont="1" applyFill="1" applyBorder="1" applyAlignment="1">
      <alignment vertical="center"/>
    </xf>
    <xf numFmtId="0" fontId="24" fillId="3" borderId="19" xfId="2" applyFont="1" applyFill="1" applyBorder="1" applyAlignment="1">
      <alignment vertical="center"/>
    </xf>
    <xf numFmtId="0" fontId="55" fillId="0" borderId="49" xfId="0" applyFont="1" applyBorder="1" applyAlignment="1" applyProtection="1">
      <alignment horizontal="left" vertical="center" indent="1"/>
      <protection locked="0"/>
    </xf>
    <xf numFmtId="0" fontId="55" fillId="0" borderId="49" xfId="0" applyFont="1" applyBorder="1" applyAlignment="1" applyProtection="1">
      <alignment vertical="center" wrapText="1"/>
      <protection locked="0"/>
    </xf>
    <xf numFmtId="0" fontId="55" fillId="0" borderId="49" xfId="0" applyFont="1" applyBorder="1" applyAlignment="1" applyProtection="1">
      <alignment horizontal="center" vertical="center" wrapText="1"/>
      <protection locked="0"/>
    </xf>
    <xf numFmtId="3" fontId="1" fillId="0" borderId="49" xfId="0" applyNumberFormat="1" applyFont="1" applyBorder="1" applyAlignment="1" applyProtection="1">
      <alignment horizontal="center" vertical="center" wrapText="1"/>
      <protection locked="0"/>
    </xf>
    <xf numFmtId="3" fontId="1" fillId="0" borderId="49" xfId="0" applyNumberFormat="1" applyFont="1" applyBorder="1" applyAlignment="1">
      <alignment horizontal="right" vertical="center" wrapText="1"/>
    </xf>
    <xf numFmtId="0" fontId="1" fillId="15" borderId="49" xfId="0" applyFont="1" applyFill="1" applyBorder="1" applyAlignment="1">
      <alignment horizontal="center" vertical="center" wrapText="1"/>
    </xf>
    <xf numFmtId="0" fontId="49" fillId="0" borderId="29" xfId="0" applyFont="1" applyBorder="1" applyAlignment="1">
      <alignment horizontal="center" vertical="center" wrapText="1"/>
    </xf>
    <xf numFmtId="0" fontId="45" fillId="0" borderId="29" xfId="0" applyFont="1" applyBorder="1" applyAlignment="1" applyProtection="1">
      <alignment horizontal="center" vertical="center" wrapText="1"/>
      <protection locked="0"/>
    </xf>
    <xf numFmtId="0" fontId="4" fillId="0" borderId="29" xfId="0" applyFont="1" applyBorder="1" applyAlignment="1" applyProtection="1">
      <alignment horizontal="center" vertical="center" wrapText="1"/>
      <protection locked="0"/>
    </xf>
    <xf numFmtId="0" fontId="18" fillId="0" borderId="31" xfId="0" applyFont="1" applyBorder="1" applyAlignment="1">
      <alignment horizontal="center" vertical="center"/>
    </xf>
    <xf numFmtId="0" fontId="4" fillId="0" borderId="30" xfId="0" applyFont="1" applyBorder="1" applyAlignment="1">
      <alignment horizontal="center"/>
    </xf>
    <xf numFmtId="0" fontId="18" fillId="0" borderId="30" xfId="0" applyFont="1" applyBorder="1" applyAlignment="1">
      <alignment horizontal="center" vertical="center"/>
    </xf>
    <xf numFmtId="0" fontId="4" fillId="7" borderId="29" xfId="0" applyFont="1" applyFill="1" applyBorder="1" applyAlignment="1">
      <alignment horizontal="center"/>
    </xf>
    <xf numFmtId="0" fontId="4" fillId="7" borderId="29" xfId="0" applyFont="1" applyFill="1" applyBorder="1" applyAlignment="1">
      <alignment horizontal="center" vertical="center" wrapText="1"/>
    </xf>
    <xf numFmtId="0" fontId="4" fillId="7" borderId="29" xfId="0" applyFont="1" applyFill="1" applyBorder="1" applyAlignment="1" applyProtection="1">
      <alignment horizontal="center" vertical="center" wrapText="1"/>
      <protection locked="0"/>
    </xf>
    <xf numFmtId="0" fontId="4" fillId="12" borderId="49" xfId="0" applyFont="1" applyFill="1" applyBorder="1" applyAlignment="1">
      <alignment vertical="center" wrapText="1"/>
    </xf>
    <xf numFmtId="0" fontId="4" fillId="0" borderId="48" xfId="0" applyFont="1" applyBorder="1" applyAlignment="1">
      <alignment horizontal="right" vertical="center"/>
    </xf>
    <xf numFmtId="0" fontId="11" fillId="0" borderId="22" xfId="0" applyFont="1" applyBorder="1" applyAlignment="1">
      <alignment vertical="center"/>
    </xf>
    <xf numFmtId="0" fontId="0" fillId="0" borderId="22" xfId="0" applyBorder="1" applyAlignment="1">
      <alignment vertical="center"/>
    </xf>
    <xf numFmtId="0" fontId="0" fillId="0" borderId="32" xfId="0" applyBorder="1"/>
    <xf numFmtId="0" fontId="15" fillId="0" borderId="0" xfId="0" applyFont="1" applyAlignment="1" applyProtection="1">
      <alignment horizontal="center" vertical="center"/>
      <protection locked="0"/>
    </xf>
    <xf numFmtId="0" fontId="84" fillId="0" borderId="0" xfId="0" applyFont="1"/>
    <xf numFmtId="0" fontId="86" fillId="0" borderId="0" xfId="0" applyFont="1"/>
    <xf numFmtId="0" fontId="12" fillId="0" borderId="0" xfId="0" applyFont="1" applyAlignment="1">
      <alignment horizontal="left" indent="1"/>
    </xf>
    <xf numFmtId="3" fontId="18" fillId="17" borderId="49" xfId="0" applyNumberFormat="1" applyFont="1" applyFill="1" applyBorder="1" applyAlignment="1">
      <alignment horizontal="right" vertical="center" wrapText="1"/>
    </xf>
    <xf numFmtId="3" fontId="4" fillId="18" borderId="49" xfId="0" applyNumberFormat="1" applyFont="1" applyFill="1" applyBorder="1" applyAlignment="1">
      <alignment horizontal="right" vertical="center" wrapText="1"/>
    </xf>
    <xf numFmtId="3" fontId="18" fillId="19" borderId="49" xfId="0" applyNumberFormat="1" applyFont="1" applyFill="1" applyBorder="1" applyAlignment="1">
      <alignment vertical="center" wrapText="1"/>
    </xf>
    <xf numFmtId="0" fontId="87" fillId="0" borderId="0" xfId="0" applyFont="1" applyAlignment="1">
      <alignment horizontal="left" vertical="center" indent="1"/>
    </xf>
    <xf numFmtId="0" fontId="87" fillId="0" borderId="0" xfId="0" applyFont="1" applyAlignment="1">
      <alignment horizontal="left" vertical="center"/>
    </xf>
    <xf numFmtId="3" fontId="18" fillId="19" borderId="49" xfId="0" applyNumberFormat="1" applyFont="1" applyFill="1" applyBorder="1" applyAlignment="1">
      <alignment horizontal="right" vertical="center" wrapText="1"/>
    </xf>
    <xf numFmtId="3" fontId="4" fillId="20" borderId="49" xfId="0" applyNumberFormat="1" applyFont="1" applyFill="1" applyBorder="1" applyAlignment="1">
      <alignment horizontal="right" vertical="center" wrapText="1"/>
    </xf>
    <xf numFmtId="0" fontId="55" fillId="0" borderId="0" xfId="0" applyFont="1" applyAlignment="1">
      <alignment vertical="center"/>
    </xf>
    <xf numFmtId="3" fontId="1" fillId="0" borderId="0" xfId="0" applyNumberFormat="1" applyFont="1" applyAlignment="1" applyProtection="1">
      <alignment horizontal="right" vertical="center" wrapText="1"/>
      <protection locked="0"/>
    </xf>
    <xf numFmtId="4" fontId="1" fillId="0" borderId="0" xfId="0" applyNumberFormat="1" applyFont="1" applyAlignment="1" applyProtection="1">
      <alignment horizontal="right" vertical="center" wrapText="1"/>
      <protection locked="0"/>
    </xf>
    <xf numFmtId="3" fontId="1" fillId="0" borderId="0" xfId="0" applyNumberFormat="1" applyFont="1" applyAlignment="1">
      <alignment horizontal="right" vertical="center" wrapText="1"/>
    </xf>
    <xf numFmtId="0" fontId="55" fillId="0" borderId="0" xfId="0" applyFont="1" applyAlignment="1">
      <alignment horizontal="left" indent="1"/>
    </xf>
    <xf numFmtId="0" fontId="87" fillId="0" borderId="0" xfId="0" applyFont="1"/>
    <xf numFmtId="0" fontId="4" fillId="0" borderId="49" xfId="0" applyFont="1" applyBorder="1" applyAlignment="1" applyProtection="1">
      <alignment horizontal="left" vertical="center" wrapText="1" indent="1"/>
      <protection locked="0"/>
    </xf>
    <xf numFmtId="0" fontId="84" fillId="0" borderId="0" xfId="0" applyFont="1" applyAlignment="1">
      <alignment horizontal="left" wrapText="1" indent="1"/>
    </xf>
    <xf numFmtId="0" fontId="84" fillId="0" borderId="0" xfId="0" applyFont="1" applyAlignment="1">
      <alignment horizontal="left" indent="1"/>
    </xf>
    <xf numFmtId="0" fontId="86" fillId="0" borderId="0" xfId="0" applyFont="1" applyAlignment="1">
      <alignment horizontal="left" indent="1"/>
    </xf>
    <xf numFmtId="0" fontId="16" fillId="0" borderId="0" xfId="0" applyFont="1" applyAlignment="1">
      <alignment horizontal="left" vertical="center" wrapText="1" indent="1"/>
    </xf>
    <xf numFmtId="3" fontId="16" fillId="0" borderId="0" xfId="0" applyNumberFormat="1" applyFont="1" applyAlignment="1" applyProtection="1">
      <alignment horizontal="right" vertical="center" wrapText="1"/>
      <protection locked="0"/>
    </xf>
    <xf numFmtId="0" fontId="71" fillId="0" borderId="0" xfId="0" applyFont="1" applyAlignment="1">
      <alignment horizontal="left" vertical="center" indent="1"/>
    </xf>
    <xf numFmtId="0" fontId="24" fillId="0" borderId="109" xfId="0" applyFont="1" applyBorder="1" applyAlignment="1">
      <alignment vertical="center"/>
    </xf>
    <xf numFmtId="3" fontId="24" fillId="0" borderId="110" xfId="0" applyNumberFormat="1" applyFont="1" applyBorder="1" applyAlignment="1" applyProtection="1">
      <alignment vertical="center"/>
      <protection locked="0"/>
    </xf>
    <xf numFmtId="3" fontId="24" fillId="0" borderId="110" xfId="0" applyNumberFormat="1" applyFont="1" applyBorder="1" applyAlignment="1">
      <alignment vertical="center"/>
    </xf>
    <xf numFmtId="10" fontId="24" fillId="0" borderId="127" xfId="0" applyNumberFormat="1" applyFont="1" applyBorder="1" applyAlignment="1">
      <alignment horizontal="right" vertical="center"/>
    </xf>
    <xf numFmtId="3" fontId="24" fillId="0" borderId="127" xfId="0" applyNumberFormat="1" applyFont="1" applyBorder="1" applyAlignment="1" applyProtection="1">
      <alignment vertical="center"/>
      <protection locked="0"/>
    </xf>
    <xf numFmtId="3" fontId="24" fillId="0" borderId="127" xfId="0" applyNumberFormat="1" applyFont="1" applyBorder="1" applyAlignment="1">
      <alignment vertical="center"/>
    </xf>
    <xf numFmtId="3" fontId="24" fillId="0" borderId="134" xfId="0" applyNumberFormat="1" applyFont="1" applyBorder="1" applyAlignment="1" applyProtection="1">
      <alignment vertical="center"/>
      <protection locked="0"/>
    </xf>
    <xf numFmtId="0" fontId="18" fillId="7" borderId="29" xfId="0" applyFont="1" applyFill="1" applyBorder="1" applyAlignment="1">
      <alignment horizontal="center" vertical="center" wrapText="1"/>
    </xf>
    <xf numFmtId="3" fontId="4" fillId="7" borderId="29" xfId="0" applyNumberFormat="1" applyFont="1" applyFill="1" applyBorder="1" applyAlignment="1" applyProtection="1">
      <alignment horizontal="center" vertical="center" wrapText="1"/>
      <protection locked="0"/>
    </xf>
    <xf numFmtId="3" fontId="18" fillId="7" borderId="29" xfId="0" applyNumberFormat="1" applyFont="1" applyFill="1" applyBorder="1" applyAlignment="1" applyProtection="1">
      <alignment horizontal="right" vertical="center" wrapText="1"/>
      <protection locked="0"/>
    </xf>
    <xf numFmtId="3" fontId="18" fillId="0" borderId="56" xfId="0" applyNumberFormat="1" applyFont="1" applyBorder="1" applyAlignment="1">
      <alignment horizontal="right" vertical="center" wrapText="1" indent="1"/>
    </xf>
    <xf numFmtId="0" fontId="5" fillId="0" borderId="0" xfId="0" applyFont="1" applyAlignment="1" applyProtection="1">
      <alignment horizontal="center"/>
      <protection locked="0"/>
    </xf>
    <xf numFmtId="0" fontId="0" fillId="0" borderId="47" xfId="0" applyBorder="1"/>
    <xf numFmtId="0" fontId="0" fillId="7" borderId="47" xfId="0" applyFill="1" applyBorder="1"/>
    <xf numFmtId="3" fontId="18" fillId="5" borderId="49" xfId="0" applyNumberFormat="1" applyFont="1" applyFill="1" applyBorder="1" applyAlignment="1" applyProtection="1">
      <alignment horizontal="right" vertical="center" wrapText="1"/>
      <protection locked="0"/>
    </xf>
    <xf numFmtId="0" fontId="18" fillId="0" borderId="42"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3" fontId="4" fillId="12" borderId="49" xfId="0" applyNumberFormat="1" applyFont="1" applyFill="1" applyBorder="1" applyAlignment="1">
      <alignment vertical="center" wrapText="1"/>
    </xf>
    <xf numFmtId="3" fontId="0" fillId="0" borderId="0" xfId="0" applyNumberFormat="1"/>
    <xf numFmtId="0" fontId="18" fillId="0" borderId="33" xfId="0" applyFont="1" applyBorder="1" applyAlignment="1">
      <alignment vertical="center" wrapText="1"/>
    </xf>
    <xf numFmtId="0" fontId="18" fillId="0" borderId="34" xfId="0" applyFont="1" applyBorder="1" applyAlignment="1">
      <alignment vertical="center" wrapText="1"/>
    </xf>
    <xf numFmtId="0" fontId="18" fillId="0" borderId="35" xfId="0" applyFont="1" applyBorder="1" applyAlignment="1">
      <alignment vertical="center" wrapText="1"/>
    </xf>
    <xf numFmtId="0" fontId="18" fillId="0" borderId="38" xfId="0" applyFont="1" applyBorder="1" applyAlignment="1">
      <alignment vertical="center" wrapText="1"/>
    </xf>
    <xf numFmtId="0" fontId="18" fillId="0" borderId="0" xfId="0" applyFont="1" applyAlignment="1">
      <alignment vertical="center" wrapText="1"/>
    </xf>
    <xf numFmtId="0" fontId="18" fillId="0" borderId="60" xfId="0" applyFont="1" applyBorder="1" applyAlignment="1">
      <alignment vertical="center" wrapText="1"/>
    </xf>
    <xf numFmtId="0" fontId="4" fillId="0" borderId="33" xfId="0" applyFont="1" applyBorder="1" applyAlignment="1">
      <alignment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38" xfId="0" applyFont="1" applyBorder="1" applyAlignment="1">
      <alignment vertical="center" wrapText="1"/>
    </xf>
    <xf numFmtId="0" fontId="4" fillId="0" borderId="0" xfId="0" applyFont="1" applyAlignment="1">
      <alignment vertical="center" wrapText="1"/>
    </xf>
    <xf numFmtId="0" fontId="4" fillId="0" borderId="60" xfId="0" applyFont="1" applyBorder="1" applyAlignment="1">
      <alignment vertical="center" wrapText="1"/>
    </xf>
    <xf numFmtId="3" fontId="23" fillId="0" borderId="49" xfId="0" applyNumberFormat="1" applyFont="1" applyBorder="1" applyAlignment="1">
      <alignment horizontal="right" vertical="center" wrapText="1"/>
    </xf>
    <xf numFmtId="0" fontId="47" fillId="0" borderId="0" xfId="0" applyFont="1" applyAlignment="1">
      <alignment horizontal="center"/>
    </xf>
    <xf numFmtId="0" fontId="4" fillId="7" borderId="29" xfId="0" applyFont="1" applyFill="1" applyBorder="1" applyAlignment="1">
      <alignment vertical="center"/>
    </xf>
    <xf numFmtId="10" fontId="18" fillId="7" borderId="29" xfId="0" applyNumberFormat="1" applyFont="1" applyFill="1" applyBorder="1" applyAlignment="1" applyProtection="1">
      <alignment horizontal="center" vertical="center"/>
      <protection locked="0"/>
    </xf>
    <xf numFmtId="0" fontId="4" fillId="7" borderId="0" xfId="0" applyFont="1" applyFill="1" applyAlignment="1">
      <alignment vertical="center"/>
    </xf>
    <xf numFmtId="0" fontId="89" fillId="0" borderId="0" xfId="0" applyFont="1" applyAlignment="1">
      <alignment horizontal="left" vertical="center" indent="2"/>
    </xf>
    <xf numFmtId="0" fontId="12" fillId="0" borderId="0" xfId="0" applyFont="1" applyAlignment="1">
      <alignment horizontal="left" vertical="center" indent="4"/>
    </xf>
    <xf numFmtId="0" fontId="12" fillId="0" borderId="0" xfId="0" applyFont="1" applyAlignment="1">
      <alignment horizontal="left"/>
    </xf>
    <xf numFmtId="0" fontId="87" fillId="0" borderId="0" xfId="0" applyFont="1" applyAlignment="1">
      <alignment horizontal="left"/>
    </xf>
    <xf numFmtId="0" fontId="89" fillId="0" borderId="0" xfId="0" applyFont="1" applyAlignment="1">
      <alignment horizontal="left" vertical="center" indent="1"/>
    </xf>
    <xf numFmtId="0" fontId="89" fillId="0" borderId="0" xfId="0" quotePrefix="1" applyFont="1" applyAlignment="1">
      <alignment horizontal="left" vertical="center" indent="3"/>
    </xf>
    <xf numFmtId="0" fontId="89" fillId="0" borderId="0" xfId="0" applyFont="1" applyAlignment="1">
      <alignment horizontal="left" vertical="center"/>
    </xf>
    <xf numFmtId="0" fontId="89" fillId="0" borderId="0" xfId="0" applyFont="1" applyAlignment="1">
      <alignment horizontal="left" vertical="center" indent="6"/>
    </xf>
    <xf numFmtId="0" fontId="12" fillId="0" borderId="0" xfId="0" applyFont="1" applyAlignment="1">
      <alignment horizontal="left" vertical="center" indent="1"/>
    </xf>
    <xf numFmtId="0" fontId="12" fillId="0" borderId="0" xfId="0" applyFont="1" applyAlignment="1">
      <alignment horizontal="left" vertical="center"/>
    </xf>
    <xf numFmtId="49" fontId="41" fillId="21" borderId="0" xfId="0" quotePrefix="1" applyNumberFormat="1" applyFont="1" applyFill="1" applyAlignment="1">
      <alignment horizontal="left" vertical="center"/>
    </xf>
    <xf numFmtId="49" fontId="41" fillId="21" borderId="0" xfId="0" applyNumberFormat="1" applyFont="1" applyFill="1" applyAlignment="1">
      <alignment horizontal="left" vertical="center"/>
    </xf>
    <xf numFmtId="0" fontId="12" fillId="0" borderId="0" xfId="0" applyFont="1" applyAlignment="1">
      <alignment vertical="center"/>
    </xf>
    <xf numFmtId="49" fontId="12" fillId="0" borderId="0" xfId="0" applyNumberFormat="1" applyFont="1" applyAlignment="1">
      <alignment horizontal="left" indent="1"/>
    </xf>
    <xf numFmtId="49" fontId="12" fillId="0" borderId="0" xfId="0" applyNumberFormat="1" applyFont="1" applyAlignment="1">
      <alignment horizontal="left" indent="3"/>
    </xf>
    <xf numFmtId="0" fontId="41" fillId="0" borderId="0" xfId="0" applyFont="1" applyAlignment="1">
      <alignment horizontal="left" indent="2"/>
    </xf>
    <xf numFmtId="0" fontId="41" fillId="0" borderId="0" xfId="0" applyFont="1" applyAlignment="1">
      <alignment horizontal="left" vertical="center" indent="1"/>
    </xf>
    <xf numFmtId="0" fontId="55" fillId="0" borderId="0" xfId="0" applyFont="1" applyAlignment="1">
      <alignment horizontal="left" vertical="center" indent="1"/>
    </xf>
    <xf numFmtId="0" fontId="0" fillId="0" borderId="1" xfId="0" applyBorder="1" applyProtection="1">
      <protection locked="0"/>
    </xf>
    <xf numFmtId="0" fontId="0" fillId="0" borderId="2" xfId="0" applyBorder="1" applyProtection="1">
      <protection locked="0"/>
    </xf>
    <xf numFmtId="0" fontId="0" fillId="0" borderId="4" xfId="0" applyBorder="1" applyProtection="1">
      <protection locked="0"/>
    </xf>
    <xf numFmtId="0" fontId="0" fillId="0" borderId="6" xfId="0" applyBorder="1" applyProtection="1">
      <protection locked="0"/>
    </xf>
    <xf numFmtId="0" fontId="9" fillId="0" borderId="0" xfId="0" applyFont="1" applyProtection="1">
      <protection locked="0"/>
    </xf>
    <xf numFmtId="0" fontId="0" fillId="0" borderId="9" xfId="0" applyBorder="1" applyProtection="1">
      <protection locked="0"/>
    </xf>
    <xf numFmtId="0" fontId="2" fillId="0" borderId="0" xfId="0" applyFont="1" applyAlignment="1">
      <alignment horizontal="left" vertical="top"/>
    </xf>
    <xf numFmtId="0" fontId="23" fillId="0" borderId="22" xfId="0" applyFont="1" applyBorder="1"/>
    <xf numFmtId="3" fontId="23" fillId="23" borderId="49" xfId="3" applyNumberFormat="1" applyFont="1" applyFill="1" applyBorder="1" applyAlignment="1" applyProtection="1">
      <alignment horizontal="right" vertical="center"/>
      <protection locked="0"/>
    </xf>
    <xf numFmtId="0" fontId="0" fillId="23" borderId="0" xfId="0" applyFill="1"/>
    <xf numFmtId="0" fontId="23" fillId="0" borderId="153" xfId="0" applyFont="1" applyBorder="1" applyAlignment="1">
      <alignment wrapText="1"/>
    </xf>
    <xf numFmtId="0" fontId="22" fillId="0" borderId="154" xfId="0" applyFont="1" applyBorder="1" applyAlignment="1">
      <alignment wrapText="1"/>
    </xf>
    <xf numFmtId="0" fontId="23" fillId="0" borderId="154" xfId="0" applyFont="1" applyBorder="1" applyAlignment="1">
      <alignment wrapText="1"/>
    </xf>
    <xf numFmtId="3" fontId="22" fillId="0" borderId="154" xfId="0" applyNumberFormat="1" applyFont="1" applyBorder="1"/>
    <xf numFmtId="0" fontId="22" fillId="0" borderId="154" xfId="0" applyFont="1" applyBorder="1"/>
    <xf numFmtId="0" fontId="22" fillId="0" borderId="155" xfId="0" applyFont="1" applyBorder="1"/>
    <xf numFmtId="0" fontId="23" fillId="0" borderId="157" xfId="0" applyFont="1" applyBorder="1" applyAlignment="1">
      <alignment wrapText="1"/>
    </xf>
    <xf numFmtId="3" fontId="22" fillId="0" borderId="155" xfId="0" applyNumberFormat="1" applyFont="1" applyBorder="1"/>
    <xf numFmtId="0" fontId="22" fillId="0" borderId="158" xfId="0" applyFont="1" applyBorder="1"/>
    <xf numFmtId="0" fontId="23" fillId="0" borderId="157" xfId="0" applyFont="1" applyBorder="1"/>
    <xf numFmtId="0" fontId="22" fillId="0" borderId="157" xfId="0" applyFont="1" applyBorder="1"/>
    <xf numFmtId="0" fontId="22" fillId="0" borderId="150" xfId="0" applyFont="1" applyBorder="1"/>
    <xf numFmtId="0" fontId="22" fillId="0" borderId="151" xfId="0" applyFont="1" applyBorder="1"/>
    <xf numFmtId="0" fontId="22" fillId="0" borderId="152" xfId="0" applyFont="1" applyBorder="1"/>
    <xf numFmtId="0" fontId="27" fillId="0" borderId="159" xfId="0" applyFont="1" applyBorder="1"/>
    <xf numFmtId="0" fontId="22" fillId="0" borderId="160" xfId="0" applyFont="1" applyBorder="1"/>
    <xf numFmtId="3" fontId="27" fillId="0" borderId="160" xfId="0" applyNumberFormat="1" applyFont="1" applyBorder="1"/>
    <xf numFmtId="0" fontId="27" fillId="0" borderId="160" xfId="0" applyFont="1" applyBorder="1"/>
    <xf numFmtId="0" fontId="26" fillId="0" borderId="150" xfId="0" applyFont="1" applyBorder="1" applyAlignment="1">
      <alignment horizontal="center" vertical="center" wrapText="1"/>
    </xf>
    <xf numFmtId="0" fontId="26" fillId="0" borderId="151" xfId="0" applyFont="1" applyBorder="1" applyAlignment="1">
      <alignment horizontal="center" vertical="center" wrapText="1"/>
    </xf>
    <xf numFmtId="3" fontId="22" fillId="0" borderId="156" xfId="0" applyNumberFormat="1" applyFont="1" applyBorder="1"/>
    <xf numFmtId="3" fontId="22" fillId="0" borderId="158" xfId="0" applyNumberFormat="1" applyFont="1" applyBorder="1"/>
    <xf numFmtId="3" fontId="27" fillId="0" borderId="161" xfId="0" applyNumberFormat="1" applyFont="1" applyBorder="1"/>
    <xf numFmtId="0" fontId="24" fillId="11" borderId="155" xfId="0" applyFont="1" applyFill="1" applyBorder="1" applyAlignment="1">
      <alignment horizontal="center" vertical="center" wrapText="1"/>
    </xf>
    <xf numFmtId="0" fontId="0" fillId="0" borderId="155" xfId="0" applyBorder="1"/>
    <xf numFmtId="0" fontId="100" fillId="0" borderId="151" xfId="0" applyFont="1" applyBorder="1" applyAlignment="1">
      <alignment horizontal="center" vertical="center" wrapText="1"/>
    </xf>
    <xf numFmtId="0" fontId="100" fillId="0" borderId="152" xfId="0" applyFont="1" applyBorder="1" applyAlignment="1">
      <alignment horizontal="center" vertical="center" wrapText="1"/>
    </xf>
    <xf numFmtId="0" fontId="24" fillId="11" borderId="46" xfId="0" applyFont="1" applyFill="1" applyBorder="1" applyAlignment="1">
      <alignment horizontal="center" vertical="center" wrapText="1"/>
    </xf>
    <xf numFmtId="0" fontId="24" fillId="11" borderId="165" xfId="0" applyFont="1" applyFill="1" applyBorder="1" applyAlignment="1">
      <alignment horizontal="center" vertical="center" wrapText="1"/>
    </xf>
    <xf numFmtId="0" fontId="22" fillId="0" borderId="65" xfId="0" applyFont="1" applyBorder="1"/>
    <xf numFmtId="0" fontId="22" fillId="0" borderId="169" xfId="0" applyFont="1" applyBorder="1"/>
    <xf numFmtId="0" fontId="18" fillId="0" borderId="57" xfId="0" applyFont="1" applyBorder="1" applyAlignment="1">
      <alignment vertical="center"/>
    </xf>
    <xf numFmtId="0" fontId="100" fillId="0" borderId="167" xfId="0" applyFont="1" applyBorder="1" applyAlignment="1">
      <alignment horizontal="center" vertical="center" wrapText="1"/>
    </xf>
    <xf numFmtId="0" fontId="23" fillId="0" borderId="171" xfId="0" applyFont="1" applyBorder="1" applyAlignment="1">
      <alignment wrapText="1"/>
    </xf>
    <xf numFmtId="0" fontId="23" fillId="0" borderId="175" xfId="0" applyFont="1" applyBorder="1" applyAlignment="1">
      <alignment wrapText="1"/>
    </xf>
    <xf numFmtId="0" fontId="23" fillId="0" borderId="175" xfId="0" applyFont="1" applyBorder="1"/>
    <xf numFmtId="0" fontId="22" fillId="0" borderId="175" xfId="0" applyFont="1" applyBorder="1"/>
    <xf numFmtId="0" fontId="22" fillId="0" borderId="167" xfId="0" applyFont="1" applyBorder="1"/>
    <xf numFmtId="0" fontId="27" fillId="0" borderId="162" xfId="0" applyFont="1" applyBorder="1"/>
    <xf numFmtId="0" fontId="18" fillId="0" borderId="48" xfId="0" applyFont="1" applyBorder="1" applyAlignment="1">
      <alignment vertical="center"/>
    </xf>
    <xf numFmtId="0" fontId="100" fillId="0" borderId="169" xfId="0" applyFont="1" applyBorder="1" applyAlignment="1">
      <alignment horizontal="center" vertical="center" wrapText="1"/>
    </xf>
    <xf numFmtId="0" fontId="22" fillId="0" borderId="173" xfId="0" applyFont="1" applyBorder="1"/>
    <xf numFmtId="0" fontId="27" fillId="0" borderId="177" xfId="0" applyFont="1" applyBorder="1"/>
    <xf numFmtId="0" fontId="100" fillId="0" borderId="155" xfId="0" applyFont="1" applyBorder="1" applyAlignment="1">
      <alignment horizontal="center" vertical="center" wrapText="1"/>
    </xf>
    <xf numFmtId="49" fontId="104" fillId="23" borderId="0" xfId="0" applyNumberFormat="1" applyFont="1" applyFill="1" applyAlignment="1" applyProtection="1">
      <alignment vertical="center"/>
      <protection locked="0"/>
    </xf>
    <xf numFmtId="49" fontId="104" fillId="23" borderId="0" xfId="0" applyNumberFormat="1" applyFont="1" applyFill="1" applyAlignment="1">
      <alignment vertical="center"/>
    </xf>
    <xf numFmtId="0" fontId="101" fillId="23" borderId="0" xfId="0" applyFont="1" applyFill="1" applyAlignment="1">
      <alignment vertical="center"/>
    </xf>
    <xf numFmtId="0" fontId="101" fillId="23" borderId="0" xfId="0" applyFont="1" applyFill="1" applyAlignment="1">
      <alignment horizontal="center" vertical="center" wrapText="1"/>
    </xf>
    <xf numFmtId="0" fontId="101" fillId="23" borderId="0" xfId="0" applyFont="1" applyFill="1" applyAlignment="1">
      <alignment horizontal="center" vertical="center"/>
    </xf>
    <xf numFmtId="0" fontId="105" fillId="23" borderId="0" xfId="2" applyFont="1" applyFill="1" applyAlignment="1">
      <alignment vertical="center" wrapText="1"/>
    </xf>
    <xf numFmtId="0" fontId="104" fillId="23" borderId="0" xfId="0" applyFont="1" applyFill="1"/>
    <xf numFmtId="0" fontId="106" fillId="23" borderId="0" xfId="2" applyFont="1" applyFill="1" applyAlignment="1">
      <alignment vertical="center"/>
    </xf>
    <xf numFmtId="49" fontId="106" fillId="23" borderId="0" xfId="2" applyNumberFormat="1" applyFont="1" applyFill="1" applyAlignment="1">
      <alignment horizontal="center" vertical="center"/>
    </xf>
    <xf numFmtId="0" fontId="106" fillId="23" borderId="0" xfId="2" applyFont="1" applyFill="1" applyAlignment="1">
      <alignment horizontal="center" vertical="center"/>
    </xf>
    <xf numFmtId="0" fontId="105" fillId="23" borderId="0" xfId="2" applyFont="1" applyFill="1" applyAlignment="1">
      <alignment horizontal="center"/>
    </xf>
    <xf numFmtId="0" fontId="106" fillId="23" borderId="0" xfId="2" applyFont="1" applyFill="1"/>
    <xf numFmtId="49" fontId="106" fillId="23" borderId="0" xfId="2" quotePrefix="1" applyNumberFormat="1" applyFont="1" applyFill="1" applyAlignment="1">
      <alignment horizontal="center" vertical="center"/>
    </xf>
    <xf numFmtId="0" fontId="105" fillId="23" borderId="0" xfId="2" applyFont="1" applyFill="1"/>
    <xf numFmtId="0" fontId="106" fillId="23" borderId="0" xfId="2" applyFont="1" applyFill="1" applyAlignment="1">
      <alignment horizontal="center"/>
    </xf>
    <xf numFmtId="0" fontId="105" fillId="23" borderId="0" xfId="2" applyFont="1" applyFill="1" applyAlignment="1">
      <alignment vertical="center"/>
    </xf>
    <xf numFmtId="0" fontId="55" fillId="0" borderId="155" xfId="0" applyFont="1" applyBorder="1" applyAlignment="1" applyProtection="1">
      <alignment horizontal="center" vertical="center"/>
      <protection locked="0"/>
    </xf>
    <xf numFmtId="3" fontId="2" fillId="0" borderId="155" xfId="0" applyNumberFormat="1" applyFont="1" applyBorder="1" applyAlignment="1" applyProtection="1">
      <alignment horizontal="right" vertical="center"/>
      <protection locked="0"/>
    </xf>
    <xf numFmtId="0" fontId="19" fillId="0" borderId="50" xfId="0" applyFont="1" applyBorder="1" applyAlignment="1">
      <alignment vertical="center"/>
    </xf>
    <xf numFmtId="0" fontId="19" fillId="0" borderId="47" xfId="0" applyFont="1" applyBorder="1" applyAlignment="1">
      <alignment vertical="center"/>
    </xf>
    <xf numFmtId="0" fontId="110" fillId="0" borderId="0" xfId="0" applyFont="1"/>
    <xf numFmtId="0" fontId="0" fillId="0" borderId="182" xfId="0" applyBorder="1" applyAlignment="1">
      <alignment horizontal="left" vertical="top" wrapText="1"/>
    </xf>
    <xf numFmtId="0" fontId="0" fillId="0" borderId="183" xfId="0" applyBorder="1" applyAlignment="1">
      <alignment horizontal="left" vertical="top" wrapText="1"/>
    </xf>
    <xf numFmtId="0" fontId="0" fillId="0" borderId="181" xfId="0" applyBorder="1" applyAlignment="1">
      <alignment horizontal="left" vertical="top" wrapText="1"/>
    </xf>
    <xf numFmtId="0" fontId="0" fillId="0" borderId="0" xfId="0" applyAlignment="1">
      <alignment horizontal="left" vertical="top"/>
    </xf>
    <xf numFmtId="0" fontId="0" fillId="0" borderId="185" xfId="0" applyBorder="1" applyAlignment="1">
      <alignment horizontal="left" vertical="top" wrapText="1"/>
    </xf>
    <xf numFmtId="0" fontId="9" fillId="0" borderId="0" xfId="0" applyFont="1" applyAlignment="1">
      <alignment horizontal="left" vertical="top"/>
    </xf>
    <xf numFmtId="0" fontId="0" fillId="0" borderId="181" xfId="0" applyBorder="1" applyAlignment="1">
      <alignment vertical="top"/>
    </xf>
    <xf numFmtId="0" fontId="0" fillId="0" borderId="184" xfId="0" applyBorder="1" applyAlignment="1">
      <alignment vertical="top"/>
    </xf>
    <xf numFmtId="0" fontId="0" fillId="0" borderId="181" xfId="0" applyBorder="1" applyAlignment="1">
      <alignment horizontal="center" vertical="top"/>
    </xf>
    <xf numFmtId="0" fontId="0" fillId="0" borderId="65" xfId="0" applyBorder="1"/>
    <xf numFmtId="0" fontId="0" fillId="0" borderId="66" xfId="0" applyBorder="1"/>
    <xf numFmtId="0" fontId="27" fillId="0" borderId="67" xfId="0" applyFont="1" applyBorder="1"/>
    <xf numFmtId="0" fontId="27" fillId="0" borderId="66" xfId="0" applyFont="1" applyBorder="1"/>
    <xf numFmtId="0" fontId="0" fillId="0" borderId="67" xfId="0" applyBorder="1"/>
    <xf numFmtId="49" fontId="0" fillId="0" borderId="66" xfId="0" applyNumberFormat="1" applyBorder="1"/>
    <xf numFmtId="0" fontId="121" fillId="0" borderId="5" xfId="0" applyFont="1" applyBorder="1"/>
    <xf numFmtId="168" fontId="122" fillId="0" borderId="0" xfId="5" applyNumberFormat="1" applyFont="1" applyAlignment="1">
      <alignment horizontal="center"/>
    </xf>
    <xf numFmtId="49" fontId="0" fillId="0" borderId="9" xfId="0" applyNumberFormat="1" applyBorder="1" applyAlignment="1">
      <alignment horizontal="center"/>
    </xf>
    <xf numFmtId="0" fontId="123" fillId="0" borderId="0" xfId="0" applyFont="1"/>
    <xf numFmtId="168" fontId="122" fillId="0" borderId="67" xfId="5" applyNumberFormat="1" applyFont="1" applyBorder="1" applyAlignment="1">
      <alignment horizontal="center"/>
    </xf>
    <xf numFmtId="0" fontId="0" fillId="0" borderId="0" xfId="0" applyAlignment="1">
      <alignment horizontal="left"/>
    </xf>
    <xf numFmtId="168" fontId="122" fillId="0" borderId="66" xfId="5" applyNumberFormat="1" applyFont="1" applyBorder="1" applyAlignment="1">
      <alignment horizontal="center"/>
    </xf>
    <xf numFmtId="168" fontId="122" fillId="0" borderId="6" xfId="5" applyNumberFormat="1" applyFont="1" applyBorder="1" applyAlignment="1">
      <alignment horizontal="center"/>
    </xf>
    <xf numFmtId="168" fontId="122" fillId="0" borderId="7" xfId="5" applyNumberFormat="1" applyFont="1" applyBorder="1" applyAlignment="1">
      <alignment horizontal="center"/>
    </xf>
    <xf numFmtId="168" fontId="122" fillId="0" borderId="10" xfId="5" applyNumberFormat="1" applyFont="1" applyBorder="1" applyAlignment="1">
      <alignment horizontal="center"/>
    </xf>
    <xf numFmtId="0" fontId="124" fillId="0" borderId="0" xfId="0" applyFont="1" applyAlignment="1">
      <alignment horizontal="left"/>
    </xf>
    <xf numFmtId="49" fontId="115" fillId="0" borderId="9" xfId="0" applyNumberFormat="1" applyFont="1" applyBorder="1" applyAlignment="1">
      <alignment horizontal="center"/>
    </xf>
    <xf numFmtId="0" fontId="115" fillId="0" borderId="0" xfId="0" applyFont="1" applyAlignment="1">
      <alignment horizontal="left"/>
    </xf>
    <xf numFmtId="49" fontId="0" fillId="0" borderId="11" xfId="0" applyNumberFormat="1" applyBorder="1" applyAlignment="1">
      <alignment horizontal="center"/>
    </xf>
    <xf numFmtId="0" fontId="0" fillId="0" borderId="12" xfId="0" applyBorder="1" applyAlignment="1">
      <alignment horizontal="center"/>
    </xf>
    <xf numFmtId="49" fontId="0" fillId="0" borderId="0" xfId="0" applyNumberFormat="1" applyAlignment="1">
      <alignment horizontal="center"/>
    </xf>
    <xf numFmtId="49" fontId="0" fillId="0" borderId="0" xfId="0" applyNumberFormat="1" applyAlignment="1">
      <alignment horizontal="left"/>
    </xf>
    <xf numFmtId="0" fontId="27" fillId="0" borderId="0" xfId="0" applyFont="1" applyAlignment="1">
      <alignment horizontal="center"/>
    </xf>
    <xf numFmtId="0" fontId="22" fillId="0" borderId="155" xfId="6" applyBorder="1" applyAlignment="1">
      <alignment horizontal="left"/>
    </xf>
    <xf numFmtId="0" fontId="22" fillId="0" borderId="155" xfId="6" applyBorder="1" applyAlignment="1">
      <alignment horizontal="center"/>
    </xf>
    <xf numFmtId="0" fontId="22" fillId="0" borderId="155" xfId="6" applyBorder="1"/>
    <xf numFmtId="0" fontId="22" fillId="0" borderId="10" xfId="6" applyBorder="1"/>
    <xf numFmtId="0" fontId="22" fillId="0" borderId="9" xfId="6" applyBorder="1"/>
    <xf numFmtId="0" fontId="22" fillId="0" borderId="11" xfId="6" applyBorder="1"/>
    <xf numFmtId="0" fontId="22" fillId="0" borderId="13" xfId="6" applyBorder="1"/>
    <xf numFmtId="0" fontId="22" fillId="0" borderId="0" xfId="6" applyAlignment="1">
      <alignment horizontal="left"/>
    </xf>
    <xf numFmtId="0" fontId="128" fillId="0" borderId="0" xfId="0" applyFont="1" applyAlignment="1">
      <alignment horizontal="left"/>
    </xf>
    <xf numFmtId="0" fontId="26" fillId="0" borderId="9" xfId="6" applyFont="1" applyBorder="1" applyAlignment="1">
      <alignment horizontal="left"/>
    </xf>
    <xf numFmtId="0" fontId="3" fillId="0" borderId="50" xfId="0" applyFont="1" applyBorder="1" applyAlignment="1" applyProtection="1">
      <alignment horizontal="left" vertical="center" wrapText="1"/>
      <protection locked="0"/>
    </xf>
    <xf numFmtId="0" fontId="3" fillId="0" borderId="47" xfId="0" applyFont="1" applyBorder="1" applyAlignment="1" applyProtection="1">
      <alignment horizontal="left" vertical="center" wrapText="1"/>
      <protection locked="0"/>
    </xf>
    <xf numFmtId="0" fontId="3" fillId="0" borderId="46" xfId="0" applyFont="1" applyBorder="1" applyAlignment="1" applyProtection="1">
      <alignment horizontal="left" vertical="center"/>
      <protection locked="0"/>
    </xf>
    <xf numFmtId="0" fontId="0" fillId="0" borderId="191" xfId="0" applyBorder="1" applyAlignment="1">
      <alignment horizontal="left" vertical="top" wrapText="1"/>
    </xf>
    <xf numFmtId="0" fontId="0" fillId="0" borderId="192" xfId="0" applyBorder="1" applyAlignment="1">
      <alignment horizontal="left" vertical="top" wrapText="1"/>
    </xf>
    <xf numFmtId="0" fontId="0" fillId="0" borderId="194" xfId="0" applyBorder="1" applyAlignment="1">
      <alignment horizontal="left" vertical="top" wrapText="1"/>
    </xf>
    <xf numFmtId="0" fontId="0" fillId="0" borderId="196" xfId="0" applyBorder="1" applyAlignment="1">
      <alignment horizontal="left" vertical="top" wrapText="1"/>
    </xf>
    <xf numFmtId="0" fontId="0" fillId="0" borderId="195" xfId="0" applyBorder="1" applyAlignment="1">
      <alignment vertical="top"/>
    </xf>
    <xf numFmtId="166" fontId="114" fillId="0" borderId="196" xfId="0" applyNumberFormat="1" applyFont="1" applyBorder="1" applyAlignment="1">
      <alignment horizontal="left" vertical="top" wrapText="1"/>
    </xf>
    <xf numFmtId="0" fontId="0" fillId="0" borderId="198" xfId="0" applyBorder="1" applyAlignment="1">
      <alignment vertical="top"/>
    </xf>
    <xf numFmtId="0" fontId="0" fillId="0" borderId="199" xfId="0" applyBorder="1" applyAlignment="1">
      <alignment vertical="top"/>
    </xf>
    <xf numFmtId="0" fontId="0" fillId="0" borderId="200" xfId="0" applyBorder="1" applyAlignment="1">
      <alignment horizontal="left" vertical="top"/>
    </xf>
    <xf numFmtId="0" fontId="0" fillId="0" borderId="200" xfId="0" applyBorder="1" applyAlignment="1">
      <alignment horizontal="left" vertical="top" wrapText="1"/>
    </xf>
    <xf numFmtId="0" fontId="0" fillId="0" borderId="201" xfId="0" applyBorder="1" applyAlignment="1">
      <alignment horizontal="left" vertical="top" wrapText="1"/>
    </xf>
    <xf numFmtId="0" fontId="0" fillId="0" borderId="203" xfId="0" applyBorder="1" applyAlignment="1">
      <alignment horizontal="left" vertical="top" wrapText="1"/>
    </xf>
    <xf numFmtId="0" fontId="4" fillId="0" borderId="4" xfId="0" applyFont="1" applyBorder="1"/>
    <xf numFmtId="49" fontId="3" fillId="0" borderId="205" xfId="0" applyNumberFormat="1" applyFont="1" applyBorder="1" applyAlignment="1" applyProtection="1">
      <alignment horizontal="center"/>
      <protection locked="0"/>
    </xf>
    <xf numFmtId="0" fontId="3" fillId="0" borderId="205" xfId="0" applyFont="1" applyBorder="1" applyAlignment="1" applyProtection="1">
      <alignment horizontal="center"/>
      <protection locked="0"/>
    </xf>
    <xf numFmtId="0" fontId="47" fillId="0" borderId="206" xfId="0" applyFont="1" applyBorder="1"/>
    <xf numFmtId="0" fontId="24" fillId="11" borderId="208" xfId="0" applyFont="1" applyFill="1" applyBorder="1" applyAlignment="1">
      <alignment horizontal="center" vertical="center" wrapText="1"/>
    </xf>
    <xf numFmtId="0" fontId="41" fillId="0" borderId="4" xfId="0" applyFont="1" applyBorder="1"/>
    <xf numFmtId="0" fontId="12" fillId="0" borderId="4" xfId="0" applyFont="1" applyBorder="1"/>
    <xf numFmtId="0" fontId="12" fillId="0" borderId="8" xfId="0" applyFont="1" applyBorder="1"/>
    <xf numFmtId="0" fontId="30" fillId="0" borderId="4" xfId="0" applyFont="1" applyBorder="1"/>
    <xf numFmtId="0" fontId="23" fillId="11" borderId="208" xfId="0" applyFont="1" applyFill="1" applyBorder="1" applyAlignment="1">
      <alignment horizontal="center" vertical="center" wrapText="1"/>
    </xf>
    <xf numFmtId="0" fontId="4" fillId="11" borderId="224" xfId="0" applyFont="1" applyFill="1" applyBorder="1" applyAlignment="1">
      <alignment horizontal="center" vertical="center" wrapText="1"/>
    </xf>
    <xf numFmtId="0" fontId="45" fillId="0" borderId="225" xfId="0" applyFont="1" applyBorder="1" applyAlignment="1">
      <alignment horizontal="center" vertical="center" wrapText="1"/>
    </xf>
    <xf numFmtId="3" fontId="4" fillId="0" borderId="224" xfId="0" applyNumberFormat="1" applyFont="1" applyBorder="1" applyAlignment="1" applyProtection="1">
      <alignment vertical="center" wrapText="1"/>
      <protection locked="0"/>
    </xf>
    <xf numFmtId="0" fontId="45" fillId="0" borderId="226" xfId="0" applyFont="1" applyBorder="1" applyAlignment="1">
      <alignment horizontal="center" vertical="center" wrapText="1"/>
    </xf>
    <xf numFmtId="0" fontId="49" fillId="0" borderId="223" xfId="0" applyFont="1" applyBorder="1" applyAlignment="1">
      <alignment horizontal="center" vertical="center" wrapText="1"/>
    </xf>
    <xf numFmtId="3" fontId="18" fillId="7" borderId="224" xfId="0" applyNumberFormat="1" applyFont="1" applyFill="1" applyBorder="1" applyAlignment="1">
      <alignment vertical="center" wrapText="1"/>
    </xf>
    <xf numFmtId="0" fontId="49" fillId="0" borderId="227" xfId="0" applyFont="1" applyBorder="1" applyAlignment="1">
      <alignment horizontal="center" vertical="center" wrapText="1"/>
    </xf>
    <xf numFmtId="0" fontId="4" fillId="7" borderId="231" xfId="0" applyFont="1" applyFill="1" applyBorder="1" applyAlignment="1">
      <alignment horizontal="center"/>
    </xf>
    <xf numFmtId="0" fontId="4" fillId="7" borderId="231" xfId="0" applyFont="1" applyFill="1" applyBorder="1" applyAlignment="1">
      <alignment horizontal="center" vertical="center" wrapText="1"/>
    </xf>
    <xf numFmtId="0" fontId="4" fillId="7" borderId="231" xfId="0" applyFont="1" applyFill="1" applyBorder="1" applyAlignment="1" applyProtection="1">
      <alignment horizontal="center" vertical="center" wrapText="1"/>
      <protection locked="0"/>
    </xf>
    <xf numFmtId="3" fontId="18" fillId="7" borderId="231" xfId="0" applyNumberFormat="1" applyFont="1" applyFill="1" applyBorder="1" applyAlignment="1">
      <alignment vertical="center" wrapText="1"/>
    </xf>
    <xf numFmtId="3" fontId="18" fillId="7" borderId="232" xfId="0" applyNumberFormat="1" applyFont="1" applyFill="1" applyBorder="1" applyAlignment="1">
      <alignment vertical="center" wrapText="1"/>
    </xf>
    <xf numFmtId="0" fontId="23" fillId="11" borderId="236" xfId="0" applyFont="1" applyFill="1" applyBorder="1" applyAlignment="1">
      <alignment horizontal="center" vertical="center" wrapText="1"/>
    </xf>
    <xf numFmtId="0" fontId="23" fillId="11" borderId="237" xfId="0" applyFont="1" applyFill="1" applyBorder="1" applyAlignment="1">
      <alignment horizontal="center" vertical="center"/>
    </xf>
    <xf numFmtId="0" fontId="4" fillId="11" borderId="239" xfId="0" applyFont="1" applyFill="1" applyBorder="1" applyAlignment="1">
      <alignment horizontal="center" vertical="center" wrapText="1"/>
    </xf>
    <xf numFmtId="0" fontId="18" fillId="0" borderId="223" xfId="0" applyFont="1" applyBorder="1" applyAlignment="1">
      <alignment horizontal="center" vertical="center" wrapText="1"/>
    </xf>
    <xf numFmtId="3" fontId="18" fillId="2" borderId="224" xfId="0" applyNumberFormat="1" applyFont="1" applyFill="1" applyBorder="1" applyAlignment="1" applyProtection="1">
      <alignment horizontal="right" vertical="center" wrapText="1"/>
      <protection locked="0"/>
    </xf>
    <xf numFmtId="0" fontId="4" fillId="0" borderId="226" xfId="0" applyFont="1" applyBorder="1" applyAlignment="1">
      <alignment horizontal="center" vertical="center" wrapText="1"/>
    </xf>
    <xf numFmtId="3" fontId="4" fillId="4" borderId="224" xfId="0" applyNumberFormat="1" applyFont="1" applyFill="1" applyBorder="1" applyAlignment="1">
      <alignment horizontal="right" vertical="center" wrapText="1"/>
    </xf>
    <xf numFmtId="3" fontId="4" fillId="0" borderId="224" xfId="0" applyNumberFormat="1" applyFont="1" applyBorder="1" applyAlignment="1" applyProtection="1">
      <alignment horizontal="right" vertical="center" wrapText="1"/>
      <protection locked="0"/>
    </xf>
    <xf numFmtId="3" fontId="4" fillId="0" borderId="240" xfId="0" applyNumberFormat="1" applyFont="1" applyBorder="1" applyAlignment="1" applyProtection="1">
      <alignment horizontal="right" vertical="center" wrapText="1"/>
      <protection locked="0"/>
    </xf>
    <xf numFmtId="3" fontId="4" fillId="0" borderId="240" xfId="0" applyNumberFormat="1" applyFont="1" applyBorder="1" applyAlignment="1">
      <alignment horizontal="right" vertical="center" wrapText="1"/>
    </xf>
    <xf numFmtId="3" fontId="4" fillId="0" borderId="239" xfId="0" applyNumberFormat="1" applyFont="1" applyBorder="1" applyAlignment="1">
      <alignment horizontal="right" vertical="center" wrapText="1"/>
    </xf>
    <xf numFmtId="3" fontId="18" fillId="2" borderId="239" xfId="0" applyNumberFormat="1" applyFont="1" applyFill="1" applyBorder="1" applyAlignment="1">
      <alignment horizontal="right" vertical="center" wrapText="1"/>
    </xf>
    <xf numFmtId="3" fontId="18" fillId="2" borderId="224" xfId="0" applyNumberFormat="1" applyFont="1" applyFill="1" applyBorder="1" applyAlignment="1">
      <alignment horizontal="right" vertical="center" wrapText="1"/>
    </xf>
    <xf numFmtId="3" fontId="18" fillId="7" borderId="224" xfId="0" applyNumberFormat="1" applyFont="1" applyFill="1" applyBorder="1" applyAlignment="1" applyProtection="1">
      <alignment horizontal="right" vertical="center" wrapText="1"/>
      <protection locked="0"/>
    </xf>
    <xf numFmtId="0" fontId="18" fillId="0" borderId="225" xfId="0" applyFont="1" applyBorder="1" applyAlignment="1">
      <alignment horizontal="center" vertical="center" wrapText="1"/>
    </xf>
    <xf numFmtId="3" fontId="18" fillId="2" borderId="240" xfId="0" applyNumberFormat="1" applyFont="1" applyFill="1" applyBorder="1" applyAlignment="1">
      <alignment horizontal="right" vertical="center" wrapText="1"/>
    </xf>
    <xf numFmtId="0" fontId="18" fillId="0" borderId="241" xfId="0" applyFont="1" applyBorder="1" applyAlignment="1">
      <alignment horizontal="center" vertical="center" wrapText="1"/>
    </xf>
    <xf numFmtId="0" fontId="18" fillId="2" borderId="244" xfId="0" applyFont="1" applyFill="1" applyBorder="1" applyAlignment="1">
      <alignment horizontal="center" vertical="center" wrapText="1"/>
    </xf>
    <xf numFmtId="3" fontId="4" fillId="2" borderId="244" xfId="0" applyNumberFormat="1" applyFont="1" applyFill="1" applyBorder="1" applyAlignment="1">
      <alignment horizontal="center" vertical="center" wrapText="1"/>
    </xf>
    <xf numFmtId="3" fontId="18" fillId="2" borderId="244" xfId="0" applyNumberFormat="1" applyFont="1" applyFill="1" applyBorder="1" applyAlignment="1">
      <alignment horizontal="right" vertical="center" wrapText="1"/>
    </xf>
    <xf numFmtId="3" fontId="18" fillId="2" borderId="245" xfId="0" applyNumberFormat="1" applyFont="1" applyFill="1" applyBorder="1" applyAlignment="1">
      <alignment horizontal="right" vertical="center" wrapText="1"/>
    </xf>
    <xf numFmtId="0" fontId="4" fillId="11" borderId="247" xfId="0" applyFont="1" applyFill="1" applyBorder="1" applyAlignment="1">
      <alignment horizontal="center" vertical="center" wrapText="1"/>
    </xf>
    <xf numFmtId="0" fontId="4" fillId="11" borderId="252" xfId="0" applyFont="1" applyFill="1" applyBorder="1" applyAlignment="1">
      <alignment horizontal="center" vertical="center" wrapText="1"/>
    </xf>
    <xf numFmtId="3" fontId="4" fillId="0" borderId="208" xfId="0" applyNumberFormat="1" applyFont="1" applyBorder="1" applyAlignment="1">
      <alignment horizontal="right" vertical="center" wrapText="1"/>
    </xf>
    <xf numFmtId="3" fontId="4" fillId="0" borderId="208" xfId="0" applyNumberFormat="1" applyFont="1" applyBorder="1" applyAlignment="1" applyProtection="1">
      <alignment horizontal="right" vertical="center" wrapText="1"/>
      <protection locked="0"/>
    </xf>
    <xf numFmtId="3" fontId="18" fillId="17" borderId="208" xfId="0" applyNumberFormat="1" applyFont="1" applyFill="1" applyBorder="1" applyAlignment="1">
      <alignment horizontal="right" vertical="center" wrapText="1"/>
    </xf>
    <xf numFmtId="0" fontId="18" fillId="0" borderId="208" xfId="0" applyFont="1" applyBorder="1" applyAlignment="1">
      <alignment horizontal="center" vertical="center" wrapText="1"/>
    </xf>
    <xf numFmtId="3" fontId="18" fillId="9" borderId="254" xfId="0" applyNumberFormat="1" applyFont="1" applyFill="1" applyBorder="1" applyAlignment="1">
      <alignment vertical="center" wrapText="1"/>
    </xf>
    <xf numFmtId="3" fontId="18" fillId="9" borderId="254" xfId="0" applyNumberFormat="1" applyFont="1" applyFill="1" applyBorder="1" applyAlignment="1">
      <alignment horizontal="right" vertical="center" wrapText="1"/>
    </xf>
    <xf numFmtId="3" fontId="18" fillId="9" borderId="255" xfId="0" applyNumberFormat="1" applyFont="1" applyFill="1" applyBorder="1" applyAlignment="1">
      <alignment horizontal="right" vertical="center" wrapText="1"/>
    </xf>
    <xf numFmtId="0" fontId="16" fillId="11" borderId="258" xfId="0" applyFont="1" applyFill="1" applyBorder="1" applyAlignment="1">
      <alignment horizontal="center" vertical="center"/>
    </xf>
    <xf numFmtId="0" fontId="16" fillId="11" borderId="261" xfId="0" applyFont="1" applyFill="1" applyBorder="1" applyAlignment="1">
      <alignment horizontal="center" vertical="center"/>
    </xf>
    <xf numFmtId="3" fontId="18" fillId="5" borderId="265" xfId="0" applyNumberFormat="1" applyFont="1" applyFill="1" applyBorder="1" applyAlignment="1">
      <alignment horizontal="right" vertical="center" wrapText="1"/>
    </xf>
    <xf numFmtId="3" fontId="4" fillId="0" borderId="265" xfId="0" applyNumberFormat="1" applyFont="1" applyBorder="1" applyAlignment="1">
      <alignment horizontal="right" vertical="center" wrapText="1"/>
    </xf>
    <xf numFmtId="3" fontId="18" fillId="6" borderId="266" xfId="0" applyNumberFormat="1" applyFont="1" applyFill="1" applyBorder="1" applyAlignment="1">
      <alignment horizontal="right" vertical="center" wrapText="1"/>
    </xf>
    <xf numFmtId="3" fontId="18" fillId="6" borderId="255" xfId="0" applyNumberFormat="1" applyFont="1" applyFill="1" applyBorder="1" applyAlignment="1">
      <alignment horizontal="right" vertical="center" wrapText="1"/>
    </xf>
    <xf numFmtId="0" fontId="55" fillId="0" borderId="0" xfId="0" applyFont="1"/>
    <xf numFmtId="0" fontId="2" fillId="11" borderId="247" xfId="0" applyFont="1" applyFill="1" applyBorder="1"/>
    <xf numFmtId="0" fontId="1" fillId="11" borderId="267" xfId="0" applyFont="1" applyFill="1" applyBorder="1" applyAlignment="1">
      <alignment horizontal="center" vertical="center" wrapText="1"/>
    </xf>
    <xf numFmtId="0" fontId="1" fillId="11" borderId="268" xfId="0" applyFont="1" applyFill="1" applyBorder="1" applyAlignment="1">
      <alignment horizontal="center" vertical="center" wrapText="1"/>
    </xf>
    <xf numFmtId="3" fontId="4" fillId="0" borderId="208" xfId="0" applyNumberFormat="1" applyFont="1" applyBorder="1" applyAlignment="1">
      <alignment vertical="center" wrapText="1"/>
    </xf>
    <xf numFmtId="3" fontId="18" fillId="6" borderId="254" xfId="0" applyNumberFormat="1" applyFont="1" applyFill="1" applyBorder="1" applyAlignment="1">
      <alignment horizontal="center" vertical="center" wrapText="1"/>
    </xf>
    <xf numFmtId="3" fontId="18" fillId="6" borderId="254" xfId="0" applyNumberFormat="1" applyFont="1" applyFill="1" applyBorder="1" applyAlignment="1">
      <alignment vertical="center" wrapText="1"/>
    </xf>
    <xf numFmtId="3" fontId="18" fillId="6" borderId="255" xfId="0" applyNumberFormat="1" applyFont="1" applyFill="1" applyBorder="1" applyAlignment="1">
      <alignment vertical="center" wrapText="1"/>
    </xf>
    <xf numFmtId="0" fontId="1" fillId="11" borderId="247" xfId="0" applyFont="1" applyFill="1" applyBorder="1" applyAlignment="1">
      <alignment horizontal="center" vertical="center" wrapText="1"/>
    </xf>
    <xf numFmtId="0" fontId="1" fillId="11" borderId="280" xfId="0" applyFont="1" applyFill="1" applyBorder="1" applyAlignment="1">
      <alignment horizontal="center" vertical="center" wrapText="1"/>
    </xf>
    <xf numFmtId="0" fontId="1" fillId="11" borderId="208" xfId="0" applyFont="1" applyFill="1" applyBorder="1" applyAlignment="1">
      <alignment horizontal="center" vertical="center" wrapText="1"/>
    </xf>
    <xf numFmtId="3" fontId="18" fillId="2" borderId="208" xfId="0" applyNumberFormat="1" applyFont="1" applyFill="1" applyBorder="1" applyAlignment="1">
      <alignment vertical="center" wrapText="1"/>
    </xf>
    <xf numFmtId="3" fontId="18" fillId="7" borderId="208" xfId="0" applyNumberFormat="1" applyFont="1" applyFill="1" applyBorder="1" applyAlignment="1" applyProtection="1">
      <alignment horizontal="right" vertical="center" wrapText="1"/>
      <protection locked="0"/>
    </xf>
    <xf numFmtId="0" fontId="12" fillId="0" borderId="0" xfId="0" quotePrefix="1" applyFont="1" applyAlignment="1">
      <alignment horizontal="left"/>
    </xf>
    <xf numFmtId="0" fontId="12" fillId="0" borderId="0" xfId="0" quotePrefix="1" applyFont="1" applyAlignment="1">
      <alignment horizontal="left" indent="2"/>
    </xf>
    <xf numFmtId="3" fontId="18" fillId="5" borderId="208" xfId="0" applyNumberFormat="1" applyFont="1" applyFill="1" applyBorder="1" applyAlignment="1" applyProtection="1">
      <alignment horizontal="right" vertical="center" wrapText="1"/>
      <protection locked="0"/>
    </xf>
    <xf numFmtId="3" fontId="4" fillId="18" borderId="208" xfId="0" applyNumberFormat="1" applyFont="1" applyFill="1" applyBorder="1" applyAlignment="1">
      <alignment horizontal="right" vertical="center" wrapText="1"/>
    </xf>
    <xf numFmtId="3" fontId="18" fillId="19" borderId="208" xfId="0" applyNumberFormat="1" applyFont="1" applyFill="1" applyBorder="1" applyAlignment="1">
      <alignment vertical="center" wrapText="1"/>
    </xf>
    <xf numFmtId="3" fontId="46" fillId="0" borderId="254" xfId="0" applyNumberFormat="1" applyFont="1" applyBorder="1" applyAlignment="1" applyProtection="1">
      <alignment vertical="center" wrapText="1"/>
      <protection locked="0"/>
    </xf>
    <xf numFmtId="10" fontId="4" fillId="0" borderId="254" xfId="0" applyNumberFormat="1" applyFont="1" applyBorder="1" applyAlignment="1" applyProtection="1">
      <alignment horizontal="right" vertical="center" wrapText="1"/>
      <protection locked="0"/>
    </xf>
    <xf numFmtId="3" fontId="4" fillId="0" borderId="254" xfId="0" applyNumberFormat="1" applyFont="1" applyBorder="1" applyAlignment="1" applyProtection="1">
      <alignment horizontal="right" vertical="center" wrapText="1"/>
      <protection locked="0"/>
    </xf>
    <xf numFmtId="3" fontId="4" fillId="0" borderId="255" xfId="0" applyNumberFormat="1" applyFont="1" applyBorder="1" applyAlignment="1" applyProtection="1">
      <alignment horizontal="right" vertical="center" wrapText="1"/>
      <protection locked="0"/>
    </xf>
    <xf numFmtId="0" fontId="4" fillId="11" borderId="267" xfId="0" applyFont="1" applyFill="1" applyBorder="1" applyAlignment="1">
      <alignment horizontal="center" vertical="center" wrapText="1"/>
    </xf>
    <xf numFmtId="0" fontId="4" fillId="11" borderId="268" xfId="0" applyFont="1" applyFill="1" applyBorder="1" applyAlignment="1">
      <alignment horizontal="center" vertical="center" wrapText="1"/>
    </xf>
    <xf numFmtId="10" fontId="4" fillId="0" borderId="208" xfId="0" applyNumberFormat="1" applyFont="1" applyBorder="1" applyAlignment="1">
      <alignment horizontal="right" vertical="center" wrapText="1"/>
    </xf>
    <xf numFmtId="10" fontId="18" fillId="7" borderId="208" xfId="0" applyNumberFormat="1" applyFont="1" applyFill="1" applyBorder="1" applyAlignment="1">
      <alignment horizontal="right" vertical="center" wrapText="1"/>
    </xf>
    <xf numFmtId="3" fontId="18" fillId="5" borderId="254" xfId="0" applyNumberFormat="1" applyFont="1" applyFill="1" applyBorder="1" applyAlignment="1">
      <alignment horizontal="right" vertical="center" wrapText="1"/>
    </xf>
    <xf numFmtId="10" fontId="18" fillId="7" borderId="255" xfId="0" applyNumberFormat="1" applyFont="1" applyFill="1" applyBorder="1" applyAlignment="1">
      <alignment horizontal="right" vertical="center" wrapText="1"/>
    </xf>
    <xf numFmtId="3" fontId="18" fillId="2" borderId="254" xfId="0" applyNumberFormat="1" applyFont="1" applyFill="1" applyBorder="1" applyAlignment="1">
      <alignment horizontal="right" vertical="center" wrapText="1"/>
    </xf>
    <xf numFmtId="3" fontId="18" fillId="7" borderId="254" xfId="0" applyNumberFormat="1" applyFont="1" applyFill="1" applyBorder="1" applyAlignment="1">
      <alignment horizontal="right" vertical="center" wrapText="1"/>
    </xf>
    <xf numFmtId="3" fontId="18" fillId="5" borderId="208" xfId="0" applyNumberFormat="1" applyFont="1" applyFill="1" applyBorder="1" applyAlignment="1">
      <alignment horizontal="right" vertical="center" wrapText="1"/>
    </xf>
    <xf numFmtId="3" fontId="18" fillId="19" borderId="208" xfId="0" applyNumberFormat="1" applyFont="1" applyFill="1" applyBorder="1" applyAlignment="1">
      <alignment horizontal="right" vertical="center" wrapText="1"/>
    </xf>
    <xf numFmtId="10" fontId="18" fillId="7" borderId="254" xfId="0" applyNumberFormat="1" applyFont="1" applyFill="1" applyBorder="1" applyAlignment="1">
      <alignment horizontal="right" vertical="center" wrapText="1"/>
    </xf>
    <xf numFmtId="3" fontId="18" fillId="5" borderId="255" xfId="0" applyNumberFormat="1" applyFont="1" applyFill="1" applyBorder="1" applyAlignment="1">
      <alignment horizontal="right" vertical="center" wrapText="1"/>
    </xf>
    <xf numFmtId="0" fontId="4" fillId="11" borderId="280" xfId="0" applyFont="1" applyFill="1" applyBorder="1" applyAlignment="1">
      <alignment horizontal="center" vertical="center" wrapText="1"/>
    </xf>
    <xf numFmtId="3" fontId="4" fillId="20" borderId="208" xfId="0" applyNumberFormat="1" applyFont="1" applyFill="1" applyBorder="1" applyAlignment="1">
      <alignment horizontal="right" vertical="center" wrapText="1"/>
    </xf>
    <xf numFmtId="3" fontId="18" fillId="19" borderId="254" xfId="0" applyNumberFormat="1" applyFont="1" applyFill="1" applyBorder="1" applyAlignment="1">
      <alignment horizontal="right" vertical="center" wrapText="1"/>
    </xf>
    <xf numFmtId="3" fontId="18" fillId="19" borderId="255" xfId="0" applyNumberFormat="1" applyFont="1" applyFill="1" applyBorder="1" applyAlignment="1">
      <alignment horizontal="right" vertical="center" wrapText="1"/>
    </xf>
    <xf numFmtId="3" fontId="4" fillId="0" borderId="55" xfId="0" applyNumberFormat="1" applyFont="1" applyBorder="1" applyAlignment="1" applyProtection="1">
      <alignment horizontal="right" vertical="center" wrapText="1"/>
      <protection locked="0"/>
    </xf>
    <xf numFmtId="10" fontId="4" fillId="0" borderId="55" xfId="0" applyNumberFormat="1" applyFont="1" applyBorder="1" applyAlignment="1">
      <alignment horizontal="right" vertical="center" wrapText="1"/>
    </xf>
    <xf numFmtId="0" fontId="23" fillId="11" borderId="267" xfId="0" applyFont="1" applyFill="1" applyBorder="1" applyAlignment="1">
      <alignment horizontal="center" vertical="center" wrapText="1"/>
    </xf>
    <xf numFmtId="0" fontId="24" fillId="11" borderId="267" xfId="0" applyFont="1" applyFill="1" applyBorder="1" applyAlignment="1">
      <alignment horizontal="center" vertical="center" wrapText="1"/>
    </xf>
    <xf numFmtId="0" fontId="23" fillId="11" borderId="268" xfId="0" applyFont="1" applyFill="1" applyBorder="1" applyAlignment="1">
      <alignment horizontal="center" vertical="center" wrapText="1"/>
    </xf>
    <xf numFmtId="4" fontId="4" fillId="0" borderId="208" xfId="0" applyNumberFormat="1" applyFont="1" applyBorder="1" applyAlignment="1">
      <alignment horizontal="right" vertical="center" wrapText="1"/>
    </xf>
    <xf numFmtId="0" fontId="52" fillId="0" borderId="254" xfId="0" applyFont="1" applyBorder="1" applyAlignment="1" applyProtection="1">
      <alignment horizontal="center" vertical="center" wrapText="1"/>
      <protection locked="0"/>
    </xf>
    <xf numFmtId="4" fontId="4" fillId="0" borderId="254" xfId="0" applyNumberFormat="1" applyFont="1" applyBorder="1" applyAlignment="1" applyProtection="1">
      <alignment horizontal="right" vertical="center" wrapText="1"/>
      <protection locked="0"/>
    </xf>
    <xf numFmtId="3" fontId="4" fillId="0" borderId="255" xfId="0" applyNumberFormat="1" applyFont="1" applyBorder="1" applyAlignment="1">
      <alignment horizontal="right" vertical="center" wrapText="1"/>
    </xf>
    <xf numFmtId="10" fontId="4" fillId="0" borderId="208" xfId="0" applyNumberFormat="1" applyFont="1" applyBorder="1" applyAlignment="1">
      <alignment horizontal="center" vertical="center" wrapText="1"/>
    </xf>
    <xf numFmtId="10" fontId="4" fillId="0" borderId="255" xfId="0" applyNumberFormat="1" applyFont="1" applyBorder="1" applyAlignment="1">
      <alignment horizontal="center" vertical="center" wrapText="1"/>
    </xf>
    <xf numFmtId="0" fontId="47" fillId="0" borderId="4" xfId="0" applyFont="1" applyBorder="1" applyAlignment="1">
      <alignment vertical="center"/>
    </xf>
    <xf numFmtId="3" fontId="4" fillId="0" borderId="269" xfId="0" applyNumberFormat="1" applyFont="1" applyBorder="1" applyAlignment="1" applyProtection="1">
      <alignment horizontal="right" vertical="center" wrapText="1"/>
      <protection locked="0"/>
    </xf>
    <xf numFmtId="3" fontId="1" fillId="0" borderId="208" xfId="0" applyNumberFormat="1" applyFont="1" applyBorder="1" applyAlignment="1" applyProtection="1">
      <alignment horizontal="right" vertical="center" wrapText="1"/>
      <protection locked="0"/>
    </xf>
    <xf numFmtId="3" fontId="1" fillId="15" borderId="208" xfId="0" applyNumberFormat="1" applyFont="1" applyFill="1" applyBorder="1" applyAlignment="1">
      <alignment horizontal="right" vertical="center" wrapText="1"/>
    </xf>
    <xf numFmtId="0" fontId="16" fillId="6" borderId="254" xfId="0" applyFont="1" applyFill="1" applyBorder="1" applyAlignment="1">
      <alignment horizontal="center" vertical="center" wrapText="1"/>
    </xf>
    <xf numFmtId="3" fontId="16" fillId="6" borderId="254" xfId="0" applyNumberFormat="1" applyFont="1" applyFill="1" applyBorder="1" applyAlignment="1">
      <alignment horizontal="right" vertical="center" wrapText="1"/>
    </xf>
    <xf numFmtId="3" fontId="16" fillId="6" borderId="255" xfId="0" applyNumberFormat="1" applyFont="1" applyFill="1" applyBorder="1" applyAlignment="1">
      <alignment horizontal="right" vertical="center" wrapText="1"/>
    </xf>
    <xf numFmtId="3" fontId="18" fillId="0" borderId="208" xfId="0" applyNumberFormat="1" applyFont="1" applyBorder="1" applyAlignment="1">
      <alignment horizontal="right" vertical="center" wrapText="1"/>
    </xf>
    <xf numFmtId="3" fontId="18" fillId="0" borderId="254" xfId="0" applyNumberFormat="1" applyFont="1" applyBorder="1" applyAlignment="1" applyProtection="1">
      <alignment horizontal="right" vertical="center" wrapText="1"/>
      <protection locked="0"/>
    </xf>
    <xf numFmtId="3" fontId="18" fillId="0" borderId="255" xfId="0" applyNumberFormat="1" applyFont="1" applyBorder="1" applyAlignment="1">
      <alignment horizontal="right" vertical="center" wrapText="1"/>
    </xf>
    <xf numFmtId="0" fontId="4" fillId="0" borderId="208" xfId="0" applyFont="1" applyBorder="1" applyAlignment="1" applyProtection="1">
      <alignment horizontal="center" vertical="center" wrapText="1"/>
      <protection locked="0"/>
    </xf>
    <xf numFmtId="0" fontId="25" fillId="6" borderId="254" xfId="0" applyFont="1" applyFill="1" applyBorder="1" applyAlignment="1" applyProtection="1">
      <alignment horizontal="center" vertical="center" wrapText="1"/>
      <protection locked="0"/>
    </xf>
    <xf numFmtId="3" fontId="25" fillId="6" borderId="254" xfId="0" applyNumberFormat="1" applyFont="1" applyFill="1" applyBorder="1" applyAlignment="1">
      <alignment horizontal="right" vertical="center" wrapText="1"/>
    </xf>
    <xf numFmtId="3" fontId="18" fillId="6" borderId="254" xfId="0" applyNumberFormat="1" applyFont="1" applyFill="1" applyBorder="1" applyAlignment="1">
      <alignment horizontal="right" vertical="center" wrapText="1"/>
    </xf>
    <xf numFmtId="10" fontId="18" fillId="6" borderId="254" xfId="0" applyNumberFormat="1" applyFont="1" applyFill="1" applyBorder="1" applyAlignment="1">
      <alignment horizontal="right" vertical="center" wrapText="1"/>
    </xf>
    <xf numFmtId="3" fontId="25" fillId="6" borderId="255" xfId="0" applyNumberFormat="1" applyFont="1" applyFill="1" applyBorder="1" applyAlignment="1">
      <alignment horizontal="right" vertical="center" wrapText="1"/>
    </xf>
    <xf numFmtId="10" fontId="4" fillId="0" borderId="0" xfId="0" applyNumberFormat="1" applyFont="1" applyAlignment="1">
      <alignment horizontal="right" vertical="center" wrapText="1"/>
    </xf>
    <xf numFmtId="0" fontId="18" fillId="5" borderId="254" xfId="0" applyFont="1" applyFill="1" applyBorder="1" applyAlignment="1" applyProtection="1">
      <alignment horizontal="center" vertical="center" wrapText="1"/>
      <protection locked="0"/>
    </xf>
    <xf numFmtId="164" fontId="18" fillId="5" borderId="255" xfId="0" applyNumberFormat="1" applyFont="1" applyFill="1" applyBorder="1" applyAlignment="1">
      <alignment horizontal="right" vertical="center" wrapText="1"/>
    </xf>
    <xf numFmtId="0" fontId="4" fillId="16" borderId="282" xfId="0" applyFont="1" applyFill="1" applyBorder="1" applyAlignment="1">
      <alignment vertical="center" wrapText="1"/>
    </xf>
    <xf numFmtId="0" fontId="4" fillId="16" borderId="8" xfId="0" applyFont="1" applyFill="1" applyBorder="1" applyAlignment="1">
      <alignment vertical="center" wrapText="1"/>
    </xf>
    <xf numFmtId="0" fontId="4" fillId="16" borderId="285" xfId="0" applyFont="1" applyFill="1" applyBorder="1" applyAlignment="1">
      <alignment vertical="center" wrapText="1"/>
    </xf>
    <xf numFmtId="0" fontId="4" fillId="16" borderId="15" xfId="0" applyFont="1" applyFill="1" applyBorder="1" applyAlignment="1">
      <alignment vertical="center" wrapText="1"/>
    </xf>
    <xf numFmtId="0" fontId="4" fillId="16" borderId="16" xfId="0" applyFont="1" applyFill="1" applyBorder="1" applyAlignment="1">
      <alignment vertical="center" wrapText="1"/>
    </xf>
    <xf numFmtId="3" fontId="18" fillId="0" borderId="208" xfId="0" applyNumberFormat="1" applyFont="1" applyBorder="1" applyAlignment="1" applyProtection="1">
      <alignment horizontal="right" vertical="center" wrapText="1"/>
      <protection locked="0"/>
    </xf>
    <xf numFmtId="3" fontId="18" fillId="0" borderId="255" xfId="0" applyNumberFormat="1" applyFont="1" applyBorder="1" applyAlignment="1" applyProtection="1">
      <alignment horizontal="right" vertical="center" wrapText="1"/>
      <protection locked="0"/>
    </xf>
    <xf numFmtId="0" fontId="4" fillId="2" borderId="208" xfId="0" applyFont="1" applyFill="1" applyBorder="1" applyAlignment="1">
      <alignment horizontal="center" vertical="center" wrapText="1"/>
    </xf>
    <xf numFmtId="3" fontId="18" fillId="2" borderId="254" xfId="0" applyNumberFormat="1" applyFont="1" applyFill="1" applyBorder="1" applyAlignment="1" applyProtection="1">
      <alignment horizontal="right" vertical="center" wrapText="1"/>
      <protection locked="0"/>
    </xf>
    <xf numFmtId="3" fontId="18" fillId="2" borderId="255" xfId="0" applyNumberFormat="1" applyFont="1" applyFill="1" applyBorder="1" applyAlignment="1" applyProtection="1">
      <alignment horizontal="right" vertical="center" wrapText="1"/>
      <protection locked="0"/>
    </xf>
    <xf numFmtId="3" fontId="18" fillId="2" borderId="255" xfId="0" applyNumberFormat="1" applyFont="1" applyFill="1" applyBorder="1" applyAlignment="1">
      <alignment horizontal="right" vertical="center" wrapText="1"/>
    </xf>
    <xf numFmtId="3" fontId="18" fillId="5" borderId="208" xfId="0" applyNumberFormat="1" applyFont="1" applyFill="1" applyBorder="1" applyAlignment="1">
      <alignment vertical="center" wrapText="1"/>
    </xf>
    <xf numFmtId="3" fontId="18" fillId="2" borderId="208" xfId="0" applyNumberFormat="1" applyFont="1" applyFill="1" applyBorder="1" applyAlignment="1">
      <alignment horizontal="right" vertical="center" wrapText="1"/>
    </xf>
    <xf numFmtId="3" fontId="25" fillId="6" borderId="208" xfId="0" applyNumberFormat="1" applyFont="1" applyFill="1" applyBorder="1" applyAlignment="1">
      <alignment horizontal="right" vertical="center" wrapText="1"/>
    </xf>
    <xf numFmtId="3" fontId="4" fillId="0" borderId="254" xfId="0" applyNumberFormat="1" applyFont="1" applyBorder="1" applyAlignment="1">
      <alignment horizontal="right" vertical="center" wrapText="1"/>
    </xf>
    <xf numFmtId="10" fontId="4" fillId="0" borderId="254" xfId="0" applyNumberFormat="1" applyFont="1" applyBorder="1" applyAlignment="1">
      <alignment horizontal="right" vertical="center" wrapText="1"/>
    </xf>
    <xf numFmtId="10" fontId="18" fillId="6" borderId="255" xfId="0" applyNumberFormat="1" applyFont="1" applyFill="1" applyBorder="1" applyAlignment="1">
      <alignment horizontal="right" vertical="center" wrapText="1"/>
    </xf>
    <xf numFmtId="10" fontId="4" fillId="7" borderId="208" xfId="0" applyNumberFormat="1" applyFont="1" applyFill="1" applyBorder="1" applyAlignment="1">
      <alignment horizontal="right" vertical="center" wrapText="1"/>
    </xf>
    <xf numFmtId="3" fontId="25" fillId="9" borderId="254" xfId="0" applyNumberFormat="1" applyFont="1" applyFill="1" applyBorder="1" applyAlignment="1">
      <alignment horizontal="right" vertical="center" wrapText="1"/>
    </xf>
    <xf numFmtId="10" fontId="4" fillId="0" borderId="269" xfId="0" applyNumberFormat="1" applyFont="1" applyBorder="1" applyAlignment="1">
      <alignment horizontal="right" vertical="center" wrapText="1"/>
    </xf>
    <xf numFmtId="0" fontId="23" fillId="11" borderId="291" xfId="0" applyFont="1" applyFill="1" applyBorder="1" applyAlignment="1">
      <alignment horizontal="center" vertical="center" wrapText="1"/>
    </xf>
    <xf numFmtId="0" fontId="23" fillId="11" borderId="292" xfId="0" applyFont="1" applyFill="1" applyBorder="1" applyAlignment="1">
      <alignment horizontal="center" vertical="center" wrapText="1"/>
    </xf>
    <xf numFmtId="0" fontId="24" fillId="11" borderId="268" xfId="0" applyFont="1" applyFill="1" applyBorder="1" applyAlignment="1">
      <alignment horizontal="center" vertical="center" wrapText="1"/>
    </xf>
    <xf numFmtId="0" fontId="26" fillId="0" borderId="252" xfId="0" applyFont="1" applyBorder="1" applyAlignment="1">
      <alignment horizontal="center" vertical="center" wrapText="1"/>
    </xf>
    <xf numFmtId="3" fontId="32" fillId="0" borderId="208" xfId="0" applyNumberFormat="1" applyFont="1" applyBorder="1" applyAlignment="1">
      <alignment horizontal="right" vertical="center" wrapText="1"/>
    </xf>
    <xf numFmtId="3" fontId="20" fillId="0" borderId="254" xfId="0" applyNumberFormat="1" applyFont="1" applyBorder="1" applyAlignment="1" applyProtection="1">
      <alignment horizontal="center" vertical="center" wrapText="1"/>
      <protection locked="0"/>
    </xf>
    <xf numFmtId="3" fontId="32" fillId="0" borderId="254" xfId="0" applyNumberFormat="1" applyFont="1" applyBorder="1" applyAlignment="1">
      <alignment horizontal="center" vertical="center" wrapText="1"/>
    </xf>
    <xf numFmtId="3" fontId="20" fillId="0" borderId="254" xfId="0" applyNumberFormat="1" applyFont="1" applyBorder="1" applyAlignment="1" applyProtection="1">
      <alignment horizontal="right" vertical="center" wrapText="1"/>
      <protection locked="0"/>
    </xf>
    <xf numFmtId="3" fontId="20" fillId="0" borderId="254" xfId="0" applyNumberFormat="1" applyFont="1" applyBorder="1" applyAlignment="1">
      <alignment horizontal="right" vertical="center" wrapText="1"/>
    </xf>
    <xf numFmtId="3" fontId="32" fillId="0" borderId="255" xfId="0" applyNumberFormat="1" applyFont="1" applyBorder="1" applyAlignment="1">
      <alignment horizontal="right" vertical="center" wrapText="1"/>
    </xf>
    <xf numFmtId="0" fontId="16" fillId="7" borderId="294" xfId="0" applyFont="1" applyFill="1" applyBorder="1" applyAlignment="1">
      <alignment horizontal="center" vertical="center" wrapText="1"/>
    </xf>
    <xf numFmtId="0" fontId="16" fillId="7" borderId="295" xfId="0" applyFont="1" applyFill="1" applyBorder="1" applyAlignment="1">
      <alignment horizontal="center" vertical="center" wrapText="1"/>
    </xf>
    <xf numFmtId="0" fontId="16" fillId="7" borderId="296" xfId="0" applyFont="1" applyFill="1" applyBorder="1" applyAlignment="1">
      <alignment horizontal="center" vertical="center" wrapText="1"/>
    </xf>
    <xf numFmtId="0" fontId="16" fillId="7" borderId="283" xfId="0" applyFont="1" applyFill="1" applyBorder="1" applyAlignment="1">
      <alignment horizontal="center" vertical="center" wrapText="1"/>
    </xf>
    <xf numFmtId="3" fontId="20" fillId="0" borderId="267" xfId="0" applyNumberFormat="1" applyFont="1" applyBorder="1" applyAlignment="1" applyProtection="1">
      <alignment horizontal="center" vertical="center" wrapText="1"/>
      <protection locked="0"/>
    </xf>
    <xf numFmtId="3" fontId="32" fillId="0" borderId="267" xfId="0" applyNumberFormat="1" applyFont="1" applyBorder="1" applyAlignment="1">
      <alignment horizontal="center" vertical="center" wrapText="1"/>
    </xf>
    <xf numFmtId="3" fontId="20" fillId="0" borderId="267" xfId="0" applyNumberFormat="1" applyFont="1" applyBorder="1" applyAlignment="1" applyProtection="1">
      <alignment horizontal="right" vertical="center" wrapText="1"/>
      <protection locked="0"/>
    </xf>
    <xf numFmtId="3" fontId="20" fillId="0" borderId="268" xfId="0" applyNumberFormat="1" applyFont="1" applyBorder="1" applyAlignment="1" applyProtection="1">
      <alignment horizontal="right" vertical="center" wrapText="1"/>
      <protection locked="0"/>
    </xf>
    <xf numFmtId="0" fontId="16" fillId="7" borderId="207" xfId="0" applyFont="1" applyFill="1" applyBorder="1" applyAlignment="1">
      <alignment horizontal="center" vertical="center" wrapText="1"/>
    </xf>
    <xf numFmtId="3" fontId="20" fillId="0" borderId="208" xfId="0" applyNumberFormat="1" applyFont="1" applyBorder="1" applyAlignment="1" applyProtection="1">
      <alignment horizontal="right" vertical="center" wrapText="1"/>
      <protection locked="0"/>
    </xf>
    <xf numFmtId="3" fontId="32" fillId="0" borderId="208" xfId="0" applyNumberFormat="1" applyFont="1" applyBorder="1" applyAlignment="1">
      <alignment horizontal="center" vertical="center" wrapText="1"/>
    </xf>
    <xf numFmtId="0" fontId="16" fillId="7" borderId="253" xfId="0" applyFont="1" applyFill="1" applyBorder="1" applyAlignment="1">
      <alignment horizontal="center" vertical="center" wrapText="1"/>
    </xf>
    <xf numFmtId="0" fontId="2" fillId="0" borderId="208" xfId="0" applyFont="1" applyBorder="1" applyAlignment="1" applyProtection="1">
      <alignment horizontal="center" vertical="center"/>
      <protection locked="0"/>
    </xf>
    <xf numFmtId="3" fontId="16" fillId="0" borderId="254" xfId="0" applyNumberFormat="1" applyFont="1" applyBorder="1" applyAlignment="1">
      <alignment horizontal="right" vertical="center" wrapText="1"/>
    </xf>
    <xf numFmtId="0" fontId="16" fillId="0" borderId="255" xfId="0" applyFont="1" applyBorder="1" applyAlignment="1">
      <alignment horizontal="center" vertical="center" wrapText="1"/>
    </xf>
    <xf numFmtId="10" fontId="23" fillId="0" borderId="208" xfId="0" applyNumberFormat="1" applyFont="1" applyBorder="1" applyAlignment="1">
      <alignment horizontal="right" vertical="center" wrapText="1"/>
    </xf>
    <xf numFmtId="10" fontId="25" fillId="7" borderId="208" xfId="0" applyNumberFormat="1" applyFont="1" applyFill="1" applyBorder="1" applyAlignment="1">
      <alignment horizontal="right" vertical="center" wrapText="1"/>
    </xf>
    <xf numFmtId="10" fontId="25" fillId="9" borderId="255" xfId="0" applyNumberFormat="1" applyFont="1" applyFill="1" applyBorder="1" applyAlignment="1">
      <alignment horizontal="right" vertical="center" wrapText="1"/>
    </xf>
    <xf numFmtId="0" fontId="53" fillId="0" borderId="0" xfId="0" applyFont="1" applyAlignment="1">
      <alignment vertical="center"/>
    </xf>
    <xf numFmtId="10" fontId="25" fillId="7" borderId="255" xfId="0" applyNumberFormat="1" applyFont="1" applyFill="1" applyBorder="1" applyAlignment="1">
      <alignment horizontal="right" vertical="center" wrapText="1"/>
    </xf>
    <xf numFmtId="3" fontId="24" fillId="0" borderId="208" xfId="0" applyNumberFormat="1" applyFont="1" applyBorder="1" applyAlignment="1" applyProtection="1">
      <alignment horizontal="right" vertical="center" wrapText="1"/>
      <protection locked="0"/>
    </xf>
    <xf numFmtId="3" fontId="16" fillId="0" borderId="208" xfId="0" applyNumberFormat="1" applyFont="1" applyBorder="1" applyAlignment="1" applyProtection="1">
      <alignment horizontal="right" vertical="center" wrapText="1"/>
      <protection locked="0"/>
    </xf>
    <xf numFmtId="3" fontId="16" fillId="5" borderId="254" xfId="0" applyNumberFormat="1" applyFont="1" applyFill="1" applyBorder="1" applyAlignment="1">
      <alignment horizontal="right" vertical="center" wrapText="1"/>
    </xf>
    <xf numFmtId="3" fontId="16" fillId="5" borderId="255" xfId="0" applyNumberFormat="1" applyFont="1" applyFill="1" applyBorder="1" applyAlignment="1">
      <alignment horizontal="right" vertical="center" wrapText="1"/>
    </xf>
    <xf numFmtId="10" fontId="20" fillId="0" borderId="208" xfId="0" applyNumberFormat="1" applyFont="1" applyBorder="1" applyAlignment="1">
      <alignment horizontal="center" vertical="center" wrapText="1"/>
    </xf>
    <xf numFmtId="10" fontId="20" fillId="22" borderId="208" xfId="0" applyNumberFormat="1" applyFont="1" applyFill="1" applyBorder="1" applyAlignment="1">
      <alignment horizontal="center" vertical="center" wrapText="1"/>
    </xf>
    <xf numFmtId="10" fontId="34" fillId="4" borderId="208" xfId="0" applyNumberFormat="1" applyFont="1" applyFill="1" applyBorder="1" applyAlignment="1">
      <alignment horizontal="right" vertical="center" wrapText="1"/>
    </xf>
    <xf numFmtId="10" fontId="32" fillId="4" borderId="208" xfId="0" applyNumberFormat="1" applyFont="1" applyFill="1" applyBorder="1" applyAlignment="1">
      <alignment horizontal="right" vertical="center" wrapText="1"/>
    </xf>
    <xf numFmtId="0" fontId="24" fillId="0" borderId="4" xfId="0" applyFont="1" applyBorder="1" applyAlignment="1">
      <alignment horizontal="left" vertical="center" wrapText="1" indent="1"/>
    </xf>
    <xf numFmtId="10" fontId="32" fillId="0" borderId="208" xfId="0" applyNumberFormat="1" applyFont="1" applyBorder="1" applyAlignment="1">
      <alignment horizontal="right" vertical="center" wrapText="1"/>
    </xf>
    <xf numFmtId="3" fontId="32" fillId="4" borderId="254" xfId="0" applyNumberFormat="1" applyFont="1" applyFill="1" applyBorder="1" applyAlignment="1">
      <alignment horizontal="right" vertical="center" wrapText="1"/>
    </xf>
    <xf numFmtId="10" fontId="32" fillId="4" borderId="255" xfId="0" applyNumberFormat="1" applyFont="1" applyFill="1" applyBorder="1" applyAlignment="1">
      <alignment horizontal="right" vertical="center" wrapText="1"/>
    </xf>
    <xf numFmtId="0" fontId="18" fillId="11" borderId="1" xfId="0" applyFont="1" applyFill="1" applyBorder="1"/>
    <xf numFmtId="0" fontId="13" fillId="11" borderId="2" xfId="0" applyFont="1" applyFill="1" applyBorder="1"/>
    <xf numFmtId="0" fontId="13" fillId="11" borderId="306" xfId="0" applyFont="1" applyFill="1" applyBorder="1" applyAlignment="1" applyProtection="1">
      <alignment horizontal="left"/>
      <protection locked="0"/>
    </xf>
    <xf numFmtId="0" fontId="13" fillId="11" borderId="3" xfId="0" applyFont="1" applyFill="1" applyBorder="1"/>
    <xf numFmtId="0" fontId="13" fillId="11" borderId="4" xfId="0" applyFont="1" applyFill="1" applyBorder="1"/>
    <xf numFmtId="0" fontId="13" fillId="11" borderId="8" xfId="0" applyFont="1" applyFill="1" applyBorder="1"/>
    <xf numFmtId="0" fontId="18" fillId="11" borderId="4" xfId="0" applyFont="1" applyFill="1" applyBorder="1"/>
    <xf numFmtId="0" fontId="13" fillId="11" borderId="307" xfId="0" applyFont="1" applyFill="1" applyBorder="1"/>
    <xf numFmtId="0" fontId="13" fillId="11" borderId="308" xfId="0" applyFont="1" applyFill="1" applyBorder="1"/>
    <xf numFmtId="0" fontId="18" fillId="9" borderId="309" xfId="0" applyFont="1" applyFill="1" applyBorder="1" applyAlignment="1">
      <alignment horizontal="left" vertical="center" indent="1"/>
    </xf>
    <xf numFmtId="0" fontId="18" fillId="9" borderId="204" xfId="0" applyFont="1" applyFill="1" applyBorder="1" applyAlignment="1">
      <alignment vertical="center"/>
    </xf>
    <xf numFmtId="0" fontId="4" fillId="0" borderId="310" xfId="0" applyFont="1" applyBorder="1" applyAlignment="1">
      <alignment horizontal="left" indent="1"/>
    </xf>
    <xf numFmtId="0" fontId="4" fillId="0" borderId="311" xfId="0" applyFont="1" applyBorder="1" applyAlignment="1">
      <alignment horizontal="left" indent="1"/>
    </xf>
    <xf numFmtId="0" fontId="18" fillId="0" borderId="4" xfId="0" applyFont="1" applyBorder="1" applyAlignment="1">
      <alignment horizontal="left" indent="1"/>
    </xf>
    <xf numFmtId="0" fontId="4" fillId="0" borderId="8" xfId="0" applyFont="1" applyBorder="1" applyAlignment="1">
      <alignment horizontal="left" indent="1"/>
    </xf>
    <xf numFmtId="0" fontId="4" fillId="0" borderId="4" xfId="0" applyFont="1" applyBorder="1" applyAlignment="1">
      <alignment horizontal="left" indent="1"/>
    </xf>
    <xf numFmtId="0" fontId="4" fillId="0" borderId="8" xfId="0" applyFont="1" applyBorder="1"/>
    <xf numFmtId="0" fontId="79" fillId="0" borderId="4" xfId="0" applyFont="1" applyBorder="1" applyAlignment="1">
      <alignment horizontal="left" indent="1"/>
    </xf>
    <xf numFmtId="0" fontId="4" fillId="0" borderId="14" xfId="0" applyFont="1" applyBorder="1"/>
    <xf numFmtId="0" fontId="4" fillId="0" borderId="15" xfId="0" applyFont="1" applyBorder="1"/>
    <xf numFmtId="0" fontId="4" fillId="0" borderId="16" xfId="0" applyFont="1" applyBorder="1"/>
    <xf numFmtId="0" fontId="1" fillId="7" borderId="283" xfId="0" applyFont="1" applyFill="1" applyBorder="1" applyAlignment="1">
      <alignment horizontal="center" vertical="center"/>
    </xf>
    <xf numFmtId="0" fontId="1" fillId="7" borderId="207" xfId="0" applyFont="1" applyFill="1" applyBorder="1" applyAlignment="1">
      <alignment horizontal="center" vertical="center"/>
    </xf>
    <xf numFmtId="0" fontId="3" fillId="0" borderId="55" xfId="0" applyFont="1" applyBorder="1" applyAlignment="1" applyProtection="1">
      <alignment horizontal="center" vertical="center"/>
      <protection locked="0"/>
    </xf>
    <xf numFmtId="0" fontId="3" fillId="0" borderId="155" xfId="0" applyFont="1" applyBorder="1" applyAlignment="1" applyProtection="1">
      <alignment horizontal="center" vertical="center"/>
      <protection locked="0"/>
    </xf>
    <xf numFmtId="0" fontId="18" fillId="11" borderId="256" xfId="0" applyFont="1" applyFill="1" applyBorder="1" applyAlignment="1">
      <alignment horizontal="center" vertical="center"/>
    </xf>
    <xf numFmtId="0" fontId="3" fillId="11" borderId="246" xfId="0" applyFont="1" applyFill="1" applyBorder="1" applyAlignment="1">
      <alignment horizontal="center" vertical="center"/>
    </xf>
    <xf numFmtId="0" fontId="3" fillId="11" borderId="268" xfId="0" applyFont="1" applyFill="1" applyBorder="1" applyAlignment="1">
      <alignment horizontal="center" vertical="center"/>
    </xf>
    <xf numFmtId="0" fontId="3" fillId="0" borderId="207" xfId="0" applyFont="1" applyBorder="1" applyAlignment="1">
      <alignment horizontal="left" vertical="center"/>
    </xf>
    <xf numFmtId="0" fontId="3" fillId="0" borderId="210" xfId="0" applyFont="1" applyBorder="1" applyAlignment="1" applyProtection="1">
      <alignment horizontal="center" vertical="center"/>
      <protection locked="0"/>
    </xf>
    <xf numFmtId="0" fontId="3" fillId="0" borderId="208" xfId="0" applyFont="1" applyBorder="1" applyAlignment="1" applyProtection="1">
      <alignment horizontal="center" vertical="center"/>
      <protection locked="0"/>
    </xf>
    <xf numFmtId="0" fontId="3" fillId="0" borderId="208" xfId="0" applyFont="1" applyBorder="1" applyAlignment="1" applyProtection="1">
      <alignment horizontal="center" vertical="center" wrapText="1"/>
      <protection locked="0"/>
    </xf>
    <xf numFmtId="0" fontId="3" fillId="0" borderId="254" xfId="0" applyFont="1" applyBorder="1" applyAlignment="1" applyProtection="1">
      <alignment horizontal="center" vertical="center"/>
      <protection locked="0"/>
    </xf>
    <xf numFmtId="0" fontId="3" fillId="0" borderId="255" xfId="0" applyFont="1" applyBorder="1" applyAlignment="1" applyProtection="1">
      <alignment horizontal="center" vertical="center"/>
      <protection locked="0"/>
    </xf>
    <xf numFmtId="0" fontId="18" fillId="11" borderId="318" xfId="0" applyFont="1" applyFill="1" applyBorder="1" applyAlignment="1">
      <alignment horizontal="center" vertical="center"/>
    </xf>
    <xf numFmtId="1" fontId="24" fillId="0" borderId="319" xfId="0" applyNumberFormat="1" applyFont="1" applyBorder="1" applyAlignment="1">
      <alignment horizontal="center" vertical="center"/>
    </xf>
    <xf numFmtId="10" fontId="1" fillId="0" borderId="320" xfId="0" applyNumberFormat="1" applyFont="1" applyBorder="1" applyAlignment="1">
      <alignment horizontal="right" vertical="center"/>
    </xf>
    <xf numFmtId="0" fontId="0" fillId="0" borderId="321" xfId="0" applyBorder="1"/>
    <xf numFmtId="10" fontId="1" fillId="0" borderId="322" xfId="0" applyNumberFormat="1" applyFont="1" applyBorder="1" applyAlignment="1">
      <alignment horizontal="right" vertical="center"/>
    </xf>
    <xf numFmtId="3" fontId="64" fillId="7" borderId="324" xfId="0" applyNumberFormat="1" applyFont="1" applyFill="1" applyBorder="1" applyAlignment="1">
      <alignment vertical="center"/>
    </xf>
    <xf numFmtId="3" fontId="64" fillId="7" borderId="325" xfId="0" applyNumberFormat="1" applyFont="1" applyFill="1" applyBorder="1" applyAlignment="1">
      <alignment vertical="center"/>
    </xf>
    <xf numFmtId="0" fontId="13" fillId="11" borderId="221" xfId="0" applyFont="1" applyFill="1" applyBorder="1" applyAlignment="1">
      <alignment horizontal="center" vertical="center"/>
    </xf>
    <xf numFmtId="0" fontId="13" fillId="11" borderId="222" xfId="0" applyFont="1" applyFill="1" applyBorder="1" applyAlignment="1">
      <alignment horizontal="center" vertical="center"/>
    </xf>
    <xf numFmtId="0" fontId="0" fillId="0" borderId="310" xfId="0" applyBorder="1" applyAlignment="1">
      <alignment vertical="center"/>
    </xf>
    <xf numFmtId="3" fontId="47" fillId="0" borderId="240" xfId="0" applyNumberFormat="1" applyFont="1" applyBorder="1" applyAlignment="1" applyProtection="1">
      <alignment vertical="center"/>
      <protection locked="0"/>
    </xf>
    <xf numFmtId="0" fontId="0" fillId="0" borderId="4" xfId="0" applyBorder="1" applyAlignment="1">
      <alignment vertical="center"/>
    </xf>
    <xf numFmtId="3" fontId="47" fillId="0" borderId="326" xfId="0" applyNumberFormat="1" applyFont="1" applyBorder="1" applyAlignment="1" applyProtection="1">
      <alignment vertical="center"/>
      <protection locked="0"/>
    </xf>
    <xf numFmtId="3" fontId="47" fillId="0" borderId="327" xfId="0" applyNumberFormat="1" applyFont="1" applyBorder="1" applyAlignment="1" applyProtection="1">
      <alignment vertical="center"/>
      <protection locked="0"/>
    </xf>
    <xf numFmtId="0" fontId="60" fillId="0" borderId="4" xfId="0" applyFont="1" applyBorder="1" applyAlignment="1">
      <alignment horizontal="left" vertical="center"/>
    </xf>
    <xf numFmtId="3" fontId="3" fillId="0" borderId="328" xfId="0" applyNumberFormat="1" applyFont="1" applyBorder="1" applyAlignment="1">
      <alignment vertical="center"/>
    </xf>
    <xf numFmtId="3" fontId="3" fillId="0" borderId="328" xfId="0" applyNumberFormat="1" applyFont="1" applyBorder="1" applyAlignment="1" applyProtection="1">
      <alignment vertical="center"/>
      <protection locked="0"/>
    </xf>
    <xf numFmtId="3" fontId="47" fillId="0" borderId="329" xfId="0" applyNumberFormat="1" applyFont="1" applyBorder="1" applyAlignment="1" applyProtection="1">
      <alignment vertical="center"/>
      <protection locked="0"/>
    </xf>
    <xf numFmtId="0" fontId="23" fillId="0" borderId="4" xfId="0" applyFont="1" applyBorder="1" applyAlignment="1">
      <alignment horizontal="left" vertical="center"/>
    </xf>
    <xf numFmtId="0" fontId="60" fillId="0" borderId="14" xfId="0" applyFont="1" applyBorder="1" applyAlignment="1">
      <alignment horizontal="left" vertical="center"/>
    </xf>
    <xf numFmtId="0" fontId="0" fillId="0" borderId="242" xfId="0" applyBorder="1" applyAlignment="1">
      <alignment horizontal="left" vertical="center" indent="1"/>
    </xf>
    <xf numFmtId="0" fontId="60" fillId="0" borderId="15" xfId="0" applyFont="1" applyBorder="1" applyAlignment="1">
      <alignment horizontal="left" vertical="center" indent="1"/>
    </xf>
    <xf numFmtId="0" fontId="47" fillId="0" borderId="15" xfId="0" applyFont="1" applyBorder="1" applyAlignment="1">
      <alignment horizontal="left" vertical="center" indent="1"/>
    </xf>
    <xf numFmtId="0" fontId="47" fillId="0" borderId="243" xfId="0" applyFont="1" applyBorder="1" applyAlignment="1">
      <alignment vertical="center"/>
    </xf>
    <xf numFmtId="3" fontId="3" fillId="0" borderId="330" xfId="0" applyNumberFormat="1" applyFont="1" applyBorder="1" applyAlignment="1">
      <alignment vertical="center"/>
    </xf>
    <xf numFmtId="3" fontId="3" fillId="0" borderId="331" xfId="0" applyNumberFormat="1" applyFont="1" applyBorder="1" applyAlignment="1">
      <alignment vertical="center"/>
    </xf>
    <xf numFmtId="0" fontId="27" fillId="11" borderId="221" xfId="0" applyFont="1" applyFill="1" applyBorder="1" applyAlignment="1">
      <alignment horizontal="center" vertical="center"/>
    </xf>
    <xf numFmtId="0" fontId="27" fillId="11" borderId="222" xfId="0" applyFont="1" applyFill="1" applyBorder="1" applyAlignment="1">
      <alignment horizontal="center" vertical="center"/>
    </xf>
    <xf numFmtId="1" fontId="22" fillId="0" borderId="310" xfId="0" applyNumberFormat="1" applyFont="1" applyBorder="1" applyAlignment="1">
      <alignment horizontal="center" vertical="center"/>
    </xf>
    <xf numFmtId="165" fontId="23" fillId="0" borderId="332" xfId="0" applyNumberFormat="1" applyFont="1" applyBorder="1" applyAlignment="1" applyProtection="1">
      <alignment vertical="center"/>
      <protection locked="0"/>
    </xf>
    <xf numFmtId="1" fontId="22" fillId="0" borderId="4" xfId="0" applyNumberFormat="1" applyFont="1" applyBorder="1" applyAlignment="1">
      <alignment horizontal="center" vertical="center"/>
    </xf>
    <xf numFmtId="165" fontId="23" fillId="0" borderId="333" xfId="0" applyNumberFormat="1" applyFont="1" applyBorder="1" applyAlignment="1" applyProtection="1">
      <alignment vertical="center"/>
      <protection locked="0"/>
    </xf>
    <xf numFmtId="1" fontId="66" fillId="0" borderId="14" xfId="0" applyNumberFormat="1" applyFont="1" applyBorder="1" applyAlignment="1">
      <alignment horizontal="center" vertical="center"/>
    </xf>
    <xf numFmtId="0" fontId="60" fillId="0" borderId="242" xfId="0" applyFont="1" applyBorder="1" applyAlignment="1">
      <alignment vertical="center"/>
    </xf>
    <xf numFmtId="0" fontId="60" fillId="0" borderId="15" xfId="0" applyFont="1" applyBorder="1" applyAlignment="1">
      <alignment vertical="center"/>
    </xf>
    <xf numFmtId="0" fontId="60" fillId="0" borderId="243" xfId="0" applyFont="1" applyBorder="1" applyAlignment="1">
      <alignment vertical="center"/>
    </xf>
    <xf numFmtId="165" fontId="25" fillId="10" borderId="231" xfId="0" applyNumberFormat="1" applyFont="1" applyFill="1" applyBorder="1" applyAlignment="1">
      <alignment vertical="center"/>
    </xf>
    <xf numFmtId="165" fontId="25" fillId="10" borderId="232" xfId="0" applyNumberFormat="1" applyFont="1" applyFill="1" applyBorder="1" applyAlignment="1">
      <alignment vertical="center"/>
    </xf>
    <xf numFmtId="0" fontId="24" fillId="0" borderId="4" xfId="0" applyFont="1" applyBorder="1" applyAlignment="1">
      <alignment vertical="center" wrapText="1"/>
    </xf>
    <xf numFmtId="0" fontId="2" fillId="0" borderId="4" xfId="0" applyFont="1" applyBorder="1"/>
    <xf numFmtId="0" fontId="24" fillId="0" borderId="8" xfId="0" applyFont="1" applyBorder="1" applyAlignment="1">
      <alignment vertical="center" wrapText="1"/>
    </xf>
    <xf numFmtId="0" fontId="26" fillId="4" borderId="207" xfId="0" applyFont="1" applyFill="1" applyBorder="1" applyAlignment="1">
      <alignment horizontal="left" vertical="center" wrapText="1" indent="1"/>
    </xf>
    <xf numFmtId="0" fontId="24" fillId="0" borderId="207" xfId="0" applyFont="1" applyBorder="1" applyAlignment="1">
      <alignment horizontal="left" vertical="center" wrapText="1" indent="1"/>
    </xf>
    <xf numFmtId="0" fontId="24" fillId="0" borderId="253" xfId="0" applyFont="1" applyBorder="1" applyAlignment="1">
      <alignment horizontal="left" vertical="center" indent="1"/>
    </xf>
    <xf numFmtId="3" fontId="24" fillId="0" borderId="254" xfId="0" applyNumberFormat="1" applyFont="1" applyBorder="1" applyAlignment="1" applyProtection="1">
      <alignment vertical="center"/>
      <protection locked="0"/>
    </xf>
    <xf numFmtId="0" fontId="56" fillId="0" borderId="207" xfId="0" applyFont="1" applyBorder="1" applyAlignment="1" applyProtection="1">
      <alignment horizontal="left" vertical="center" wrapText="1" indent="1"/>
      <protection locked="0"/>
    </xf>
    <xf numFmtId="3" fontId="26" fillId="4" borderId="254" xfId="0" applyNumberFormat="1" applyFont="1" applyFill="1" applyBorder="1" applyAlignment="1">
      <alignment horizontal="right" vertical="center" wrapText="1"/>
    </xf>
    <xf numFmtId="3" fontId="26" fillId="4" borderId="255" xfId="0" applyNumberFormat="1" applyFont="1" applyFill="1" applyBorder="1" applyAlignment="1">
      <alignment horizontal="right" vertical="center" wrapText="1"/>
    </xf>
    <xf numFmtId="0" fontId="24" fillId="0" borderId="256" xfId="0" applyFont="1" applyBorder="1" applyAlignment="1">
      <alignment horizontal="center" vertical="center" wrapText="1"/>
    </xf>
    <xf numFmtId="0" fontId="24" fillId="0" borderId="251" xfId="0" applyFont="1" applyBorder="1" applyAlignment="1">
      <alignment vertical="center"/>
    </xf>
    <xf numFmtId="3" fontId="2" fillId="0" borderId="208" xfId="0" applyNumberFormat="1" applyFont="1" applyBorder="1" applyAlignment="1" applyProtection="1">
      <alignment horizontal="right" vertical="center"/>
      <protection locked="0"/>
    </xf>
    <xf numFmtId="3" fontId="31" fillId="4" borderId="254" xfId="0" applyNumberFormat="1" applyFont="1" applyFill="1" applyBorder="1" applyAlignment="1">
      <alignment horizontal="right" vertical="center"/>
    </xf>
    <xf numFmtId="3" fontId="31" fillId="4" borderId="255" xfId="0" applyNumberFormat="1" applyFont="1" applyFill="1" applyBorder="1" applyAlignment="1">
      <alignment horizontal="right" vertical="center"/>
    </xf>
    <xf numFmtId="0" fontId="4" fillId="11" borderId="256" xfId="0" applyFont="1" applyFill="1" applyBorder="1"/>
    <xf numFmtId="0" fontId="4" fillId="11" borderId="249" xfId="0" applyFont="1" applyFill="1" applyBorder="1"/>
    <xf numFmtId="0" fontId="47" fillId="11" borderId="249" xfId="0" applyFont="1" applyFill="1" applyBorder="1"/>
    <xf numFmtId="0" fontId="57" fillId="0" borderId="210" xfId="0" applyFont="1" applyBorder="1" applyAlignment="1" applyProtection="1">
      <alignment horizontal="center" vertical="center"/>
      <protection locked="0"/>
    </xf>
    <xf numFmtId="0" fontId="57" fillId="0" borderId="215" xfId="0" applyFont="1" applyBorder="1" applyAlignment="1" applyProtection="1">
      <alignment horizontal="center" vertical="center"/>
      <protection locked="0"/>
    </xf>
    <xf numFmtId="0" fontId="55" fillId="0" borderId="335" xfId="0" applyFont="1" applyBorder="1" applyAlignment="1" applyProtection="1">
      <alignment vertical="center"/>
      <protection locked="0"/>
    </xf>
    <xf numFmtId="3" fontId="1" fillId="0" borderId="336" xfId="0" applyNumberFormat="1" applyFont="1" applyBorder="1" applyAlignment="1" applyProtection="1">
      <alignment vertical="center"/>
      <protection locked="0"/>
    </xf>
    <xf numFmtId="0" fontId="55" fillId="0" borderId="207" xfId="0" applyFont="1" applyBorder="1" applyAlignment="1" applyProtection="1">
      <alignment vertical="center"/>
      <protection locked="0"/>
    </xf>
    <xf numFmtId="3" fontId="1" fillId="0" borderId="208" xfId="0" applyNumberFormat="1" applyFont="1" applyBorder="1" applyAlignment="1" applyProtection="1">
      <alignment vertical="center"/>
      <protection locked="0"/>
    </xf>
    <xf numFmtId="0" fontId="55" fillId="0" borderId="293" xfId="0" applyFont="1" applyBorder="1" applyAlignment="1" applyProtection="1">
      <alignment vertical="center"/>
      <protection locked="0"/>
    </xf>
    <xf numFmtId="3" fontId="1" fillId="0" borderId="252" xfId="0" applyNumberFormat="1" applyFont="1" applyBorder="1" applyAlignment="1" applyProtection="1">
      <alignment vertical="center"/>
      <protection locked="0"/>
    </xf>
    <xf numFmtId="3" fontId="16" fillId="4" borderId="340" xfId="0" applyNumberFormat="1" applyFont="1" applyFill="1" applyBorder="1" applyAlignment="1">
      <alignment vertical="center"/>
    </xf>
    <xf numFmtId="3" fontId="16" fillId="4" borderId="341" xfId="0" applyNumberFormat="1" applyFont="1" applyFill="1" applyBorder="1" applyAlignment="1">
      <alignment vertical="center"/>
    </xf>
    <xf numFmtId="0" fontId="23" fillId="11" borderId="267" xfId="3" applyFont="1" applyFill="1" applyBorder="1" applyAlignment="1">
      <alignment horizontal="center" vertical="center" wrapText="1"/>
    </xf>
    <xf numFmtId="0" fontId="23" fillId="11" borderId="268" xfId="3" applyFont="1" applyFill="1" applyBorder="1" applyAlignment="1">
      <alignment horizontal="center" vertical="center" wrapText="1"/>
    </xf>
    <xf numFmtId="3" fontId="23" fillId="23" borderId="208" xfId="3" applyNumberFormat="1" applyFont="1" applyFill="1" applyBorder="1" applyAlignment="1" applyProtection="1">
      <alignment horizontal="right" vertical="center"/>
      <protection locked="0"/>
    </xf>
    <xf numFmtId="3" fontId="23" fillId="0" borderId="208" xfId="3" applyNumberFormat="1" applyFont="1" applyBorder="1" applyAlignment="1" applyProtection="1">
      <alignment horizontal="right" vertical="center"/>
      <protection locked="0"/>
    </xf>
    <xf numFmtId="3" fontId="25" fillId="4" borderId="254" xfId="3" applyNumberFormat="1" applyFont="1" applyFill="1" applyBorder="1" applyAlignment="1">
      <alignment horizontal="right" vertical="center"/>
    </xf>
    <xf numFmtId="3" fontId="25" fillId="4" borderId="255" xfId="3" applyNumberFormat="1" applyFont="1" applyFill="1" applyBorder="1" applyAlignment="1">
      <alignment horizontal="right" vertical="center"/>
    </xf>
    <xf numFmtId="0" fontId="3" fillId="8" borderId="267" xfId="0" applyFont="1" applyFill="1" applyBorder="1" applyAlignment="1">
      <alignment horizontal="center" vertical="center"/>
    </xf>
    <xf numFmtId="0" fontId="3" fillId="8" borderId="268" xfId="0" applyFont="1" applyFill="1" applyBorder="1" applyAlignment="1">
      <alignment horizontal="center" vertical="center"/>
    </xf>
    <xf numFmtId="3" fontId="4" fillId="0" borderId="269" xfId="0" applyNumberFormat="1" applyFont="1" applyBorder="1" applyAlignment="1" applyProtection="1">
      <alignment horizontal="center" vertical="center"/>
      <protection locked="0"/>
    </xf>
    <xf numFmtId="3" fontId="4" fillId="0" borderId="208" xfId="0" applyNumberFormat="1" applyFont="1" applyBorder="1" applyAlignment="1" applyProtection="1">
      <alignment horizontal="center" vertical="center"/>
      <protection locked="0"/>
    </xf>
    <xf numFmtId="3" fontId="4" fillId="0" borderId="252" xfId="0" applyNumberFormat="1" applyFont="1" applyBorder="1" applyAlignment="1" applyProtection="1">
      <alignment horizontal="center" vertical="center"/>
      <protection locked="0"/>
    </xf>
    <xf numFmtId="0" fontId="3" fillId="11" borderId="208" xfId="0" applyFont="1" applyFill="1" applyBorder="1" applyAlignment="1">
      <alignment horizontal="center" vertical="center"/>
    </xf>
    <xf numFmtId="49" fontId="1" fillId="23" borderId="0" xfId="0" applyNumberFormat="1" applyFont="1" applyFill="1" applyAlignment="1">
      <alignment vertical="center"/>
    </xf>
    <xf numFmtId="49" fontId="8" fillId="23" borderId="0" xfId="0" applyNumberFormat="1" applyFont="1" applyFill="1" applyAlignment="1">
      <alignment horizontal="center" vertical="center"/>
    </xf>
    <xf numFmtId="49" fontId="13" fillId="23" borderId="155" xfId="0" applyNumberFormat="1" applyFont="1" applyFill="1" applyBorder="1" applyAlignment="1">
      <alignment vertical="center" wrapText="1"/>
    </xf>
    <xf numFmtId="0" fontId="4" fillId="23" borderId="0" xfId="0" applyFont="1" applyFill="1" applyAlignment="1">
      <alignment vertical="center"/>
    </xf>
    <xf numFmtId="0" fontId="18" fillId="23" borderId="57" xfId="0" applyFont="1" applyFill="1" applyBorder="1" applyAlignment="1">
      <alignment vertical="center"/>
    </xf>
    <xf numFmtId="0" fontId="4" fillId="23" borderId="0" xfId="0" applyFont="1" applyFill="1" applyAlignment="1">
      <alignment horizontal="left" vertical="center"/>
    </xf>
    <xf numFmtId="0" fontId="18" fillId="23" borderId="42" xfId="0" applyFont="1" applyFill="1" applyBorder="1" applyAlignment="1">
      <alignment horizontal="center" vertical="center"/>
    </xf>
    <xf numFmtId="0" fontId="18" fillId="23" borderId="57" xfId="0" applyFont="1" applyFill="1" applyBorder="1" applyAlignment="1">
      <alignment horizontal="center" vertical="center"/>
    </xf>
    <xf numFmtId="0" fontId="61" fillId="23" borderId="0" xfId="0" applyFont="1" applyFill="1"/>
    <xf numFmtId="0" fontId="18" fillId="23" borderId="48" xfId="0" applyFont="1" applyFill="1" applyBorder="1" applyAlignment="1">
      <alignment vertical="center"/>
    </xf>
    <xf numFmtId="0" fontId="4" fillId="23" borderId="0" xfId="0" applyFont="1" applyFill="1" applyAlignment="1">
      <alignment horizontal="center" vertical="center"/>
    </xf>
    <xf numFmtId="0" fontId="18" fillId="23" borderId="0" xfId="0" applyFont="1" applyFill="1" applyAlignment="1">
      <alignment vertical="center"/>
    </xf>
    <xf numFmtId="0" fontId="4" fillId="23" borderId="0" xfId="0" applyFont="1" applyFill="1" applyAlignment="1">
      <alignment horizontal="right" vertical="center"/>
    </xf>
    <xf numFmtId="0" fontId="18" fillId="23" borderId="0" xfId="0" applyFont="1" applyFill="1" applyAlignment="1">
      <alignment horizontal="center" vertical="center"/>
    </xf>
    <xf numFmtId="0" fontId="26" fillId="23" borderId="147" xfId="0" applyFont="1" applyFill="1" applyBorder="1" applyAlignment="1">
      <alignment horizontal="center" vertical="center" wrapText="1"/>
    </xf>
    <xf numFmtId="0" fontId="26" fillId="23" borderId="149" xfId="0" applyFont="1" applyFill="1" applyBorder="1" applyAlignment="1">
      <alignment horizontal="center" vertical="center" wrapText="1"/>
    </xf>
    <xf numFmtId="0" fontId="100" fillId="23" borderId="157" xfId="0" applyFont="1" applyFill="1" applyBorder="1" applyAlignment="1">
      <alignment horizontal="center" vertical="center" wrapText="1"/>
    </xf>
    <xf numFmtId="0" fontId="100" fillId="23" borderId="158" xfId="0" applyFont="1" applyFill="1" applyBorder="1" applyAlignment="1">
      <alignment horizontal="center" vertical="center" wrapText="1"/>
    </xf>
    <xf numFmtId="0" fontId="23" fillId="23" borderId="157" xfId="0" applyFont="1" applyFill="1" applyBorder="1" applyAlignment="1">
      <alignment wrapText="1"/>
    </xf>
    <xf numFmtId="0" fontId="22" fillId="23" borderId="158" xfId="0" applyFont="1" applyFill="1" applyBorder="1"/>
    <xf numFmtId="0" fontId="23" fillId="23" borderId="157" xfId="0" applyFont="1" applyFill="1" applyBorder="1"/>
    <xf numFmtId="0" fontId="22" fillId="23" borderId="157" xfId="0" applyFont="1" applyFill="1" applyBorder="1"/>
    <xf numFmtId="0" fontId="27" fillId="23" borderId="150" xfId="0" applyFont="1" applyFill="1" applyBorder="1"/>
    <xf numFmtId="0" fontId="27" fillId="23" borderId="152" xfId="0" applyFont="1" applyFill="1" applyBorder="1"/>
    <xf numFmtId="0" fontId="26" fillId="11" borderId="147" xfId="0" applyFont="1" applyFill="1" applyBorder="1" applyAlignment="1">
      <alignment horizontal="center" vertical="center" wrapText="1"/>
    </xf>
    <xf numFmtId="0" fontId="26" fillId="11" borderId="148" xfId="0" applyFont="1" applyFill="1" applyBorder="1" applyAlignment="1">
      <alignment horizontal="center" vertical="center" wrapText="1"/>
    </xf>
    <xf numFmtId="0" fontId="26" fillId="11" borderId="149" xfId="0" applyFont="1" applyFill="1" applyBorder="1" applyAlignment="1">
      <alignment horizontal="center" vertical="center" wrapText="1"/>
    </xf>
    <xf numFmtId="0" fontId="100" fillId="0" borderId="157" xfId="0" applyFont="1" applyBorder="1" applyAlignment="1">
      <alignment horizontal="center" vertical="center" wrapText="1"/>
    </xf>
    <xf numFmtId="0" fontId="100" fillId="0" borderId="158" xfId="0" applyFont="1" applyBorder="1" applyAlignment="1">
      <alignment horizontal="center" vertical="center" wrapText="1"/>
    </xf>
    <xf numFmtId="0" fontId="27" fillId="0" borderId="150" xfId="0" applyFont="1" applyBorder="1"/>
    <xf numFmtId="3" fontId="27" fillId="0" borderId="151" xfId="0" applyNumberFormat="1" applyFont="1" applyBorder="1"/>
    <xf numFmtId="0" fontId="27" fillId="0" borderId="151" xfId="0" applyFont="1" applyBorder="1"/>
    <xf numFmtId="3" fontId="27" fillId="0" borderId="152" xfId="0" applyNumberFormat="1" applyFont="1" applyBorder="1"/>
    <xf numFmtId="0" fontId="24" fillId="11" borderId="148" xfId="0" applyFont="1" applyFill="1" applyBorder="1" applyAlignment="1">
      <alignment horizontal="center" vertical="center" wrapText="1"/>
    </xf>
    <xf numFmtId="0" fontId="24" fillId="11" borderId="149" xfId="0" applyFont="1" applyFill="1" applyBorder="1" applyAlignment="1">
      <alignment horizontal="center" vertical="center" wrapText="1"/>
    </xf>
    <xf numFmtId="0" fontId="0" fillId="0" borderId="342" xfId="0" applyBorder="1"/>
    <xf numFmtId="0" fontId="55" fillId="0" borderId="157" xfId="0" applyFont="1" applyBorder="1" applyAlignment="1" applyProtection="1">
      <alignment horizontal="left" vertical="center" indent="1"/>
      <protection locked="0"/>
    </xf>
    <xf numFmtId="0" fontId="0" fillId="0" borderId="158" xfId="0" applyBorder="1"/>
    <xf numFmtId="3" fontId="31" fillId="23" borderId="151" xfId="0" applyNumberFormat="1" applyFont="1" applyFill="1" applyBorder="1" applyAlignment="1">
      <alignment horizontal="right" vertical="center"/>
    </xf>
    <xf numFmtId="0" fontId="0" fillId="23" borderId="151" xfId="0" applyFill="1" applyBorder="1"/>
    <xf numFmtId="0" fontId="0" fillId="23" borderId="152" xfId="0" applyFill="1" applyBorder="1"/>
    <xf numFmtId="0" fontId="18" fillId="11" borderId="222" xfId="0" applyFont="1" applyFill="1" applyBorder="1" applyAlignment="1">
      <alignment horizontal="center" vertical="center"/>
    </xf>
    <xf numFmtId="3" fontId="18" fillId="7" borderId="224" xfId="0" applyNumberFormat="1" applyFont="1" applyFill="1" applyBorder="1" applyAlignment="1" applyProtection="1">
      <alignment horizontal="right" vertical="center"/>
      <protection locked="0"/>
    </xf>
    <xf numFmtId="3" fontId="4" fillId="0" borderId="224" xfId="0" applyNumberFormat="1" applyFont="1" applyBorder="1" applyAlignment="1">
      <alignment horizontal="right" vertical="center"/>
    </xf>
    <xf numFmtId="3" fontId="18" fillId="7" borderId="224" xfId="0" applyNumberFormat="1" applyFont="1" applyFill="1" applyBorder="1" applyAlignment="1">
      <alignment horizontal="right" vertical="center"/>
    </xf>
    <xf numFmtId="3" fontId="4" fillId="0" borderId="224" xfId="0" applyNumberFormat="1" applyFont="1" applyBorder="1" applyAlignment="1" applyProtection="1">
      <alignment horizontal="right" vertical="center"/>
      <protection locked="0"/>
    </xf>
    <xf numFmtId="0" fontId="4" fillId="7" borderId="223" xfId="0" applyFont="1" applyFill="1" applyBorder="1" applyAlignment="1">
      <alignment horizontal="left" vertical="center" indent="1"/>
    </xf>
    <xf numFmtId="3" fontId="4" fillId="0" borderId="232" xfId="0" applyNumberFormat="1" applyFont="1" applyBorder="1" applyAlignment="1">
      <alignment horizontal="right" vertical="center"/>
    </xf>
    <xf numFmtId="3" fontId="4" fillId="2" borderId="15" xfId="0" applyNumberFormat="1" applyFont="1" applyFill="1" applyBorder="1" applyAlignment="1">
      <alignment horizontal="center" vertical="top" wrapText="1"/>
    </xf>
    <xf numFmtId="3" fontId="4" fillId="2" borderId="243" xfId="0" applyNumberFormat="1" applyFont="1" applyFill="1" applyBorder="1" applyAlignment="1">
      <alignment horizontal="center" vertical="top" wrapText="1"/>
    </xf>
    <xf numFmtId="49" fontId="8" fillId="0" borderId="0" xfId="0" applyNumberFormat="1" applyFont="1" applyAlignment="1">
      <alignment horizontal="center" vertical="center"/>
    </xf>
    <xf numFmtId="49" fontId="1" fillId="0" borderId="46" xfId="0" applyNumberFormat="1" applyFont="1" applyBorder="1" applyAlignment="1">
      <alignment horizontal="center" vertical="center" wrapText="1"/>
    </xf>
    <xf numFmtId="49" fontId="1" fillId="0" borderId="50" xfId="0" applyNumberFormat="1" applyFont="1" applyBorder="1" applyAlignment="1">
      <alignment horizontal="center" vertical="center" wrapText="1"/>
    </xf>
    <xf numFmtId="49" fontId="1" fillId="0" borderId="47" xfId="0" applyNumberFormat="1" applyFont="1" applyBorder="1" applyAlignment="1">
      <alignment horizontal="center" vertical="center" wrapText="1"/>
    </xf>
    <xf numFmtId="0" fontId="4" fillId="0" borderId="0" xfId="0" applyFont="1" applyAlignment="1">
      <alignment horizontal="left" vertical="center" wrapText="1" indent="1"/>
    </xf>
    <xf numFmtId="0" fontId="4" fillId="0" borderId="0" xfId="0" quotePrefix="1" applyFont="1" applyAlignment="1">
      <alignment horizontal="left" vertical="center" wrapText="1" indent="1"/>
    </xf>
    <xf numFmtId="0" fontId="18" fillId="0" borderId="0" xfId="0" applyFont="1" applyAlignment="1">
      <alignment horizontal="left" vertical="center" wrapText="1" indent="1"/>
    </xf>
    <xf numFmtId="0" fontId="18" fillId="2" borderId="23" xfId="0" applyFont="1" applyFill="1" applyBorder="1" applyAlignment="1">
      <alignment horizontal="left" vertical="center" wrapText="1" indent="1"/>
    </xf>
    <xf numFmtId="0" fontId="18" fillId="2" borderId="24" xfId="0" applyFont="1" applyFill="1" applyBorder="1" applyAlignment="1">
      <alignment horizontal="left" vertical="center" wrapText="1" indent="1"/>
    </xf>
    <xf numFmtId="0" fontId="18" fillId="2" borderId="25" xfId="0" applyFont="1" applyFill="1" applyBorder="1" applyAlignment="1">
      <alignment horizontal="left" vertical="center" wrapText="1" indent="1"/>
    </xf>
    <xf numFmtId="0" fontId="18" fillId="4" borderId="23" xfId="0" applyFont="1" applyFill="1" applyBorder="1" applyAlignment="1">
      <alignment horizontal="left" vertical="center" wrapText="1" indent="1"/>
    </xf>
    <xf numFmtId="0" fontId="18" fillId="4" borderId="24" xfId="0" applyFont="1" applyFill="1" applyBorder="1" applyAlignment="1">
      <alignment horizontal="left" vertical="center" wrapText="1" indent="1"/>
    </xf>
    <xf numFmtId="0" fontId="18" fillId="4" borderId="25" xfId="0" applyFont="1" applyFill="1" applyBorder="1" applyAlignment="1">
      <alignment horizontal="left" vertical="center" wrapText="1" indent="1"/>
    </xf>
    <xf numFmtId="0" fontId="18" fillId="0" borderId="32" xfId="0" applyFont="1" applyBorder="1" applyAlignment="1">
      <alignment horizontal="left" vertical="center"/>
    </xf>
    <xf numFmtId="0" fontId="4" fillId="11" borderId="233" xfId="0" applyFont="1" applyFill="1" applyBorder="1" applyAlignment="1">
      <alignment horizontal="center" vertical="center" wrapText="1"/>
    </xf>
    <xf numFmtId="0" fontId="4" fillId="11" borderId="238" xfId="0" applyFont="1" applyFill="1" applyBorder="1" applyAlignment="1">
      <alignment horizontal="center" vertical="center" wrapText="1"/>
    </xf>
    <xf numFmtId="0" fontId="4" fillId="11" borderId="234"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235"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11" borderId="27" xfId="0" applyFont="1" applyFill="1" applyBorder="1" applyAlignment="1">
      <alignment horizontal="center" vertical="center" wrapText="1"/>
    </xf>
    <xf numFmtId="0" fontId="4" fillId="11" borderId="28" xfId="0" applyFont="1" applyFill="1" applyBorder="1" applyAlignment="1">
      <alignment horizontal="center" vertical="center" wrapText="1"/>
    </xf>
    <xf numFmtId="0" fontId="4" fillId="11" borderId="236" xfId="0" applyFont="1" applyFill="1" applyBorder="1" applyAlignment="1">
      <alignment horizontal="center" vertical="center" wrapText="1"/>
    </xf>
    <xf numFmtId="0" fontId="4" fillId="11" borderId="37" xfId="0" applyFont="1" applyFill="1" applyBorder="1" applyAlignment="1">
      <alignment horizontal="center" vertical="center" wrapText="1"/>
    </xf>
    <xf numFmtId="0" fontId="18" fillId="0" borderId="22" xfId="0" applyFont="1" applyBorder="1" applyAlignment="1">
      <alignment horizontal="left" vertical="center"/>
    </xf>
    <xf numFmtId="0" fontId="12" fillId="0" borderId="0" xfId="0" applyFont="1" applyAlignment="1">
      <alignment horizontal="left" vertical="center" wrapText="1"/>
    </xf>
    <xf numFmtId="0" fontId="18" fillId="2" borderId="27" xfId="0" applyFont="1" applyFill="1" applyBorder="1" applyAlignment="1">
      <alignment horizontal="left" vertical="center" wrapText="1" indent="1"/>
    </xf>
    <xf numFmtId="3" fontId="18" fillId="0" borderId="36" xfId="0" applyNumberFormat="1" applyFont="1" applyBorder="1" applyAlignment="1">
      <alignment vertical="center" wrapText="1"/>
    </xf>
    <xf numFmtId="3" fontId="18" fillId="0" borderId="54" xfId="0" applyNumberFormat="1" applyFont="1" applyBorder="1" applyAlignment="1">
      <alignment vertical="center" wrapText="1"/>
    </xf>
    <xf numFmtId="0" fontId="18" fillId="7" borderId="0" xfId="0" applyFont="1" applyFill="1" applyAlignment="1">
      <alignment horizontal="left" vertical="center" wrapText="1" indent="1"/>
    </xf>
    <xf numFmtId="0" fontId="4" fillId="2" borderId="242" xfId="0" applyFont="1" applyFill="1" applyBorder="1" applyAlignment="1">
      <alignment horizontal="left" vertical="top" wrapText="1" indent="1"/>
    </xf>
    <xf numFmtId="0" fontId="4" fillId="2" borderId="15" xfId="0" applyFont="1" applyFill="1" applyBorder="1" applyAlignment="1">
      <alignment horizontal="left" vertical="top" wrapText="1" indent="1"/>
    </xf>
    <xf numFmtId="0" fontId="18" fillId="2" borderId="17" xfId="0" applyFont="1" applyFill="1" applyBorder="1" applyAlignment="1">
      <alignment horizontal="left" vertical="center" wrapText="1" indent="1"/>
    </xf>
    <xf numFmtId="0" fontId="18" fillId="2" borderId="18" xfId="0" applyFont="1" applyFill="1" applyBorder="1" applyAlignment="1">
      <alignment horizontal="left" vertical="center" wrapText="1" indent="1"/>
    </xf>
    <xf numFmtId="0" fontId="18" fillId="0" borderId="32" xfId="0" applyFont="1" applyBorder="1" applyAlignment="1">
      <alignment horizontal="center" vertical="center"/>
    </xf>
    <xf numFmtId="0" fontId="19" fillId="0" borderId="0" xfId="0" applyFont="1" applyAlignment="1">
      <alignment horizontal="center" vertical="center"/>
    </xf>
    <xf numFmtId="0" fontId="0" fillId="0" borderId="9" xfId="0" applyBorder="1" applyProtection="1">
      <protection locked="0"/>
    </xf>
    <xf numFmtId="0" fontId="0" fillId="0" borderId="0" xfId="0" applyProtection="1">
      <protection locked="0"/>
    </xf>
    <xf numFmtId="0" fontId="95" fillId="0" borderId="0" xfId="0" applyFont="1" applyAlignment="1" applyProtection="1">
      <alignment horizontal="center"/>
      <protection locked="0"/>
    </xf>
    <xf numFmtId="0" fontId="0" fillId="0" borderId="5" xfId="0" applyBorder="1" applyProtection="1">
      <protection locked="0"/>
    </xf>
    <xf numFmtId="0" fontId="0" fillId="0" borderId="6" xfId="0" applyBorder="1" applyProtection="1">
      <protection locked="0"/>
    </xf>
    <xf numFmtId="0" fontId="98" fillId="0" borderId="0" xfId="0" applyFont="1" applyAlignment="1" applyProtection="1">
      <alignment horizontal="center"/>
      <protection locked="0"/>
    </xf>
    <xf numFmtId="0" fontId="95" fillId="0" borderId="9" xfId="0" applyFont="1" applyBorder="1" applyAlignment="1" applyProtection="1">
      <alignment horizontal="center"/>
      <protection locked="0"/>
    </xf>
    <xf numFmtId="0" fontId="96" fillId="0" borderId="0" xfId="0" applyFont="1" applyAlignment="1" applyProtection="1">
      <alignment horizontal="center"/>
      <protection locked="0"/>
    </xf>
    <xf numFmtId="0" fontId="97" fillId="0" borderId="0" xfId="0" applyFont="1" applyAlignment="1" applyProtection="1">
      <alignment horizontal="center"/>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1" fillId="0" borderId="17"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0" fontId="99"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protection locked="0"/>
    </xf>
    <xf numFmtId="0" fontId="9" fillId="0" borderId="0" xfId="0" applyFont="1" applyAlignment="1">
      <alignment horizontal="center"/>
    </xf>
    <xf numFmtId="0" fontId="9" fillId="0" borderId="22" xfId="0" applyFont="1" applyBorder="1" applyAlignment="1" applyProtection="1">
      <alignment horizontal="center" vertical="center"/>
      <protection locked="0"/>
    </xf>
    <xf numFmtId="0" fontId="6" fillId="0" borderId="0" xfId="0" applyFont="1" applyAlignment="1">
      <alignment horizontal="center" vertical="center" wrapText="1"/>
    </xf>
    <xf numFmtId="0" fontId="9" fillId="0" borderId="0" xfId="0" applyFont="1" applyAlignment="1">
      <alignment horizontal="center" vertical="center"/>
    </xf>
    <xf numFmtId="0" fontId="10" fillId="0" borderId="24" xfId="0" applyFont="1" applyBorder="1" applyAlignment="1">
      <alignment horizontal="center" vertical="center"/>
    </xf>
    <xf numFmtId="0" fontId="13" fillId="0" borderId="0" xfId="0" applyFont="1" applyAlignment="1">
      <alignment horizontal="center"/>
    </xf>
    <xf numFmtId="0" fontId="9" fillId="0" borderId="22" xfId="0" applyFont="1" applyBorder="1" applyAlignment="1" applyProtection="1">
      <alignment horizontal="left" vertical="center"/>
      <protection locked="0"/>
    </xf>
    <xf numFmtId="0" fontId="14" fillId="0" borderId="20"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6" xfId="0" applyFont="1" applyBorder="1" applyAlignment="1" applyProtection="1">
      <alignment horizontal="center" vertical="center"/>
      <protection locked="0"/>
    </xf>
    <xf numFmtId="0" fontId="14" fillId="0" borderId="27" xfId="0" applyFont="1" applyBorder="1" applyAlignment="1" applyProtection="1">
      <alignment horizontal="center" vertical="center"/>
      <protection locked="0"/>
    </xf>
    <xf numFmtId="0" fontId="14" fillId="0" borderId="28" xfId="0" applyFont="1" applyBorder="1" applyAlignment="1" applyProtection="1">
      <alignment horizontal="center" vertical="center"/>
      <protection locked="0"/>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9" fillId="0" borderId="32" xfId="0" applyFont="1" applyBorder="1" applyAlignment="1" applyProtection="1">
      <alignment horizontal="left"/>
      <protection locked="0"/>
    </xf>
    <xf numFmtId="0" fontId="17" fillId="0" borderId="53" xfId="0" applyFont="1" applyBorder="1" applyAlignment="1">
      <alignment horizontal="center" vertical="center"/>
    </xf>
    <xf numFmtId="0" fontId="104" fillId="23" borderId="0" xfId="0" applyFont="1" applyFill="1" applyAlignment="1">
      <alignment horizontal="left" wrapText="1"/>
    </xf>
    <xf numFmtId="0" fontId="105" fillId="23" borderId="0" xfId="2" applyFont="1" applyFill="1" applyAlignment="1">
      <alignment horizontal="left" vertical="center" wrapText="1"/>
    </xf>
    <xf numFmtId="49" fontId="104" fillId="23" borderId="0" xfId="0" applyNumberFormat="1" applyFont="1" applyFill="1" applyAlignment="1" applyProtection="1">
      <alignment horizontal="center" vertical="center"/>
      <protection locked="0"/>
    </xf>
    <xf numFmtId="49" fontId="104" fillId="23" borderId="0" xfId="0" applyNumberFormat="1" applyFont="1" applyFill="1" applyAlignment="1">
      <alignment horizontal="center" vertical="center"/>
    </xf>
    <xf numFmtId="0" fontId="107" fillId="23" borderId="0" xfId="0" applyFont="1" applyFill="1" applyAlignment="1">
      <alignment horizontal="center" vertical="center" wrapText="1"/>
    </xf>
    <xf numFmtId="0" fontId="105" fillId="23" borderId="0" xfId="2" applyFont="1" applyFill="1" applyAlignment="1">
      <alignment horizontal="center" vertical="center" wrapText="1"/>
    </xf>
    <xf numFmtId="0" fontId="19" fillId="0" borderId="0" xfId="0" applyFont="1" applyAlignment="1">
      <alignment horizontal="center" vertical="center" wrapText="1"/>
    </xf>
    <xf numFmtId="0" fontId="27" fillId="11" borderId="29" xfId="2" applyFont="1" applyFill="1" applyBorder="1" applyAlignment="1">
      <alignment horizontal="center" vertical="center" wrapText="1"/>
    </xf>
    <xf numFmtId="0" fontId="18" fillId="0" borderId="57" xfId="0" applyFont="1" applyBorder="1" applyAlignment="1">
      <alignment horizontal="center" vertical="center"/>
    </xf>
    <xf numFmtId="0" fontId="18" fillId="0" borderId="42" xfId="0" applyFont="1" applyBorder="1" applyAlignment="1">
      <alignment horizontal="center" vertical="center"/>
    </xf>
    <xf numFmtId="0" fontId="65" fillId="0" borderId="22" xfId="0" applyFont="1" applyBorder="1" applyAlignment="1">
      <alignment horizontal="left" vertical="center"/>
    </xf>
    <xf numFmtId="49" fontId="8" fillId="0" borderId="0" xfId="0" applyNumberFormat="1" applyFont="1" applyAlignment="1" applyProtection="1">
      <alignment horizontal="center" vertical="center"/>
      <protection locked="0"/>
    </xf>
    <xf numFmtId="49" fontId="58" fillId="0" borderId="23" xfId="0" applyNumberFormat="1" applyFont="1" applyBorder="1" applyAlignment="1">
      <alignment horizontal="center" vertical="center" wrapText="1"/>
    </xf>
    <xf numFmtId="49" fontId="58" fillId="0" borderId="24" xfId="0" applyNumberFormat="1" applyFont="1" applyBorder="1" applyAlignment="1">
      <alignment horizontal="center" vertical="center" wrapText="1"/>
    </xf>
    <xf numFmtId="49" fontId="58" fillId="0" borderId="25" xfId="0" applyNumberFormat="1" applyFont="1" applyBorder="1" applyAlignment="1">
      <alignment horizontal="center" vertical="center" wrapText="1"/>
    </xf>
    <xf numFmtId="0" fontId="18" fillId="0" borderId="42" xfId="0" applyFont="1" applyBorder="1" applyAlignment="1">
      <alignment horizontal="left" vertical="center"/>
    </xf>
    <xf numFmtId="0" fontId="61" fillId="0" borderId="0" xfId="0" applyFont="1" applyAlignment="1">
      <alignment horizontal="left" vertical="center"/>
    </xf>
    <xf numFmtId="0" fontId="18" fillId="0" borderId="57" xfId="0" applyFont="1" applyBorder="1" applyAlignment="1">
      <alignment horizontal="left" vertical="center"/>
    </xf>
    <xf numFmtId="0" fontId="4" fillId="0" borderId="48" xfId="0" applyFont="1" applyBorder="1" applyAlignment="1">
      <alignment horizontal="center" vertical="center"/>
    </xf>
    <xf numFmtId="0" fontId="0" fillId="0" borderId="195" xfId="0" applyBorder="1" applyAlignment="1">
      <alignment horizontal="left" vertical="top" wrapText="1"/>
    </xf>
    <xf numFmtId="0" fontId="0" fillId="0" borderId="184" xfId="0" applyBorder="1" applyAlignment="1">
      <alignment horizontal="left" vertical="top" wrapText="1"/>
    </xf>
    <xf numFmtId="0" fontId="0" fillId="0" borderId="181" xfId="0" applyBorder="1" applyAlignment="1">
      <alignment horizontal="left" vertical="top" wrapText="1"/>
    </xf>
    <xf numFmtId="0" fontId="0" fillId="0" borderId="202" xfId="0" applyBorder="1" applyAlignment="1">
      <alignment horizontal="left" vertical="top" wrapText="1"/>
    </xf>
    <xf numFmtId="0" fontId="0" fillId="0" borderId="199" xfId="0" applyBorder="1" applyAlignment="1">
      <alignment horizontal="left" vertical="top" wrapText="1"/>
    </xf>
    <xf numFmtId="0" fontId="0" fillId="0" borderId="184" xfId="0" applyBorder="1" applyAlignment="1">
      <alignment horizontal="center" vertical="top"/>
    </xf>
    <xf numFmtId="0" fontId="0" fillId="0" borderId="181" xfId="0" applyBorder="1" applyAlignment="1">
      <alignment horizontal="center" vertical="top"/>
    </xf>
    <xf numFmtId="0" fontId="0" fillId="0" borderId="197" xfId="0" applyBorder="1" applyAlignment="1">
      <alignment horizontal="left" vertical="top" wrapText="1"/>
    </xf>
    <xf numFmtId="0" fontId="31" fillId="0" borderId="1" xfId="0" applyFont="1" applyBorder="1" applyAlignment="1">
      <alignment horizontal="center" vertical="top" wrapText="1"/>
    </xf>
    <xf numFmtId="0" fontId="31" fillId="0" borderId="2" xfId="0" applyFont="1" applyBorder="1" applyAlignment="1">
      <alignment horizontal="center" vertical="top" wrapText="1"/>
    </xf>
    <xf numFmtId="0" fontId="31" fillId="0" borderId="3" xfId="0" applyFont="1" applyBorder="1" applyAlignment="1">
      <alignment horizontal="center" vertical="top" wrapText="1"/>
    </xf>
    <xf numFmtId="0" fontId="31" fillId="0" borderId="14" xfId="0" applyFont="1" applyBorder="1" applyAlignment="1">
      <alignment horizontal="center" vertical="top" wrapText="1"/>
    </xf>
    <xf numFmtId="0" fontId="31" fillId="0" borderId="15" xfId="0" applyFont="1" applyBorder="1" applyAlignment="1">
      <alignment horizontal="center" vertical="top" wrapText="1"/>
    </xf>
    <xf numFmtId="0" fontId="31" fillId="0" borderId="16" xfId="0" applyFont="1" applyBorder="1" applyAlignment="1">
      <alignment horizontal="center" vertical="top" wrapText="1"/>
    </xf>
    <xf numFmtId="0" fontId="0" fillId="0" borderId="186" xfId="0" applyBorder="1" applyAlignment="1">
      <alignment horizontal="center" vertical="top" wrapText="1"/>
    </xf>
    <xf numFmtId="0" fontId="0" fillId="0" borderId="187" xfId="0" applyBorder="1" applyAlignment="1">
      <alignment horizontal="center" vertical="top" wrapText="1"/>
    </xf>
    <xf numFmtId="0" fontId="0" fillId="0" borderId="188" xfId="0" applyBorder="1" applyAlignment="1">
      <alignment horizontal="center" vertical="top" wrapText="1"/>
    </xf>
    <xf numFmtId="0" fontId="0" fillId="0" borderId="189" xfId="0" applyBorder="1" applyAlignment="1">
      <alignment horizontal="left" vertical="top" wrapText="1"/>
    </xf>
    <xf numFmtId="0" fontId="0" fillId="0" borderId="190" xfId="0" applyBorder="1" applyAlignment="1">
      <alignment horizontal="left" vertical="top" wrapText="1"/>
    </xf>
    <xf numFmtId="0" fontId="0" fillId="24" borderId="2" xfId="0" applyFill="1" applyBorder="1" applyAlignment="1">
      <alignment horizontal="left" vertical="top" wrapText="1"/>
    </xf>
    <xf numFmtId="0" fontId="0" fillId="24" borderId="0" xfId="0" applyFill="1" applyAlignment="1">
      <alignment horizontal="left" vertical="top" wrapText="1"/>
    </xf>
    <xf numFmtId="0" fontId="0" fillId="24" borderId="15" xfId="0" applyFill="1" applyBorder="1" applyAlignment="1">
      <alignment horizontal="left" vertical="top" wrapText="1"/>
    </xf>
    <xf numFmtId="0" fontId="0" fillId="0" borderId="193" xfId="0" applyBorder="1" applyAlignment="1">
      <alignment horizontal="left" vertical="top" wrapText="1"/>
    </xf>
    <xf numFmtId="0" fontId="18" fillId="0" borderId="32" xfId="0" applyFont="1" applyBorder="1" applyAlignment="1" applyProtection="1">
      <alignment horizontal="left"/>
      <protection locked="0"/>
    </xf>
    <xf numFmtId="0" fontId="18" fillId="0" borderId="22" xfId="0" applyFont="1" applyBorder="1" applyAlignment="1" applyProtection="1">
      <alignment horizontal="left"/>
      <protection locked="0"/>
    </xf>
    <xf numFmtId="0" fontId="18" fillId="0" borderId="32" xfId="0" applyFont="1" applyBorder="1" applyAlignment="1" applyProtection="1">
      <alignment horizontal="center"/>
      <protection locked="0"/>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6" fillId="10" borderId="82" xfId="0" applyFont="1" applyFill="1" applyBorder="1" applyAlignment="1">
      <alignment horizontal="center" vertical="center"/>
    </xf>
    <xf numFmtId="0" fontId="16" fillId="10" borderId="83" xfId="0" applyFont="1" applyFill="1" applyBorder="1" applyAlignment="1">
      <alignment horizontal="center" vertical="center"/>
    </xf>
    <xf numFmtId="0" fontId="18" fillId="0" borderId="26"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28" xfId="0" applyFont="1" applyBorder="1" applyAlignment="1" applyProtection="1">
      <alignment horizontal="center" vertical="center"/>
      <protection locked="0"/>
    </xf>
    <xf numFmtId="0" fontId="77" fillId="0" borderId="26" xfId="1" applyFont="1" applyBorder="1" applyAlignment="1" applyProtection="1">
      <alignment horizontal="center" vertical="center"/>
      <protection locked="0"/>
    </xf>
    <xf numFmtId="0" fontId="18" fillId="0" borderId="32" xfId="0" applyFont="1" applyBorder="1" applyAlignment="1">
      <alignment horizontal="left"/>
    </xf>
    <xf numFmtId="10" fontId="18" fillId="0" borderId="26" xfId="0" applyNumberFormat="1" applyFont="1" applyBorder="1" applyAlignment="1" applyProtection="1">
      <alignment horizontal="center" vertical="center"/>
      <protection locked="0"/>
    </xf>
    <xf numFmtId="49" fontId="18" fillId="0" borderId="23" xfId="0" applyNumberFormat="1" applyFont="1" applyBorder="1" applyAlignment="1" applyProtection="1">
      <alignment horizontal="left" vertical="center" indent="1"/>
      <protection locked="0"/>
    </xf>
    <xf numFmtId="49" fontId="18" fillId="0" borderId="24" xfId="0" applyNumberFormat="1" applyFont="1" applyBorder="1" applyAlignment="1" applyProtection="1">
      <alignment horizontal="left" vertical="center" indent="1"/>
      <protection locked="0"/>
    </xf>
    <xf numFmtId="49" fontId="18" fillId="0" borderId="25" xfId="0" applyNumberFormat="1" applyFont="1" applyBorder="1" applyAlignment="1" applyProtection="1">
      <alignment horizontal="left" vertical="center" indent="1"/>
      <protection locked="0"/>
    </xf>
    <xf numFmtId="0" fontId="18" fillId="0" borderId="23" xfId="0" applyFont="1" applyBorder="1" applyAlignment="1" applyProtection="1">
      <alignment horizontal="left" vertical="center" indent="1"/>
      <protection locked="0"/>
    </xf>
    <xf numFmtId="0" fontId="18" fillId="0" borderId="24" xfId="0" applyFont="1" applyBorder="1" applyAlignment="1" applyProtection="1">
      <alignment horizontal="left" vertical="center" indent="1"/>
      <protection locked="0"/>
    </xf>
    <xf numFmtId="0" fontId="18" fillId="0" borderId="25" xfId="0" applyFont="1" applyBorder="1" applyAlignment="1" applyProtection="1">
      <alignment horizontal="left" vertical="center" indent="1"/>
      <protection locked="0"/>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21"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8" fillId="0" borderId="22" xfId="0" applyFont="1" applyBorder="1" applyAlignment="1" applyProtection="1">
      <alignment horizontal="center"/>
      <protection locked="0"/>
    </xf>
    <xf numFmtId="3" fontId="18" fillId="0" borderId="26" xfId="0" applyNumberFormat="1" applyFont="1" applyBorder="1" applyAlignment="1" applyProtection="1">
      <alignment horizontal="center" vertical="center"/>
      <protection locked="0"/>
    </xf>
    <xf numFmtId="0" fontId="4" fillId="0" borderId="0" xfId="0" applyFont="1" applyAlignment="1" applyProtection="1">
      <alignment horizontal="center" vertical="top"/>
      <protection locked="0"/>
    </xf>
    <xf numFmtId="0" fontId="4" fillId="0" borderId="21" xfId="0" applyFont="1" applyBorder="1" applyAlignment="1" applyProtection="1">
      <alignment horizontal="center" vertical="top"/>
      <protection locked="0"/>
    </xf>
    <xf numFmtId="49" fontId="1" fillId="0" borderId="23" xfId="0" applyNumberFormat="1" applyFont="1" applyBorder="1" applyAlignment="1">
      <alignment horizontal="center" vertical="center" wrapText="1"/>
    </xf>
    <xf numFmtId="49" fontId="1" fillId="0" borderId="24" xfId="0" applyNumberFormat="1" applyFont="1" applyBorder="1" applyAlignment="1">
      <alignment horizontal="center" vertical="center" wrapText="1"/>
    </xf>
    <xf numFmtId="49" fontId="1" fillId="0" borderId="25" xfId="0" applyNumberFormat="1" applyFont="1" applyBorder="1" applyAlignment="1">
      <alignment horizontal="center" vertical="center" wrapText="1"/>
    </xf>
    <xf numFmtId="14" fontId="18" fillId="0" borderId="26" xfId="0" applyNumberFormat="1" applyFont="1" applyBorder="1" applyAlignment="1" applyProtection="1">
      <alignment horizontal="center" vertical="center"/>
      <protection locked="0"/>
    </xf>
    <xf numFmtId="14" fontId="18" fillId="0" borderId="28" xfId="0" applyNumberFormat="1" applyFont="1" applyBorder="1" applyAlignment="1" applyProtection="1">
      <alignment horizontal="center" vertical="center"/>
      <protection locked="0"/>
    </xf>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14" fontId="18" fillId="0" borderId="69" xfId="0" applyNumberFormat="1" applyFont="1" applyBorder="1" applyAlignment="1" applyProtection="1">
      <alignment horizontal="center" vertical="center"/>
      <protection locked="0"/>
    </xf>
    <xf numFmtId="0" fontId="18" fillId="0" borderId="69" xfId="0" applyFont="1" applyBorder="1" applyAlignment="1" applyProtection="1">
      <alignment horizontal="center" vertical="center"/>
      <protection locked="0"/>
    </xf>
    <xf numFmtId="0" fontId="18" fillId="0" borderId="84" xfId="0" applyFont="1" applyBorder="1" applyAlignment="1" applyProtection="1">
      <alignment horizontal="center" vertical="center"/>
      <protection locked="0"/>
    </xf>
    <xf numFmtId="0" fontId="1" fillId="0" borderId="0" xfId="0" applyFont="1" applyAlignment="1">
      <alignment horizontal="center" vertical="top"/>
    </xf>
    <xf numFmtId="0" fontId="1" fillId="0" borderId="21" xfId="0" applyFont="1" applyBorder="1" applyAlignment="1">
      <alignment horizontal="center" vertical="top"/>
    </xf>
    <xf numFmtId="49" fontId="18" fillId="0" borderId="26" xfId="0" applyNumberFormat="1" applyFont="1" applyBorder="1" applyAlignment="1" applyProtection="1">
      <alignment horizontal="center" vertical="center"/>
      <protection locked="0"/>
    </xf>
    <xf numFmtId="49" fontId="18" fillId="0" borderId="28" xfId="0" applyNumberFormat="1" applyFont="1" applyBorder="1" applyAlignment="1" applyProtection="1">
      <alignment horizontal="center" vertical="center"/>
      <protection locked="0"/>
    </xf>
    <xf numFmtId="2" fontId="23" fillId="0" borderId="23" xfId="2" applyNumberFormat="1" applyFont="1" applyBorder="1" applyAlignment="1">
      <alignment horizontal="center" vertical="center"/>
    </xf>
    <xf numFmtId="2" fontId="23" fillId="0" borderId="24" xfId="2" applyNumberFormat="1" applyFont="1" applyBorder="1" applyAlignment="1">
      <alignment horizontal="center" vertical="center"/>
    </xf>
    <xf numFmtId="2" fontId="23" fillId="0" borderId="25" xfId="2" applyNumberFormat="1" applyFont="1" applyBorder="1" applyAlignment="1">
      <alignment horizontal="center" vertical="center"/>
    </xf>
    <xf numFmtId="0" fontId="18" fillId="0" borderId="61" xfId="0" applyFont="1" applyBorder="1" applyAlignment="1" applyProtection="1">
      <alignment horizontal="left"/>
      <protection locked="0"/>
    </xf>
    <xf numFmtId="0" fontId="25" fillId="0" borderId="42" xfId="2" applyFont="1" applyBorder="1" applyAlignment="1" applyProtection="1">
      <alignment horizontal="left"/>
      <protection locked="0"/>
    </xf>
    <xf numFmtId="0" fontId="25" fillId="0" borderId="22" xfId="2" applyFont="1" applyBorder="1" applyAlignment="1" applyProtection="1">
      <alignment horizontal="left"/>
      <protection locked="0"/>
    </xf>
    <xf numFmtId="0" fontId="18" fillId="0" borderId="42" xfId="0" applyFont="1" applyBorder="1" applyAlignment="1" applyProtection="1">
      <alignment horizontal="center"/>
      <protection locked="0"/>
    </xf>
    <xf numFmtId="2" fontId="23" fillId="0" borderId="0" xfId="2" applyNumberFormat="1" applyFont="1" applyAlignment="1">
      <alignment horizontal="center"/>
    </xf>
    <xf numFmtId="1" fontId="25" fillId="0" borderId="86" xfId="2" applyNumberFormat="1" applyFont="1" applyBorder="1" applyAlignment="1" applyProtection="1">
      <alignment horizontal="center"/>
      <protection locked="0"/>
    </xf>
    <xf numFmtId="0" fontId="25" fillId="0" borderId="32" xfId="2" applyFont="1" applyBorder="1" applyAlignment="1" applyProtection="1">
      <alignment horizontal="center"/>
      <protection locked="0"/>
    </xf>
    <xf numFmtId="2" fontId="26" fillId="7" borderId="23" xfId="2" applyNumberFormat="1" applyFont="1" applyFill="1" applyBorder="1" applyAlignment="1">
      <alignment horizontal="center" vertical="center"/>
    </xf>
    <xf numFmtId="2" fontId="26" fillId="7" borderId="25" xfId="2" applyNumberFormat="1" applyFont="1" applyFill="1" applyBorder="1" applyAlignment="1">
      <alignment horizontal="center" vertical="center"/>
    </xf>
    <xf numFmtId="2" fontId="19" fillId="0" borderId="0" xfId="2" applyNumberFormat="1" applyFont="1" applyAlignment="1">
      <alignment horizontal="center" vertical="center"/>
    </xf>
    <xf numFmtId="10" fontId="26" fillId="0" borderId="42" xfId="4" applyNumberFormat="1" applyFont="1" applyBorder="1" applyAlignment="1" applyProtection="1">
      <alignment horizontal="center" vertical="center"/>
      <protection locked="0"/>
    </xf>
    <xf numFmtId="0" fontId="24" fillId="3" borderId="43" xfId="2" applyFont="1" applyFill="1" applyBorder="1" applyAlignment="1" applyProtection="1">
      <alignment horizontal="left" vertical="center" wrapText="1"/>
      <protection locked="0"/>
    </xf>
    <xf numFmtId="0" fontId="24" fillId="3" borderId="44" xfId="2" applyFont="1" applyFill="1" applyBorder="1" applyAlignment="1" applyProtection="1">
      <alignment horizontal="left" vertical="center" wrapText="1"/>
      <protection locked="0"/>
    </xf>
    <xf numFmtId="2" fontId="23" fillId="0" borderId="18" xfId="2" applyNumberFormat="1" applyFont="1" applyBorder="1" applyAlignment="1">
      <alignment horizontal="center" vertical="center"/>
    </xf>
    <xf numFmtId="0" fontId="27" fillId="0" borderId="0" xfId="2" applyFont="1" applyAlignment="1">
      <alignment horizontal="center"/>
    </xf>
    <xf numFmtId="2" fontId="26" fillId="7" borderId="27" xfId="2" applyNumberFormat="1" applyFont="1" applyFill="1" applyBorder="1" applyAlignment="1">
      <alignment horizontal="center" vertical="center"/>
    </xf>
    <xf numFmtId="2" fontId="26" fillId="7" borderId="28" xfId="2" applyNumberFormat="1" applyFont="1" applyFill="1" applyBorder="1" applyAlignment="1">
      <alignment horizontal="center" vertical="center"/>
    </xf>
    <xf numFmtId="2" fontId="26" fillId="7" borderId="24" xfId="2" applyNumberFormat="1" applyFont="1" applyFill="1" applyBorder="1" applyAlignment="1">
      <alignment horizontal="center" vertical="center"/>
    </xf>
    <xf numFmtId="0" fontId="23" fillId="0" borderId="31" xfId="2" applyFont="1" applyBorder="1" applyAlignment="1">
      <alignment horizontal="center" vertical="center"/>
    </xf>
    <xf numFmtId="0" fontId="23" fillId="0" borderId="30" xfId="2" applyFont="1" applyBorder="1" applyAlignment="1">
      <alignment horizontal="center" vertical="center"/>
    </xf>
    <xf numFmtId="0" fontId="23" fillId="0" borderId="37" xfId="2" applyFont="1" applyBorder="1" applyAlignment="1">
      <alignment horizontal="center" vertical="center"/>
    </xf>
    <xf numFmtId="0" fontId="23" fillId="0" borderId="31" xfId="2" applyFont="1" applyBorder="1" applyAlignment="1">
      <alignment horizontal="center" vertical="center" wrapText="1"/>
    </xf>
    <xf numFmtId="0" fontId="23" fillId="0" borderId="30" xfId="2" applyFont="1" applyBorder="1" applyAlignment="1">
      <alignment horizontal="center" vertical="center" wrapText="1"/>
    </xf>
    <xf numFmtId="0" fontId="23" fillId="0" borderId="37" xfId="2" applyFont="1" applyBorder="1" applyAlignment="1">
      <alignment horizontal="center" vertical="center" wrapText="1"/>
    </xf>
    <xf numFmtId="0" fontId="23" fillId="0" borderId="19" xfId="2" applyFont="1" applyBorder="1" applyAlignment="1">
      <alignment horizontal="center" vertical="center" wrapText="1"/>
    </xf>
    <xf numFmtId="0" fontId="23" fillId="0" borderId="21" xfId="2" applyFont="1" applyBorder="1" applyAlignment="1">
      <alignment horizontal="center" vertical="center" wrapText="1"/>
    </xf>
    <xf numFmtId="0" fontId="23" fillId="0" borderId="28" xfId="2" applyFont="1" applyBorder="1" applyAlignment="1">
      <alignment horizontal="center" vertical="center" wrapText="1"/>
    </xf>
    <xf numFmtId="10" fontId="26" fillId="0" borderId="18" xfId="2" applyNumberFormat="1" applyFont="1" applyBorder="1" applyAlignment="1">
      <alignment horizontal="center" vertical="center"/>
    </xf>
    <xf numFmtId="10" fontId="26" fillId="0" borderId="27" xfId="2" applyNumberFormat="1" applyFont="1" applyBorder="1" applyAlignment="1">
      <alignment horizontal="center" vertical="center"/>
    </xf>
    <xf numFmtId="0" fontId="23" fillId="0" borderId="17" xfId="2" applyFont="1" applyBorder="1" applyAlignment="1">
      <alignment horizontal="center" vertical="center" wrapText="1"/>
    </xf>
    <xf numFmtId="0" fontId="23" fillId="0" borderId="18" xfId="2" applyFont="1" applyBorder="1" applyAlignment="1">
      <alignment horizontal="center" vertical="center"/>
    </xf>
    <xf numFmtId="0" fontId="23" fillId="0" borderId="19" xfId="2" applyFont="1" applyBorder="1" applyAlignment="1">
      <alignment horizontal="center" vertical="center"/>
    </xf>
    <xf numFmtId="0" fontId="23" fillId="0" borderId="20" xfId="2" applyFont="1" applyBorder="1" applyAlignment="1">
      <alignment horizontal="center" vertical="center"/>
    </xf>
    <xf numFmtId="0" fontId="23" fillId="0" borderId="0" xfId="2" applyFont="1" applyAlignment="1">
      <alignment horizontal="center" vertical="center"/>
    </xf>
    <xf numFmtId="0" fontId="23" fillId="0" borderId="21" xfId="2" applyFont="1" applyBorder="1" applyAlignment="1">
      <alignment horizontal="center" vertical="center"/>
    </xf>
    <xf numFmtId="0" fontId="23" fillId="0" borderId="26" xfId="2" applyFont="1" applyBorder="1" applyAlignment="1">
      <alignment horizontal="center" vertical="center"/>
    </xf>
    <xf numFmtId="0" fontId="23" fillId="0" borderId="27" xfId="2" applyFont="1" applyBorder="1" applyAlignment="1">
      <alignment horizontal="center" vertical="center"/>
    </xf>
    <xf numFmtId="0" fontId="23" fillId="0" borderId="28" xfId="2" applyFont="1" applyBorder="1" applyAlignment="1">
      <alignment horizontal="center" vertical="center"/>
    </xf>
    <xf numFmtId="0" fontId="21" fillId="7" borderId="17" xfId="2" applyFont="1" applyFill="1" applyBorder="1" applyAlignment="1">
      <alignment horizontal="center" vertical="center"/>
    </xf>
    <xf numFmtId="0" fontId="21" fillId="7" borderId="18" xfId="2" applyFont="1" applyFill="1" applyBorder="1" applyAlignment="1">
      <alignment horizontal="center" vertical="center"/>
    </xf>
    <xf numFmtId="0" fontId="21" fillId="7" borderId="19" xfId="2" applyFont="1" applyFill="1" applyBorder="1" applyAlignment="1">
      <alignment horizontal="center" vertical="center"/>
    </xf>
    <xf numFmtId="0" fontId="21" fillId="7" borderId="26" xfId="2" applyFont="1" applyFill="1" applyBorder="1" applyAlignment="1">
      <alignment horizontal="center" vertical="center"/>
    </xf>
    <xf numFmtId="0" fontId="21" fillId="7" borderId="27" xfId="2" applyFont="1" applyFill="1" applyBorder="1" applyAlignment="1">
      <alignment horizontal="center" vertical="center"/>
    </xf>
    <xf numFmtId="0" fontId="21" fillId="7" borderId="28" xfId="2" applyFont="1" applyFill="1" applyBorder="1" applyAlignment="1">
      <alignment horizontal="center" vertical="center"/>
    </xf>
    <xf numFmtId="3" fontId="26" fillId="3" borderId="45" xfId="2" applyNumberFormat="1" applyFont="1" applyFill="1" applyBorder="1" applyAlignment="1" applyProtection="1">
      <alignment horizontal="right" vertical="center"/>
      <protection locked="0"/>
    </xf>
    <xf numFmtId="10" fontId="26" fillId="0" borderId="69" xfId="4" applyNumberFormat="1" applyFont="1" applyBorder="1" applyAlignment="1" applyProtection="1">
      <alignment horizontal="center" vertical="center"/>
      <protection locked="0"/>
    </xf>
    <xf numFmtId="3" fontId="26" fillId="3" borderId="43" xfId="2" applyNumberFormat="1" applyFont="1" applyFill="1" applyBorder="1" applyAlignment="1" applyProtection="1">
      <alignment horizontal="right" vertical="center"/>
      <protection locked="0"/>
    </xf>
    <xf numFmtId="0" fontId="24" fillId="3" borderId="43" xfId="2" applyFont="1" applyFill="1" applyBorder="1" applyAlignment="1" applyProtection="1">
      <alignment horizontal="left" vertical="center"/>
      <protection locked="0"/>
    </xf>
    <xf numFmtId="0" fontId="24" fillId="3" borderId="44" xfId="2" applyFont="1" applyFill="1" applyBorder="1" applyAlignment="1" applyProtection="1">
      <alignment horizontal="left" vertical="center"/>
      <protection locked="0"/>
    </xf>
    <xf numFmtId="0" fontId="25" fillId="0" borderId="18" xfId="2" applyFont="1" applyBorder="1" applyAlignment="1">
      <alignment horizontal="right" vertical="center"/>
    </xf>
    <xf numFmtId="0" fontId="25" fillId="0" borderId="27" xfId="2" applyFont="1" applyBorder="1" applyAlignment="1">
      <alignment horizontal="right" vertical="center"/>
    </xf>
    <xf numFmtId="3" fontId="26" fillId="0" borderId="18" xfId="2" applyNumberFormat="1" applyFont="1" applyBorder="1" applyAlignment="1">
      <alignment horizontal="right" vertical="center"/>
    </xf>
    <xf numFmtId="3" fontId="26" fillId="0" borderId="27" xfId="2" applyNumberFormat="1" applyFont="1" applyBorder="1" applyAlignment="1">
      <alignment horizontal="right" vertical="center"/>
    </xf>
    <xf numFmtId="0" fontId="24" fillId="0" borderId="20" xfId="2" applyFont="1" applyBorder="1" applyAlignment="1">
      <alignment horizontal="left"/>
    </xf>
    <xf numFmtId="0" fontId="24" fillId="0" borderId="0" xfId="2" applyFont="1" applyAlignment="1">
      <alignment horizontal="left"/>
    </xf>
    <xf numFmtId="0" fontId="24" fillId="0" borderId="21" xfId="2" applyFont="1" applyBorder="1" applyAlignment="1">
      <alignment horizontal="left"/>
    </xf>
    <xf numFmtId="0" fontId="25" fillId="0" borderId="207" xfId="0" applyFont="1" applyBorder="1" applyAlignment="1" applyProtection="1">
      <alignment horizontal="left" vertical="center" wrapText="1" indent="1"/>
      <protection locked="0"/>
    </xf>
    <xf numFmtId="0" fontId="25" fillId="0" borderId="49" xfId="0" applyFont="1" applyBorder="1" applyAlignment="1" applyProtection="1">
      <alignment horizontal="left" vertical="center" wrapText="1" indent="1"/>
      <protection locked="0"/>
    </xf>
    <xf numFmtId="0" fontId="0" fillId="0" borderId="0" xfId="0"/>
    <xf numFmtId="0" fontId="47" fillId="11" borderId="49" xfId="0" applyFont="1" applyFill="1" applyBorder="1" applyAlignment="1">
      <alignment horizontal="center" vertical="center"/>
    </xf>
    <xf numFmtId="0" fontId="23" fillId="11" borderId="49" xfId="0" applyFont="1" applyFill="1" applyBorder="1" applyAlignment="1">
      <alignment horizontal="center" vertical="center"/>
    </xf>
    <xf numFmtId="0" fontId="27" fillId="0" borderId="4" xfId="0" applyFont="1" applyBorder="1" applyAlignment="1">
      <alignment horizontal="center"/>
    </xf>
    <xf numFmtId="0" fontId="27" fillId="0" borderId="0" xfId="0" applyFont="1" applyAlignment="1">
      <alignment horizontal="center"/>
    </xf>
    <xf numFmtId="0" fontId="27" fillId="0" borderId="8" xfId="0" applyFont="1" applyBorder="1" applyAlignment="1">
      <alignment horizontal="center"/>
    </xf>
    <xf numFmtId="0" fontId="23" fillId="11" borderId="49" xfId="0" applyFont="1" applyFill="1" applyBorder="1" applyAlignment="1">
      <alignment horizontal="center" vertical="center" wrapText="1"/>
    </xf>
    <xf numFmtId="0" fontId="23" fillId="11" borderId="208" xfId="0" applyFont="1" applyFill="1" applyBorder="1" applyAlignment="1">
      <alignment horizontal="center" vertical="center" wrapText="1"/>
    </xf>
    <xf numFmtId="0" fontId="4" fillId="0" borderId="49" xfId="0" applyFont="1" applyBorder="1" applyAlignment="1" applyProtection="1">
      <alignment horizontal="left" vertical="center" wrapText="1"/>
      <protection locked="0"/>
    </xf>
    <xf numFmtId="0" fontId="4" fillId="0" borderId="208" xfId="0" applyFont="1" applyBorder="1" applyAlignment="1" applyProtection="1">
      <alignment horizontal="left" vertical="center" wrapText="1"/>
      <protection locked="0"/>
    </xf>
    <xf numFmtId="0" fontId="23" fillId="11" borderId="207" xfId="0" applyFont="1" applyFill="1" applyBorder="1" applyAlignment="1">
      <alignment horizontal="center" vertical="center"/>
    </xf>
    <xf numFmtId="49" fontId="1" fillId="0" borderId="204" xfId="0" applyNumberFormat="1" applyFont="1" applyBorder="1" applyAlignment="1">
      <alignment horizontal="center" vertical="center" wrapText="1"/>
    </xf>
    <xf numFmtId="49" fontId="8" fillId="0" borderId="1" xfId="0" applyNumberFormat="1" applyFont="1" applyBorder="1" applyAlignment="1" applyProtection="1">
      <alignment horizontal="center" vertical="center"/>
      <protection locked="0"/>
    </xf>
    <xf numFmtId="49" fontId="8" fillId="0" borderId="2" xfId="0" applyNumberFormat="1" applyFont="1" applyBorder="1" applyAlignment="1" applyProtection="1">
      <alignment horizontal="center" vertical="center"/>
      <protection locked="0"/>
    </xf>
    <xf numFmtId="49" fontId="8" fillId="0" borderId="3" xfId="0" applyNumberFormat="1" applyFont="1" applyBorder="1" applyAlignment="1" applyProtection="1">
      <alignment horizontal="center" vertical="center"/>
      <protection locked="0"/>
    </xf>
    <xf numFmtId="0" fontId="4" fillId="0" borderId="48" xfId="0" applyFont="1" applyBorder="1" applyAlignment="1">
      <alignment horizontal="center"/>
    </xf>
    <xf numFmtId="49" fontId="18" fillId="0" borderId="42" xfId="0" applyNumberFormat="1" applyFont="1" applyBorder="1" applyAlignment="1" applyProtection="1">
      <alignment horizontal="left"/>
      <protection locked="0"/>
    </xf>
    <xf numFmtId="49" fontId="18" fillId="0" borderId="205" xfId="0" applyNumberFormat="1" applyFont="1" applyBorder="1" applyAlignment="1" applyProtection="1">
      <alignment horizontal="left"/>
      <protection locked="0"/>
    </xf>
    <xf numFmtId="0" fontId="18" fillId="0" borderId="42" xfId="0" applyFont="1" applyBorder="1" applyAlignment="1" applyProtection="1">
      <alignment horizontal="left"/>
      <protection locked="0"/>
    </xf>
    <xf numFmtId="0" fontId="4" fillId="0" borderId="0" xfId="0" applyFont="1" applyAlignment="1">
      <alignment horizontal="center"/>
    </xf>
    <xf numFmtId="0" fontId="19" fillId="0" borderId="4" xfId="0" applyFont="1" applyBorder="1" applyAlignment="1">
      <alignment horizontal="center" vertical="center"/>
    </xf>
    <xf numFmtId="0" fontId="19" fillId="0" borderId="8" xfId="0" applyFont="1" applyBorder="1" applyAlignment="1">
      <alignment horizontal="center" vertical="center"/>
    </xf>
    <xf numFmtId="0" fontId="24" fillId="11" borderId="207" xfId="0" applyFont="1" applyFill="1" applyBorder="1" applyAlignment="1">
      <alignment horizontal="center" vertical="center"/>
    </xf>
    <xf numFmtId="0" fontId="24" fillId="11" borderId="49" xfId="0" applyFont="1" applyFill="1" applyBorder="1" applyAlignment="1">
      <alignment horizontal="center" vertical="center"/>
    </xf>
    <xf numFmtId="0" fontId="24" fillId="11" borderId="49" xfId="0" applyFont="1" applyFill="1" applyBorder="1" applyAlignment="1">
      <alignment horizontal="center" vertical="center" wrapText="1"/>
    </xf>
    <xf numFmtId="0" fontId="24" fillId="11" borderId="208" xfId="0" applyFont="1" applyFill="1" applyBorder="1" applyAlignment="1">
      <alignment horizontal="center" vertical="center" wrapText="1"/>
    </xf>
    <xf numFmtId="49" fontId="16" fillId="0" borderId="102" xfId="0" applyNumberFormat="1" applyFont="1" applyBorder="1" applyAlignment="1">
      <alignment horizontal="center" vertical="center" wrapText="1"/>
    </xf>
    <xf numFmtId="49" fontId="16" fillId="0" borderId="103" xfId="0" applyNumberFormat="1" applyFont="1" applyBorder="1" applyAlignment="1">
      <alignment horizontal="center" vertical="center" wrapText="1"/>
    </xf>
    <xf numFmtId="49" fontId="16" fillId="0" borderId="104" xfId="0" applyNumberFormat="1" applyFont="1" applyBorder="1" applyAlignment="1">
      <alignment horizontal="center" vertical="center" wrapText="1"/>
    </xf>
    <xf numFmtId="0" fontId="4" fillId="11" borderId="29" xfId="0" applyFont="1" applyFill="1" applyBorder="1" applyAlignment="1">
      <alignment horizontal="center" vertical="center" wrapText="1"/>
    </xf>
    <xf numFmtId="0" fontId="19" fillId="0" borderId="27"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23" fillId="11" borderId="29"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4" fillId="11" borderId="31" xfId="0" applyFont="1" applyFill="1" applyBorder="1" applyAlignment="1">
      <alignment horizontal="center" vertical="center" wrapText="1"/>
    </xf>
    <xf numFmtId="0" fontId="18" fillId="0" borderId="100" xfId="0" applyFont="1" applyBorder="1" applyAlignment="1">
      <alignment horizontal="left" vertical="center"/>
    </xf>
    <xf numFmtId="0" fontId="4" fillId="0" borderId="20" xfId="0" applyFont="1" applyBorder="1" applyAlignment="1">
      <alignment horizontal="left" vertical="center" wrapText="1" indent="1"/>
    </xf>
    <xf numFmtId="0" fontId="4" fillId="0" borderId="21" xfId="0" applyFont="1" applyBorder="1" applyAlignment="1">
      <alignment horizontal="left" vertical="center" wrapText="1" indent="1"/>
    </xf>
    <xf numFmtId="0" fontId="18" fillId="10" borderId="23" xfId="0" applyFont="1" applyFill="1" applyBorder="1" applyAlignment="1">
      <alignment horizontal="left" vertical="center" wrapText="1" indent="1"/>
    </xf>
    <xf numFmtId="0" fontId="18" fillId="10" borderId="24" xfId="0" applyFont="1" applyFill="1" applyBorder="1" applyAlignment="1">
      <alignment horizontal="left" vertical="center" wrapText="1" indent="1"/>
    </xf>
    <xf numFmtId="0" fontId="18" fillId="10" borderId="25" xfId="0" applyFont="1" applyFill="1" applyBorder="1" applyAlignment="1">
      <alignment horizontal="left" vertical="center" wrapText="1" indent="1"/>
    </xf>
    <xf numFmtId="0" fontId="18" fillId="7" borderId="23" xfId="0" applyFont="1" applyFill="1" applyBorder="1" applyAlignment="1">
      <alignment horizontal="left" vertical="center" wrapText="1" indent="1"/>
    </xf>
    <xf numFmtId="0" fontId="18" fillId="7" borderId="24" xfId="0" applyFont="1" applyFill="1" applyBorder="1" applyAlignment="1">
      <alignment horizontal="left" vertical="center" wrapText="1" indent="1"/>
    </xf>
    <xf numFmtId="0" fontId="18" fillId="7" borderId="25" xfId="0" applyFont="1" applyFill="1" applyBorder="1" applyAlignment="1">
      <alignment horizontal="left" vertical="center" wrapText="1" indent="1"/>
    </xf>
    <xf numFmtId="0" fontId="18" fillId="0" borderId="20" xfId="0" applyFont="1" applyBorder="1" applyAlignment="1">
      <alignment horizontal="left" vertical="center" wrapText="1" indent="1"/>
    </xf>
    <xf numFmtId="0" fontId="18" fillId="0" borderId="21" xfId="0" applyFont="1" applyBorder="1" applyAlignment="1">
      <alignment horizontal="left" vertical="center" wrapText="1" indent="1"/>
    </xf>
    <xf numFmtId="0" fontId="83" fillId="0" borderId="20" xfId="0" applyFont="1" applyBorder="1" applyAlignment="1">
      <alignment horizontal="left" vertical="center" wrapText="1"/>
    </xf>
    <xf numFmtId="0" fontId="83" fillId="0" borderId="0" xfId="0" applyFont="1" applyAlignment="1">
      <alignment horizontal="left" vertical="center" wrapText="1"/>
    </xf>
    <xf numFmtId="0" fontId="8" fillId="0" borderId="0" xfId="0" applyFont="1" applyAlignment="1">
      <alignment horizontal="center" vertical="center"/>
    </xf>
    <xf numFmtId="0" fontId="1" fillId="0" borderId="102" xfId="0" applyFont="1" applyBorder="1" applyAlignment="1">
      <alignment horizontal="center" vertical="center" wrapText="1"/>
    </xf>
    <xf numFmtId="0" fontId="1" fillId="0" borderId="103" xfId="0" applyFont="1" applyBorder="1" applyAlignment="1">
      <alignment horizontal="center" vertical="center" wrapText="1"/>
    </xf>
    <xf numFmtId="0" fontId="1" fillId="0" borderId="104" xfId="0" applyFont="1" applyBorder="1" applyAlignment="1">
      <alignment horizontal="center" vertical="center" wrapText="1"/>
    </xf>
    <xf numFmtId="0" fontId="18" fillId="7" borderId="228" xfId="0" applyFont="1" applyFill="1" applyBorder="1" applyAlignment="1">
      <alignment horizontal="left" vertical="center" wrapText="1" indent="1"/>
    </xf>
    <xf numFmtId="0" fontId="18" fillId="7" borderId="229" xfId="0" applyFont="1" applyFill="1" applyBorder="1" applyAlignment="1">
      <alignment horizontal="left" vertical="center" wrapText="1" indent="1"/>
    </xf>
    <xf numFmtId="0" fontId="18" fillId="7" borderId="230" xfId="0" applyFont="1" applyFill="1" applyBorder="1" applyAlignment="1">
      <alignment horizontal="left" vertical="center" wrapText="1" indent="1"/>
    </xf>
    <xf numFmtId="0" fontId="18" fillId="7" borderId="143" xfId="0" applyFont="1" applyFill="1" applyBorder="1" applyAlignment="1">
      <alignment horizontal="left" vertical="center" wrapText="1" indent="1"/>
    </xf>
    <xf numFmtId="0" fontId="18" fillId="7" borderId="105" xfId="0" applyFont="1" applyFill="1" applyBorder="1" applyAlignment="1">
      <alignment horizontal="left" vertical="center" wrapText="1" indent="1"/>
    </xf>
    <xf numFmtId="0" fontId="18" fillId="7" borderId="106" xfId="0" applyFont="1" applyFill="1" applyBorder="1" applyAlignment="1">
      <alignment horizontal="left" vertical="center" wrapText="1" indent="1"/>
    </xf>
    <xf numFmtId="0" fontId="45" fillId="0" borderId="0" xfId="0" applyFont="1" applyAlignment="1">
      <alignment horizontal="left" vertical="center" wrapText="1" indent="1"/>
    </xf>
    <xf numFmtId="0" fontId="18" fillId="0" borderId="100" xfId="0" applyFont="1" applyBorder="1" applyAlignment="1">
      <alignment horizontal="center" vertical="center"/>
    </xf>
    <xf numFmtId="0" fontId="4" fillId="11" borderId="220" xfId="0" quotePrefix="1" applyFont="1" applyFill="1" applyBorder="1" applyAlignment="1">
      <alignment horizontal="center" vertical="center" wrapText="1"/>
    </xf>
    <xf numFmtId="0" fontId="4" fillId="11" borderId="25" xfId="0" applyFont="1" applyFill="1" applyBorder="1" applyAlignment="1">
      <alignment horizontal="center" vertical="center" wrapText="1"/>
    </xf>
    <xf numFmtId="0" fontId="4" fillId="11" borderId="221" xfId="0" applyFont="1" applyFill="1" applyBorder="1" applyAlignment="1">
      <alignment horizontal="center" vertical="center" wrapText="1"/>
    </xf>
    <xf numFmtId="0" fontId="4" fillId="11" borderId="222" xfId="0" applyFont="1" applyFill="1" applyBorder="1" applyAlignment="1">
      <alignment horizontal="center" vertical="center" wrapText="1"/>
    </xf>
    <xf numFmtId="0" fontId="4" fillId="11" borderId="224" xfId="0" applyFont="1" applyFill="1" applyBorder="1" applyAlignment="1">
      <alignment horizontal="center" vertical="center" wrapText="1"/>
    </xf>
    <xf numFmtId="0" fontId="4" fillId="11" borderId="217" xfId="0" applyFont="1" applyFill="1" applyBorder="1" applyAlignment="1">
      <alignment horizontal="center" vertical="center" wrapText="1"/>
    </xf>
    <xf numFmtId="0" fontId="4" fillId="11" borderId="218" xfId="0" applyFont="1" applyFill="1" applyBorder="1" applyAlignment="1">
      <alignment horizontal="center" vertical="center" wrapText="1"/>
    </xf>
    <xf numFmtId="0" fontId="4" fillId="11" borderId="219" xfId="0" applyFont="1" applyFill="1" applyBorder="1" applyAlignment="1">
      <alignment horizontal="center" vertical="center" wrapText="1"/>
    </xf>
    <xf numFmtId="0" fontId="4" fillId="11" borderId="144" xfId="0" applyFont="1" applyFill="1" applyBorder="1" applyAlignment="1">
      <alignment horizontal="center" vertical="center" wrapText="1"/>
    </xf>
    <xf numFmtId="0" fontId="4" fillId="11" borderId="105" xfId="0" applyFont="1" applyFill="1" applyBorder="1" applyAlignment="1">
      <alignment horizontal="center" vertical="center" wrapText="1"/>
    </xf>
    <xf numFmtId="0" fontId="4" fillId="11" borderId="145" xfId="0" applyFont="1" applyFill="1" applyBorder="1" applyAlignment="1">
      <alignment horizontal="center" vertical="center" wrapText="1"/>
    </xf>
    <xf numFmtId="0" fontId="4" fillId="11" borderId="216" xfId="0" applyFont="1" applyFill="1" applyBorder="1" applyAlignment="1">
      <alignment horizontal="center" vertical="center" wrapText="1"/>
    </xf>
    <xf numFmtId="0" fontId="4" fillId="11" borderId="223" xfId="0" applyFont="1" applyFill="1" applyBorder="1" applyAlignment="1">
      <alignment horizontal="center" vertical="center" wrapText="1"/>
    </xf>
    <xf numFmtId="0" fontId="78" fillId="0" borderId="46" xfId="0" applyFont="1" applyBorder="1" applyAlignment="1">
      <alignment horizontal="left" vertical="center"/>
    </xf>
    <xf numFmtId="0" fontId="78" fillId="0" borderId="50" xfId="0" applyFont="1" applyBorder="1" applyAlignment="1">
      <alignment horizontal="left" vertical="center"/>
    </xf>
    <xf numFmtId="0" fontId="78" fillId="0" borderId="47" xfId="0" applyFont="1" applyBorder="1" applyAlignment="1">
      <alignment horizontal="left" vertical="center"/>
    </xf>
    <xf numFmtId="0" fontId="78" fillId="0" borderId="49" xfId="0" applyFont="1" applyBorder="1" applyAlignment="1">
      <alignment horizontal="left" vertical="center"/>
    </xf>
    <xf numFmtId="0" fontId="12" fillId="0" borderId="0" xfId="0" applyFont="1" applyAlignment="1">
      <alignment horizontal="left" vertical="top" wrapText="1"/>
    </xf>
    <xf numFmtId="0" fontId="18" fillId="0" borderId="42" xfId="0" applyFont="1" applyBorder="1" applyAlignment="1">
      <alignment horizontal="left"/>
    </xf>
    <xf numFmtId="0" fontId="78" fillId="0" borderId="49" xfId="0" applyFont="1" applyBorder="1" applyAlignment="1">
      <alignment horizontal="left" vertical="center" wrapText="1"/>
    </xf>
    <xf numFmtId="0" fontId="18" fillId="0" borderId="42"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18" fillId="0" borderId="22" xfId="0" applyFont="1" applyBorder="1" applyAlignment="1">
      <alignment horizontal="left"/>
    </xf>
    <xf numFmtId="0" fontId="47" fillId="11" borderId="46" xfId="0" applyFont="1" applyFill="1" applyBorder="1" applyAlignment="1">
      <alignment horizontal="center" vertical="center"/>
    </xf>
    <xf numFmtId="0" fontId="47" fillId="11" borderId="50" xfId="0" applyFont="1" applyFill="1" applyBorder="1" applyAlignment="1">
      <alignment horizontal="center" vertical="center"/>
    </xf>
    <xf numFmtId="0" fontId="47" fillId="11" borderId="47" xfId="0" applyFont="1" applyFill="1" applyBorder="1" applyAlignment="1">
      <alignment horizontal="center" vertical="center"/>
    </xf>
    <xf numFmtId="0" fontId="4" fillId="0" borderId="207" xfId="0" applyFont="1" applyBorder="1" applyAlignment="1">
      <alignment horizontal="left" vertical="center" wrapText="1" indent="1"/>
    </xf>
    <xf numFmtId="0" fontId="4" fillId="0" borderId="49" xfId="0" applyFont="1" applyBorder="1" applyAlignment="1">
      <alignment horizontal="left" vertical="center" wrapText="1" indent="1"/>
    </xf>
    <xf numFmtId="0" fontId="4" fillId="0" borderId="46" xfId="0" applyFont="1" applyBorder="1" applyAlignment="1">
      <alignment horizontal="left" vertical="center" wrapText="1" indent="1"/>
    </xf>
    <xf numFmtId="0" fontId="18" fillId="9" borderId="253" xfId="0" applyFont="1" applyFill="1" applyBorder="1" applyAlignment="1">
      <alignment horizontal="left" vertical="center" wrapText="1" indent="1"/>
    </xf>
    <xf numFmtId="0" fontId="18" fillId="9" borderId="254" xfId="0" applyFont="1" applyFill="1" applyBorder="1" applyAlignment="1">
      <alignment horizontal="left" vertical="center" wrapText="1" indent="1"/>
    </xf>
    <xf numFmtId="0" fontId="18" fillId="9" borderId="213" xfId="0" applyFont="1" applyFill="1" applyBorder="1" applyAlignment="1">
      <alignment horizontal="left" vertical="center" wrapText="1" indent="1"/>
    </xf>
    <xf numFmtId="0" fontId="23" fillId="0" borderId="207" xfId="0" applyFont="1" applyBorder="1" applyAlignment="1">
      <alignment horizontal="left" vertical="center" wrapText="1" indent="1"/>
    </xf>
    <xf numFmtId="0" fontId="23" fillId="0" borderId="49" xfId="0" applyFont="1" applyBorder="1" applyAlignment="1">
      <alignment horizontal="left" vertical="center" wrapText="1" indent="1"/>
    </xf>
    <xf numFmtId="0" fontId="23" fillId="0" borderId="46" xfId="0" applyFont="1" applyBorder="1" applyAlignment="1">
      <alignment horizontal="left" vertical="center" wrapText="1" indent="1"/>
    </xf>
    <xf numFmtId="0" fontId="18" fillId="0" borderId="207"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46" xfId="0" applyFont="1" applyBorder="1" applyAlignment="1">
      <alignment horizontal="center" vertical="center" wrapText="1"/>
    </xf>
    <xf numFmtId="0" fontId="36" fillId="0" borderId="207" xfId="0" applyFont="1" applyBorder="1" applyAlignment="1">
      <alignment horizontal="left" vertical="center" wrapText="1" indent="1"/>
    </xf>
    <xf numFmtId="0" fontId="36" fillId="0" borderId="49" xfId="0" applyFont="1" applyBorder="1" applyAlignment="1">
      <alignment horizontal="left" vertical="center" wrapText="1" indent="1"/>
    </xf>
    <xf numFmtId="0" fontId="18" fillId="2" borderId="207" xfId="0" applyFont="1" applyFill="1" applyBorder="1" applyAlignment="1">
      <alignment horizontal="left" vertical="center" wrapText="1" indent="1"/>
    </xf>
    <xf numFmtId="0" fontId="18" fillId="2" borderId="49" xfId="0" applyFont="1" applyFill="1" applyBorder="1" applyAlignment="1">
      <alignment horizontal="left" vertical="center" wrapText="1" indent="1"/>
    </xf>
    <xf numFmtId="0" fontId="18" fillId="9" borderId="207" xfId="0" applyFont="1" applyFill="1" applyBorder="1" applyAlignment="1">
      <alignment horizontal="left" vertical="center" wrapText="1" indent="1"/>
    </xf>
    <xf numFmtId="0" fontId="18" fillId="9" borderId="49" xfId="0" applyFont="1" applyFill="1" applyBorder="1" applyAlignment="1">
      <alignment horizontal="left" vertical="center" wrapText="1" indent="1"/>
    </xf>
    <xf numFmtId="49" fontId="1" fillId="0" borderId="47" xfId="0" applyNumberFormat="1" applyFont="1" applyBorder="1" applyAlignment="1">
      <alignment horizontal="center" vertical="center"/>
    </xf>
    <xf numFmtId="0" fontId="18" fillId="0" borderId="61" xfId="0" applyFont="1" applyBorder="1" applyAlignment="1">
      <alignment horizontal="left" vertical="center"/>
    </xf>
    <xf numFmtId="0" fontId="41" fillId="0" borderId="0" xfId="0" applyFont="1" applyAlignment="1">
      <alignment horizontal="left" vertical="center" wrapText="1"/>
    </xf>
    <xf numFmtId="0" fontId="4" fillId="11" borderId="248" xfId="0" applyFont="1" applyFill="1" applyBorder="1" applyAlignment="1">
      <alignment horizontal="center" vertical="center" wrapText="1"/>
    </xf>
    <xf numFmtId="0" fontId="4" fillId="11" borderId="249" xfId="0" applyFont="1" applyFill="1" applyBorder="1" applyAlignment="1">
      <alignment horizontal="center" vertical="center" wrapText="1"/>
    </xf>
    <xf numFmtId="0" fontId="4" fillId="11" borderId="250"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246" xfId="0" applyFont="1" applyFill="1" applyBorder="1" applyAlignment="1">
      <alignment horizontal="center" vertical="center" wrapText="1"/>
    </xf>
    <xf numFmtId="0" fontId="4" fillId="11" borderId="251" xfId="0" applyFont="1" applyFill="1" applyBorder="1" applyAlignment="1">
      <alignment horizontal="center" vertical="center" wrapText="1"/>
    </xf>
    <xf numFmtId="0" fontId="4" fillId="11" borderId="40" xfId="0" applyFont="1" applyFill="1" applyBorder="1" applyAlignment="1">
      <alignment horizontal="center" vertical="center" wrapText="1"/>
    </xf>
    <xf numFmtId="0" fontId="4" fillId="11" borderId="41" xfId="0" applyFont="1" applyFill="1" applyBorder="1" applyAlignment="1">
      <alignment horizontal="center" vertical="center" wrapText="1"/>
    </xf>
    <xf numFmtId="0" fontId="4" fillId="11" borderId="247" xfId="0" applyFont="1" applyFill="1" applyBorder="1" applyAlignment="1">
      <alignment horizontal="center" vertical="center" wrapText="1"/>
    </xf>
    <xf numFmtId="0" fontId="4" fillId="11" borderId="55" xfId="0" applyFont="1" applyFill="1" applyBorder="1" applyAlignment="1">
      <alignment horizontal="center" vertical="center" wrapText="1"/>
    </xf>
    <xf numFmtId="0" fontId="18" fillId="11" borderId="209" xfId="0" applyFont="1" applyFill="1" applyBorder="1" applyAlignment="1">
      <alignment horizontal="center" vertical="center" wrapText="1"/>
    </xf>
    <xf numFmtId="0" fontId="18" fillId="11" borderId="50" xfId="0" applyFont="1" applyFill="1" applyBorder="1" applyAlignment="1">
      <alignment horizontal="center" vertical="center" wrapText="1"/>
    </xf>
    <xf numFmtId="0" fontId="18" fillId="11" borderId="210" xfId="0" applyFont="1" applyFill="1" applyBorder="1" applyAlignment="1">
      <alignment horizontal="center" vertical="center" wrapText="1"/>
    </xf>
    <xf numFmtId="0" fontId="52" fillId="0" borderId="14" xfId="0" applyFont="1" applyBorder="1" applyAlignment="1" applyProtection="1">
      <alignment horizontal="left" vertical="top" wrapText="1" indent="1"/>
      <protection locked="0"/>
    </xf>
    <xf numFmtId="0" fontId="52" fillId="0" borderId="15" xfId="0" applyFont="1" applyBorder="1" applyAlignment="1" applyProtection="1">
      <alignment horizontal="left" vertical="top" wrapText="1" indent="1"/>
      <protection locked="0"/>
    </xf>
    <xf numFmtId="0" fontId="52" fillId="0" borderId="16" xfId="0" applyFont="1" applyBorder="1" applyAlignment="1" applyProtection="1">
      <alignment horizontal="left" vertical="top" wrapText="1" indent="1"/>
      <protection locked="0"/>
    </xf>
    <xf numFmtId="0" fontId="18" fillId="11" borderId="256" xfId="0" applyFont="1" applyFill="1" applyBorder="1" applyAlignment="1">
      <alignment horizontal="center" vertical="center" wrapText="1"/>
    </xf>
    <xf numFmtId="0" fontId="18" fillId="11" borderId="249" xfId="0" applyFont="1" applyFill="1" applyBorder="1" applyAlignment="1">
      <alignment horizontal="center" vertical="center" wrapText="1"/>
    </xf>
    <xf numFmtId="0" fontId="18" fillId="11" borderId="250" xfId="0" applyFont="1" applyFill="1" applyBorder="1" applyAlignment="1">
      <alignment horizontal="center" vertical="center" wrapText="1"/>
    </xf>
    <xf numFmtId="0" fontId="52" fillId="0" borderId="4" xfId="0" applyFont="1" applyBorder="1" applyAlignment="1" applyProtection="1">
      <alignment horizontal="left" vertical="top" wrapText="1" indent="1"/>
      <protection locked="0"/>
    </xf>
    <xf numFmtId="0" fontId="52" fillId="0" borderId="0" xfId="0" applyFont="1" applyAlignment="1" applyProtection="1">
      <alignment horizontal="left" vertical="top" wrapText="1" indent="1"/>
      <protection locked="0"/>
    </xf>
    <xf numFmtId="0" fontId="52" fillId="0" borderId="8" xfId="0" applyFont="1" applyBorder="1" applyAlignment="1" applyProtection="1">
      <alignment horizontal="left" vertical="top" wrapText="1" indent="1"/>
      <protection locked="0"/>
    </xf>
    <xf numFmtId="49" fontId="85" fillId="0" borderId="0" xfId="0" applyNumberFormat="1" applyFont="1" applyAlignment="1">
      <alignment vertical="center"/>
    </xf>
    <xf numFmtId="49" fontId="41" fillId="0" borderId="0" xfId="0" applyNumberFormat="1" applyFont="1" applyAlignment="1">
      <alignment horizontal="left" vertical="top" wrapText="1"/>
    </xf>
    <xf numFmtId="0" fontId="4" fillId="0" borderId="4" xfId="0" applyFont="1" applyBorder="1" applyAlignment="1">
      <alignment horizontal="left" vertical="center" wrapText="1" indent="1"/>
    </xf>
    <xf numFmtId="0" fontId="1" fillId="11" borderId="251" xfId="0" applyFont="1" applyFill="1" applyBorder="1" applyAlignment="1">
      <alignment horizontal="left" vertical="center" wrapText="1" indent="1"/>
    </xf>
    <xf numFmtId="0" fontId="1" fillId="11" borderId="40" xfId="0" applyFont="1" applyFill="1" applyBorder="1" applyAlignment="1">
      <alignment horizontal="left" vertical="center" wrapText="1" indent="1"/>
    </xf>
    <xf numFmtId="0" fontId="1" fillId="11" borderId="41" xfId="0" applyFont="1" applyFill="1" applyBorder="1" applyAlignment="1">
      <alignment horizontal="left" vertical="center" wrapText="1" indent="1"/>
    </xf>
    <xf numFmtId="0" fontId="18" fillId="5" borderId="209" xfId="0" applyFont="1" applyFill="1" applyBorder="1" applyAlignment="1">
      <alignment horizontal="left" vertical="center" wrapText="1" indent="1"/>
    </xf>
    <xf numFmtId="0" fontId="18" fillId="5" borderId="50" xfId="0" applyFont="1" applyFill="1" applyBorder="1" applyAlignment="1">
      <alignment horizontal="left" vertical="center" wrapText="1" indent="1"/>
    </xf>
    <xf numFmtId="0" fontId="18" fillId="5" borderId="47" xfId="0" applyFont="1" applyFill="1" applyBorder="1" applyAlignment="1">
      <alignment horizontal="left" vertical="center" wrapText="1" indent="1"/>
    </xf>
    <xf numFmtId="0" fontId="4" fillId="0" borderId="4" xfId="0" applyFont="1" applyBorder="1" applyAlignment="1">
      <alignment horizontal="left" vertical="center" indent="1"/>
    </xf>
    <xf numFmtId="0" fontId="4" fillId="0" borderId="0" xfId="0" applyFont="1" applyAlignment="1">
      <alignment horizontal="left" vertical="center" indent="1"/>
    </xf>
    <xf numFmtId="0" fontId="18" fillId="6" borderId="211" xfId="0" applyFont="1" applyFill="1" applyBorder="1" applyAlignment="1">
      <alignment horizontal="left" vertical="center" wrapText="1" indent="1"/>
    </xf>
    <xf numFmtId="0" fontId="18" fillId="6" borderId="214" xfId="0" applyFont="1" applyFill="1" applyBorder="1" applyAlignment="1">
      <alignment horizontal="left" vertical="center" wrapText="1" indent="1"/>
    </xf>
    <xf numFmtId="0" fontId="18" fillId="6" borderId="212" xfId="0" applyFont="1" applyFill="1" applyBorder="1" applyAlignment="1">
      <alignment horizontal="left" vertical="center" wrapText="1" indent="1"/>
    </xf>
    <xf numFmtId="0" fontId="18" fillId="0" borderId="209" xfId="0" applyFont="1" applyBorder="1" applyAlignment="1">
      <alignment horizontal="left" vertical="center" indent="1"/>
    </xf>
    <xf numFmtId="0" fontId="18" fillId="0" borderId="50" xfId="0" applyFont="1" applyBorder="1" applyAlignment="1">
      <alignment horizontal="left" vertical="center" indent="1"/>
    </xf>
    <xf numFmtId="0" fontId="18" fillId="0" borderId="47" xfId="0" applyFont="1" applyBorder="1" applyAlignment="1">
      <alignment horizontal="left" vertical="center" indent="1"/>
    </xf>
    <xf numFmtId="0" fontId="4" fillId="0" borderId="209" xfId="0" applyFont="1" applyBorder="1" applyAlignment="1">
      <alignment horizontal="left" vertical="center" wrapText="1" indent="1"/>
    </xf>
    <xf numFmtId="0" fontId="4" fillId="0" borderId="50" xfId="0" applyFont="1" applyBorder="1" applyAlignment="1">
      <alignment horizontal="left" vertical="center" wrapText="1" indent="1"/>
    </xf>
    <xf numFmtId="0" fontId="4" fillId="0" borderId="47" xfId="0" applyFont="1" applyBorder="1" applyAlignment="1">
      <alignment horizontal="left" vertical="center" wrapText="1" indent="1"/>
    </xf>
    <xf numFmtId="0" fontId="4" fillId="0" borderId="209" xfId="0" applyFont="1" applyBorder="1" applyAlignment="1">
      <alignment horizontal="left" vertical="center" indent="1"/>
    </xf>
    <xf numFmtId="0" fontId="4" fillId="0" borderId="50" xfId="0" applyFont="1" applyBorder="1" applyAlignment="1">
      <alignment horizontal="left" vertical="center" indent="1"/>
    </xf>
    <xf numFmtId="0" fontId="4" fillId="0" borderId="47" xfId="0" applyFont="1" applyBorder="1" applyAlignment="1">
      <alignment horizontal="left" vertical="center" indent="1"/>
    </xf>
    <xf numFmtId="0" fontId="18" fillId="0" borderId="61" xfId="0" applyFont="1" applyBorder="1" applyAlignment="1">
      <alignment horizontal="center" vertical="center"/>
    </xf>
    <xf numFmtId="0" fontId="1" fillId="11" borderId="257" xfId="0" applyFont="1" applyFill="1" applyBorder="1" applyAlignment="1">
      <alignment horizontal="right" vertical="center" wrapText="1"/>
    </xf>
    <xf numFmtId="0" fontId="1" fillId="11" borderId="247" xfId="0" applyFont="1" applyFill="1" applyBorder="1" applyAlignment="1">
      <alignment horizontal="right" vertical="center" wrapText="1"/>
    </xf>
    <xf numFmtId="0" fontId="1" fillId="11" borderId="262" xfId="0" applyFont="1" applyFill="1" applyBorder="1" applyAlignment="1">
      <alignment horizontal="left" wrapText="1"/>
    </xf>
    <xf numFmtId="0" fontId="1" fillId="11" borderId="59" xfId="0" applyFont="1" applyFill="1" applyBorder="1" applyAlignment="1">
      <alignment horizontal="left" wrapText="1"/>
    </xf>
    <xf numFmtId="0" fontId="1" fillId="11" borderId="259" xfId="0" applyFont="1" applyFill="1" applyBorder="1" applyAlignment="1">
      <alignment horizontal="center" vertical="center"/>
    </xf>
    <xf numFmtId="0" fontId="1" fillId="11" borderId="249" xfId="0" applyFont="1" applyFill="1" applyBorder="1" applyAlignment="1">
      <alignment horizontal="center" vertical="center"/>
    </xf>
    <xf numFmtId="0" fontId="1" fillId="11" borderId="260" xfId="0" applyFont="1" applyFill="1" applyBorder="1" applyAlignment="1">
      <alignment horizontal="center" vertical="center"/>
    </xf>
    <xf numFmtId="0" fontId="1" fillId="11" borderId="77" xfId="0" applyFont="1" applyFill="1" applyBorder="1" applyAlignment="1">
      <alignment horizontal="center" vertical="center" wrapText="1"/>
    </xf>
    <xf numFmtId="0" fontId="1" fillId="11" borderId="78" xfId="0" applyFont="1" applyFill="1" applyBorder="1" applyAlignment="1">
      <alignment horizontal="center" vertical="center" wrapText="1"/>
    </xf>
    <xf numFmtId="0" fontId="1" fillId="11" borderId="74" xfId="0" applyFont="1" applyFill="1" applyBorder="1" applyAlignment="1">
      <alignment horizontal="center" vertical="center" wrapText="1"/>
    </xf>
    <xf numFmtId="0" fontId="1" fillId="11" borderId="75" xfId="0" applyFont="1" applyFill="1" applyBorder="1" applyAlignment="1">
      <alignment horizontal="center" vertical="center" wrapText="1"/>
    </xf>
    <xf numFmtId="0" fontId="1" fillId="11" borderId="58" xfId="0" applyFont="1" applyFill="1" applyBorder="1" applyAlignment="1">
      <alignment horizontal="center" vertical="center" wrapText="1"/>
    </xf>
    <xf numFmtId="0" fontId="1" fillId="11" borderId="55" xfId="0" applyFont="1" applyFill="1" applyBorder="1" applyAlignment="1">
      <alignment horizontal="center" vertical="center" wrapText="1"/>
    </xf>
    <xf numFmtId="0" fontId="1" fillId="11" borderId="263" xfId="0" applyFont="1" applyFill="1" applyBorder="1" applyAlignment="1">
      <alignment horizontal="center" vertical="center" wrapText="1"/>
    </xf>
    <xf numFmtId="0" fontId="1" fillId="11" borderId="264" xfId="0" applyFont="1" applyFill="1" applyBorder="1" applyAlignment="1">
      <alignment horizontal="center" vertical="center" wrapText="1"/>
    </xf>
    <xf numFmtId="0" fontId="1" fillId="11" borderId="59" xfId="0" applyFont="1" applyFill="1" applyBorder="1" applyAlignment="1">
      <alignment horizontal="center" vertical="center" wrapText="1"/>
    </xf>
    <xf numFmtId="0" fontId="1" fillId="11" borderId="252" xfId="0" applyFont="1" applyFill="1" applyBorder="1" applyAlignment="1">
      <alignment horizontal="center" vertical="center" wrapText="1"/>
    </xf>
    <xf numFmtId="0" fontId="1" fillId="11" borderId="269" xfId="0" applyFont="1" applyFill="1" applyBorder="1" applyAlignment="1">
      <alignment horizontal="center" vertical="center" wrapText="1"/>
    </xf>
    <xf numFmtId="0" fontId="1" fillId="11" borderId="1" xfId="0" applyFont="1" applyFill="1" applyBorder="1" applyAlignment="1">
      <alignment horizontal="right" vertical="center" wrapText="1"/>
    </xf>
    <xf numFmtId="0" fontId="1" fillId="11" borderId="2" xfId="0" applyFont="1" applyFill="1" applyBorder="1" applyAlignment="1">
      <alignment horizontal="right" vertical="center" wrapText="1"/>
    </xf>
    <xf numFmtId="0" fontId="1" fillId="11" borderId="267"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0" xfId="0" applyFont="1" applyFill="1" applyAlignment="1">
      <alignment horizontal="center" vertical="center" wrapText="1"/>
    </xf>
    <xf numFmtId="3" fontId="18" fillId="6" borderId="213" xfId="0" applyNumberFormat="1" applyFont="1" applyFill="1" applyBorder="1" applyAlignment="1">
      <alignment horizontal="right" vertical="center" wrapText="1"/>
    </xf>
    <xf numFmtId="3" fontId="18" fillId="6" borderId="215" xfId="0" applyNumberFormat="1" applyFont="1" applyFill="1" applyBorder="1" applyAlignment="1">
      <alignment horizontal="right" vertical="center" wrapText="1"/>
    </xf>
    <xf numFmtId="0" fontId="18" fillId="2" borderId="209" xfId="0" applyFont="1" applyFill="1" applyBorder="1" applyAlignment="1">
      <alignment horizontal="left" vertical="center" wrapText="1" indent="1"/>
    </xf>
    <xf numFmtId="0" fontId="18" fillId="2" borderId="50" xfId="0" applyFont="1" applyFill="1" applyBorder="1" applyAlignment="1">
      <alignment horizontal="left" vertical="center" wrapText="1" indent="1"/>
    </xf>
    <xf numFmtId="0" fontId="18" fillId="2" borderId="47" xfId="0" applyFont="1" applyFill="1" applyBorder="1" applyAlignment="1">
      <alignment horizontal="left" vertical="center" wrapText="1" indent="1"/>
    </xf>
    <xf numFmtId="3" fontId="18" fillId="2" borderId="46" xfId="0" applyNumberFormat="1" applyFont="1" applyFill="1" applyBorder="1" applyAlignment="1">
      <alignment horizontal="right" vertical="center" wrapText="1"/>
    </xf>
    <xf numFmtId="3" fontId="18" fillId="2" borderId="47" xfId="0" applyNumberFormat="1" applyFont="1" applyFill="1" applyBorder="1" applyAlignment="1">
      <alignment horizontal="right" vertical="center" wrapText="1"/>
    </xf>
    <xf numFmtId="3" fontId="18" fillId="2" borderId="210" xfId="0" applyNumberFormat="1" applyFont="1" applyFill="1" applyBorder="1" applyAlignment="1">
      <alignment horizontal="right" vertical="center" wrapText="1"/>
    </xf>
    <xf numFmtId="0" fontId="18" fillId="6" borderId="277" xfId="0" applyFont="1" applyFill="1" applyBorder="1" applyAlignment="1">
      <alignment horizontal="left" vertical="center" wrapText="1" indent="1"/>
    </xf>
    <xf numFmtId="0" fontId="18" fillId="6" borderId="278" xfId="0" applyFont="1" applyFill="1" applyBorder="1" applyAlignment="1">
      <alignment horizontal="left" vertical="center" wrapText="1" indent="1"/>
    </xf>
    <xf numFmtId="0" fontId="18" fillId="6" borderId="279" xfId="0" applyFont="1" applyFill="1" applyBorder="1" applyAlignment="1">
      <alignment horizontal="left" vertical="center" wrapText="1" indent="1"/>
    </xf>
    <xf numFmtId="3" fontId="18" fillId="6" borderId="212" xfId="0" applyNumberFormat="1" applyFont="1" applyFill="1" applyBorder="1" applyAlignment="1">
      <alignment horizontal="right" vertical="center" wrapText="1"/>
    </xf>
    <xf numFmtId="3" fontId="4" fillId="0" borderId="46" xfId="0" applyNumberFormat="1" applyFont="1" applyBorder="1" applyAlignment="1">
      <alignment horizontal="right" vertical="center" wrapText="1"/>
    </xf>
    <xf numFmtId="3" fontId="4" fillId="0" borderId="210" xfId="0" applyNumberFormat="1" applyFont="1" applyBorder="1" applyAlignment="1">
      <alignment horizontal="right" vertical="center" wrapText="1"/>
    </xf>
    <xf numFmtId="0" fontId="4" fillId="0" borderId="60" xfId="0" applyFont="1" applyBorder="1" applyAlignment="1">
      <alignment horizontal="left" vertical="center" wrapText="1" indent="1"/>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4" fillId="0" borderId="50" xfId="0" applyNumberFormat="1" applyFont="1" applyBorder="1" applyAlignment="1" applyProtection="1">
      <alignment horizontal="right" vertical="center" wrapText="1"/>
      <protection locked="0"/>
    </xf>
    <xf numFmtId="0" fontId="4" fillId="0" borderId="276" xfId="0" applyFont="1" applyBorder="1" applyAlignment="1">
      <alignment horizontal="left" vertical="center" wrapText="1" indent="1"/>
    </xf>
    <xf numFmtId="0" fontId="4" fillId="0" borderId="34" xfId="0" applyFont="1" applyBorder="1" applyAlignment="1">
      <alignment horizontal="left" vertical="center" wrapText="1" indent="1"/>
    </xf>
    <xf numFmtId="0" fontId="4" fillId="0" borderId="35" xfId="0" applyFont="1" applyBorder="1" applyAlignment="1">
      <alignment horizontal="left" vertical="center" wrapText="1" indent="1"/>
    </xf>
    <xf numFmtId="0" fontId="4" fillId="11" borderId="270" xfId="0" applyFont="1" applyFill="1" applyBorder="1" applyAlignment="1">
      <alignment horizontal="center" vertical="center" wrapText="1"/>
    </xf>
    <xf numFmtId="0" fontId="4" fillId="11" borderId="271" xfId="0" applyFont="1" applyFill="1" applyBorder="1" applyAlignment="1">
      <alignment horizontal="center" vertical="center" wrapText="1"/>
    </xf>
    <xf numFmtId="0" fontId="4" fillId="11" borderId="272" xfId="0" applyFont="1" applyFill="1" applyBorder="1" applyAlignment="1">
      <alignment horizontal="center" vertical="center" wrapText="1"/>
    </xf>
    <xf numFmtId="0" fontId="18" fillId="11" borderId="267" xfId="0" applyFont="1" applyFill="1" applyBorder="1" applyAlignment="1">
      <alignment horizontal="center" vertical="center" wrapText="1"/>
    </xf>
    <xf numFmtId="0" fontId="18" fillId="11" borderId="268" xfId="0" applyFont="1" applyFill="1" applyBorder="1" applyAlignment="1">
      <alignment horizontal="center" vertical="center" wrapText="1"/>
    </xf>
    <xf numFmtId="0" fontId="18" fillId="11" borderId="248" xfId="0" applyFont="1" applyFill="1" applyBorder="1" applyAlignment="1">
      <alignment horizontal="center" vertical="center" wrapText="1"/>
    </xf>
    <xf numFmtId="0" fontId="18" fillId="11" borderId="273" xfId="0" applyFont="1" applyFill="1" applyBorder="1" applyAlignment="1">
      <alignment horizontal="center" vertical="center" wrapText="1"/>
    </xf>
    <xf numFmtId="0" fontId="18" fillId="0" borderId="0" xfId="0" applyFont="1" applyAlignment="1">
      <alignment horizontal="left" vertical="center"/>
    </xf>
    <xf numFmtId="0" fontId="4" fillId="0" borderId="48" xfId="0" applyFont="1" applyBorder="1" applyAlignment="1">
      <alignment horizontal="right" vertical="center"/>
    </xf>
    <xf numFmtId="0" fontId="4" fillId="0" borderId="0" xfId="0" applyFont="1" applyAlignment="1">
      <alignment horizontal="right" vertical="center"/>
    </xf>
    <xf numFmtId="0" fontId="4" fillId="11" borderId="274" xfId="0" applyFont="1" applyFill="1" applyBorder="1" applyAlignment="1">
      <alignment horizontal="center" wrapText="1"/>
    </xf>
    <xf numFmtId="0" fontId="4" fillId="11" borderId="62" xfId="0" applyFont="1" applyFill="1" applyBorder="1" applyAlignment="1">
      <alignment horizontal="center" wrapText="1"/>
    </xf>
    <xf numFmtId="0" fontId="4" fillId="11" borderId="146" xfId="0" applyFont="1" applyFill="1" applyBorder="1" applyAlignment="1">
      <alignment horizontal="center" wrapText="1"/>
    </xf>
    <xf numFmtId="0" fontId="4" fillId="11" borderId="33" xfId="0" applyFont="1" applyFill="1" applyBorder="1" applyAlignment="1">
      <alignment horizontal="center" vertical="center" wrapText="1"/>
    </xf>
    <xf numFmtId="0" fontId="4" fillId="11" borderId="35" xfId="0" applyFont="1" applyFill="1" applyBorder="1" applyAlignment="1">
      <alignment horizontal="center" vertical="center" wrapText="1"/>
    </xf>
    <xf numFmtId="0" fontId="4" fillId="11" borderId="39" xfId="0" applyFont="1" applyFill="1" applyBorder="1" applyAlignment="1">
      <alignment horizontal="center" vertical="center" wrapText="1"/>
    </xf>
    <xf numFmtId="0" fontId="4" fillId="11" borderId="49" xfId="0" applyFont="1" applyFill="1" applyBorder="1" applyAlignment="1">
      <alignment horizontal="center" vertical="center" wrapText="1"/>
    </xf>
    <xf numFmtId="0" fontId="4" fillId="11" borderId="208" xfId="0" applyFont="1" applyFill="1" applyBorder="1" applyAlignment="1">
      <alignment horizontal="center" vertical="center" wrapText="1"/>
    </xf>
    <xf numFmtId="0" fontId="4" fillId="11" borderId="275" xfId="0" applyFont="1" applyFill="1" applyBorder="1" applyAlignment="1">
      <alignment horizontal="left" vertical="center" wrapText="1" indent="1"/>
    </xf>
    <xf numFmtId="0" fontId="4" fillId="11" borderId="63" xfId="0" applyFont="1" applyFill="1" applyBorder="1" applyAlignment="1">
      <alignment horizontal="left" vertical="center" wrapText="1" indent="1"/>
    </xf>
    <xf numFmtId="0" fontId="4" fillId="11" borderId="64" xfId="0" applyFont="1" applyFill="1" applyBorder="1" applyAlignment="1">
      <alignment horizontal="left" vertical="center" wrapText="1" indent="1"/>
    </xf>
    <xf numFmtId="0" fontId="4" fillId="11" borderId="46" xfId="0" applyFont="1" applyFill="1" applyBorder="1" applyAlignment="1">
      <alignment horizontal="center" vertical="center" wrapText="1"/>
    </xf>
    <xf numFmtId="0" fontId="4" fillId="11" borderId="47" xfId="0" applyFont="1" applyFill="1" applyBorder="1" applyAlignment="1">
      <alignment horizontal="center" vertical="center" wrapText="1"/>
    </xf>
    <xf numFmtId="0" fontId="47" fillId="11" borderId="46" xfId="0" applyFont="1" applyFill="1" applyBorder="1" applyAlignment="1">
      <alignment horizontal="center"/>
    </xf>
    <xf numFmtId="0" fontId="47" fillId="11" borderId="47" xfId="0" applyFont="1" applyFill="1" applyBorder="1" applyAlignment="1">
      <alignment horizontal="center"/>
    </xf>
    <xf numFmtId="0" fontId="47" fillId="11" borderId="50" xfId="0" applyFont="1" applyFill="1" applyBorder="1" applyAlignment="1">
      <alignment horizontal="center"/>
    </xf>
    <xf numFmtId="0" fontId="1" fillId="11" borderId="246" xfId="0" applyFont="1" applyFill="1" applyBorder="1" applyAlignment="1">
      <alignment horizontal="right" vertical="center" wrapText="1"/>
    </xf>
    <xf numFmtId="0" fontId="18" fillId="0" borderId="276" xfId="0" applyFont="1" applyBorder="1" applyAlignment="1">
      <alignment horizontal="left" vertical="center" wrapText="1" indent="1"/>
    </xf>
    <xf numFmtId="0" fontId="18" fillId="0" borderId="34" xfId="0" applyFont="1" applyBorder="1" applyAlignment="1">
      <alignment horizontal="left" vertical="center" wrapText="1" indent="1"/>
    </xf>
    <xf numFmtId="0" fontId="18" fillId="0" borderId="282" xfId="0" applyFont="1" applyBorder="1" applyAlignment="1">
      <alignment horizontal="left" vertical="center" wrapText="1" indent="1"/>
    </xf>
    <xf numFmtId="0" fontId="51" fillId="0" borderId="207" xfId="0" applyFont="1" applyBorder="1" applyAlignment="1" applyProtection="1">
      <alignment horizontal="left" vertical="center" wrapText="1" indent="1"/>
      <protection locked="0"/>
    </xf>
    <xf numFmtId="0" fontId="51" fillId="0" borderId="49" xfId="0" applyFont="1" applyBorder="1" applyAlignment="1" applyProtection="1">
      <alignment horizontal="left" vertical="center" wrapText="1" indent="1"/>
      <protection locked="0"/>
    </xf>
    <xf numFmtId="0" fontId="18" fillId="7" borderId="207" xfId="0" applyFont="1" applyFill="1" applyBorder="1" applyAlignment="1" applyProtection="1">
      <alignment horizontal="right" vertical="center" wrapText="1" indent="1"/>
      <protection locked="0"/>
    </xf>
    <xf numFmtId="0" fontId="18" fillId="7" borderId="49" xfId="0" applyFont="1" applyFill="1" applyBorder="1" applyAlignment="1" applyProtection="1">
      <alignment horizontal="right" vertical="center" wrapText="1" indent="1"/>
      <protection locked="0"/>
    </xf>
    <xf numFmtId="0" fontId="52" fillId="0" borderId="251" xfId="0" applyFont="1" applyBorder="1" applyAlignment="1" applyProtection="1">
      <alignment horizontal="left" vertical="top" wrapText="1" indent="1"/>
      <protection locked="0"/>
    </xf>
    <xf numFmtId="0" fontId="52" fillId="0" borderId="40" xfId="0" applyFont="1" applyBorder="1" applyAlignment="1" applyProtection="1">
      <alignment horizontal="left" vertical="top" wrapText="1" indent="1"/>
      <protection locked="0"/>
    </xf>
    <xf numFmtId="0" fontId="52" fillId="0" borderId="281" xfId="0" applyFont="1" applyBorder="1" applyAlignment="1" applyProtection="1">
      <alignment horizontal="left" vertical="top" wrapText="1" indent="1"/>
      <protection locked="0"/>
    </xf>
    <xf numFmtId="3" fontId="18" fillId="7" borderId="254" xfId="0" applyNumberFormat="1" applyFont="1" applyFill="1" applyBorder="1" applyAlignment="1" applyProtection="1">
      <alignment horizontal="center" vertical="center" wrapText="1"/>
      <protection locked="0"/>
    </xf>
    <xf numFmtId="3" fontId="18" fillId="7" borderId="255" xfId="0" applyNumberFormat="1" applyFont="1" applyFill="1" applyBorder="1" applyAlignment="1" applyProtection="1">
      <alignment horizontal="center" vertical="center" wrapText="1"/>
      <protection locked="0"/>
    </xf>
    <xf numFmtId="0" fontId="18" fillId="7" borderId="253" xfId="0" applyFont="1" applyFill="1" applyBorder="1" applyAlignment="1">
      <alignment horizontal="left" vertical="center" wrapText="1" indent="1"/>
    </xf>
    <xf numFmtId="0" fontId="18" fillId="7" borderId="254" xfId="0" applyFont="1" applyFill="1" applyBorder="1" applyAlignment="1">
      <alignment horizontal="left" vertical="center" wrapText="1" indent="1"/>
    </xf>
    <xf numFmtId="0" fontId="18" fillId="0" borderId="1" xfId="0" applyFont="1" applyBorder="1" applyAlignment="1">
      <alignment horizontal="left" vertical="center" wrapText="1" indent="1"/>
    </xf>
    <xf numFmtId="0" fontId="18" fillId="0" borderId="2" xfId="0" applyFont="1" applyBorder="1" applyAlignment="1">
      <alignment horizontal="left" vertical="center" wrapText="1" indent="1"/>
    </xf>
    <xf numFmtId="0" fontId="18" fillId="0" borderId="3" xfId="0" applyFont="1" applyBorder="1" applyAlignment="1">
      <alignment horizontal="left" vertical="center" wrapText="1" indent="1"/>
    </xf>
    <xf numFmtId="0" fontId="52" fillId="0" borderId="251" xfId="0" applyFont="1" applyBorder="1" applyAlignment="1" applyProtection="1">
      <alignment horizontal="left" vertical="top" wrapText="1" indent="2"/>
      <protection locked="0"/>
    </xf>
    <xf numFmtId="0" fontId="52" fillId="0" borderId="40" xfId="0" applyFont="1" applyBorder="1" applyAlignment="1" applyProtection="1">
      <alignment horizontal="left" vertical="top" wrapText="1" indent="2"/>
      <protection locked="0"/>
    </xf>
    <xf numFmtId="0" fontId="52" fillId="0" borderId="281" xfId="0" applyFont="1" applyBorder="1" applyAlignment="1" applyProtection="1">
      <alignment horizontal="left" vertical="top" wrapText="1" indent="2"/>
      <protection locked="0"/>
    </xf>
    <xf numFmtId="0" fontId="16" fillId="11" borderId="207" xfId="0" applyFont="1" applyFill="1" applyBorder="1" applyAlignment="1">
      <alignment horizontal="left" vertical="center" wrapText="1" indent="1"/>
    </xf>
    <xf numFmtId="0" fontId="16" fillId="11" borderId="49" xfId="0" applyFont="1" applyFill="1" applyBorder="1" applyAlignment="1">
      <alignment horizontal="left" vertical="center" wrapText="1" indent="1"/>
    </xf>
    <xf numFmtId="0" fontId="18" fillId="0" borderId="251" xfId="0" applyFont="1" applyBorder="1" applyAlignment="1">
      <alignment horizontal="center" vertical="center"/>
    </xf>
    <xf numFmtId="0" fontId="18" fillId="0" borderId="40" xfId="0" applyFont="1" applyBorder="1" applyAlignment="1">
      <alignment horizontal="center" vertical="center"/>
    </xf>
    <xf numFmtId="0" fontId="18" fillId="0" borderId="281" xfId="0" applyFont="1" applyBorder="1" applyAlignment="1">
      <alignment horizontal="center" vertical="center"/>
    </xf>
    <xf numFmtId="0" fontId="53" fillId="0" borderId="46" xfId="0" applyFont="1" applyBorder="1" applyAlignment="1" applyProtection="1">
      <alignment horizontal="left" vertical="center" wrapText="1" indent="1"/>
      <protection locked="0"/>
    </xf>
    <xf numFmtId="0" fontId="53" fillId="0" borderId="47" xfId="0" applyFont="1" applyBorder="1" applyAlignment="1" applyProtection="1">
      <alignment horizontal="left" vertical="center" wrapText="1" indent="1"/>
      <protection locked="0"/>
    </xf>
    <xf numFmtId="0" fontId="1" fillId="11" borderId="256" xfId="0" applyFont="1" applyFill="1" applyBorder="1" applyAlignment="1">
      <alignment horizontal="center" vertical="center" wrapText="1"/>
    </xf>
    <xf numFmtId="0" fontId="1" fillId="11" borderId="249" xfId="0" applyFont="1" applyFill="1" applyBorder="1" applyAlignment="1">
      <alignment horizontal="center" vertical="center" wrapText="1"/>
    </xf>
    <xf numFmtId="0" fontId="1" fillId="11" borderId="273" xfId="0" applyFont="1" applyFill="1" applyBorder="1" applyAlignment="1">
      <alignment horizontal="center" vertical="center" wrapText="1"/>
    </xf>
    <xf numFmtId="0" fontId="53" fillId="0" borderId="207" xfId="0" applyFont="1" applyBorder="1" applyAlignment="1" applyProtection="1">
      <alignment horizontal="left" indent="1"/>
      <protection locked="0"/>
    </xf>
    <xf numFmtId="0" fontId="53" fillId="0" borderId="49" xfId="0" applyFont="1" applyBorder="1" applyAlignment="1" applyProtection="1">
      <alignment horizontal="left" indent="1"/>
      <protection locked="0"/>
    </xf>
    <xf numFmtId="0" fontId="18" fillId="5" borderId="207" xfId="0" applyFont="1" applyFill="1" applyBorder="1" applyAlignment="1">
      <alignment horizontal="left" vertical="center" wrapText="1" indent="1"/>
    </xf>
    <xf numFmtId="0" fontId="18" fillId="5" borderId="49" xfId="0" applyFont="1" applyFill="1" applyBorder="1" applyAlignment="1">
      <alignment horizontal="left" vertical="center" wrapText="1" indent="1"/>
    </xf>
    <xf numFmtId="0" fontId="18" fillId="5" borderId="46" xfId="0" applyFont="1" applyFill="1" applyBorder="1" applyAlignment="1">
      <alignment horizontal="left" vertical="center" wrapText="1" indent="1"/>
    </xf>
    <xf numFmtId="0" fontId="1" fillId="11" borderId="207"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1" fillId="11" borderId="46" xfId="0" applyFont="1" applyFill="1" applyBorder="1" applyAlignment="1">
      <alignment horizontal="center" vertical="center" wrapText="1"/>
    </xf>
    <xf numFmtId="0" fontId="1" fillId="11" borderId="47" xfId="0" applyFont="1" applyFill="1" applyBorder="1" applyAlignment="1">
      <alignment horizontal="center" vertical="center" wrapText="1"/>
    </xf>
    <xf numFmtId="0" fontId="53" fillId="0" borderId="253" xfId="0" applyFont="1" applyBorder="1" applyAlignment="1" applyProtection="1">
      <alignment horizontal="left" indent="1"/>
      <protection locked="0"/>
    </xf>
    <xf numFmtId="0" fontId="53" fillId="0" borderId="254" xfId="0" applyFont="1" applyBorder="1" applyAlignment="1" applyProtection="1">
      <alignment horizontal="left" indent="1"/>
      <protection locked="0"/>
    </xf>
    <xf numFmtId="0" fontId="53" fillId="0" borderId="213" xfId="0" applyFont="1" applyBorder="1" applyAlignment="1" applyProtection="1">
      <alignment horizontal="left" vertical="center" wrapText="1" indent="1"/>
      <protection locked="0"/>
    </xf>
    <xf numFmtId="0" fontId="53" fillId="0" borderId="212" xfId="0" applyFont="1" applyBorder="1" applyAlignment="1" applyProtection="1">
      <alignment horizontal="left" vertical="center" wrapText="1" indent="1"/>
      <protection locked="0"/>
    </xf>
    <xf numFmtId="0" fontId="18" fillId="0" borderId="22" xfId="0" applyFont="1" applyBorder="1" applyAlignment="1" applyProtection="1">
      <alignment horizontal="center" vertical="center"/>
      <protection locked="0"/>
    </xf>
    <xf numFmtId="0" fontId="18" fillId="0" borderId="42" xfId="0" applyFont="1" applyBorder="1" applyAlignment="1" applyProtection="1">
      <alignment horizontal="left" vertical="center"/>
      <protection locked="0"/>
    </xf>
    <xf numFmtId="0" fontId="18" fillId="0" borderId="61" xfId="0" applyFont="1" applyBorder="1" applyAlignment="1" applyProtection="1">
      <alignment horizontal="center" vertical="center"/>
      <protection locked="0"/>
    </xf>
    <xf numFmtId="0" fontId="18" fillId="0" borderId="61" xfId="0" applyFont="1" applyBorder="1" applyAlignment="1" applyProtection="1">
      <alignment horizontal="left" vertical="center"/>
      <protection locked="0"/>
    </xf>
    <xf numFmtId="0" fontId="18" fillId="0" borderId="0" xfId="0" applyFont="1" applyAlignment="1" applyProtection="1">
      <alignment horizontal="left" vertical="center"/>
      <protection locked="0"/>
    </xf>
    <xf numFmtId="3" fontId="18" fillId="5" borderId="254" xfId="0" applyNumberFormat="1" applyFont="1" applyFill="1" applyBorder="1" applyAlignment="1">
      <alignment horizontal="right" vertical="center" wrapText="1"/>
    </xf>
    <xf numFmtId="0" fontId="18" fillId="5" borderId="253" xfId="0" applyFont="1" applyFill="1" applyBorder="1" applyAlignment="1">
      <alignment horizontal="left" vertical="center" wrapText="1" indent="1"/>
    </xf>
    <xf numFmtId="0" fontId="18" fillId="5" borderId="254" xfId="0" applyFont="1" applyFill="1" applyBorder="1" applyAlignment="1">
      <alignment horizontal="left" vertical="center" wrapText="1" indent="1"/>
    </xf>
    <xf numFmtId="3" fontId="4" fillId="0" borderId="49" xfId="0" applyNumberFormat="1" applyFont="1" applyBorder="1" applyAlignment="1" applyProtection="1">
      <alignment horizontal="right" vertical="center" wrapText="1"/>
      <protection locked="0"/>
    </xf>
    <xf numFmtId="0" fontId="4" fillId="11" borderId="283" xfId="0" applyFont="1" applyFill="1" applyBorder="1" applyAlignment="1">
      <alignment horizontal="center" vertical="center" wrapText="1"/>
    </xf>
    <xf numFmtId="0" fontId="4" fillId="11" borderId="267" xfId="0" applyFont="1" applyFill="1" applyBorder="1" applyAlignment="1">
      <alignment horizontal="center" vertical="center" wrapText="1"/>
    </xf>
    <xf numFmtId="3" fontId="18" fillId="5" borderId="49" xfId="0" applyNumberFormat="1" applyFont="1" applyFill="1" applyBorder="1" applyAlignment="1">
      <alignment horizontal="right" vertical="center" wrapText="1"/>
    </xf>
    <xf numFmtId="3" fontId="18" fillId="2" borderId="254" xfId="0" applyNumberFormat="1" applyFont="1" applyFill="1" applyBorder="1" applyAlignment="1">
      <alignment horizontal="right" vertical="center" wrapText="1"/>
    </xf>
    <xf numFmtId="0" fontId="18" fillId="2" borderId="253" xfId="0" applyFont="1" applyFill="1" applyBorder="1" applyAlignment="1">
      <alignment horizontal="left" vertical="center" wrapText="1" indent="1"/>
    </xf>
    <xf numFmtId="0" fontId="18" fillId="2" borderId="254" xfId="0" applyFont="1" applyFill="1" applyBorder="1" applyAlignment="1">
      <alignment horizontal="left" vertical="center" wrapText="1" indent="1"/>
    </xf>
    <xf numFmtId="0" fontId="18" fillId="0" borderId="22" xfId="0" applyFont="1" applyBorder="1" applyAlignment="1">
      <alignment horizontal="center" vertical="center"/>
    </xf>
    <xf numFmtId="0" fontId="4" fillId="11" borderId="257" xfId="0" applyFont="1" applyFill="1" applyBorder="1" applyAlignment="1">
      <alignment horizontal="center" vertical="center" wrapText="1"/>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67" fillId="0" borderId="49" xfId="0" applyFont="1" applyBorder="1" applyAlignment="1">
      <alignment horizontal="left" vertical="center" wrapText="1" indent="1"/>
    </xf>
    <xf numFmtId="0" fontId="4" fillId="0" borderId="49" xfId="0" applyFont="1" applyBorder="1" applyAlignment="1">
      <alignment horizontal="center" vertical="center" wrapText="1"/>
    </xf>
    <xf numFmtId="3" fontId="18" fillId="0" borderId="49" xfId="0" applyNumberFormat="1" applyFont="1" applyBorder="1" applyAlignment="1" applyProtection="1">
      <alignment horizontal="center" vertical="center" wrapText="1"/>
      <protection locked="0"/>
    </xf>
    <xf numFmtId="0" fontId="4" fillId="0" borderId="49" xfId="0" applyFont="1" applyBorder="1" applyAlignment="1" applyProtection="1">
      <alignment horizontal="center" vertical="center" wrapText="1"/>
      <protection locked="0"/>
    </xf>
    <xf numFmtId="0" fontId="19" fillId="0" borderId="40" xfId="0" applyFont="1" applyBorder="1" applyAlignment="1">
      <alignment horizontal="center" vertical="center"/>
    </xf>
    <xf numFmtId="0" fontId="4" fillId="11" borderId="50" xfId="0" applyFont="1" applyFill="1" applyBorder="1" applyAlignment="1">
      <alignment horizontal="center" vertical="center" wrapText="1"/>
    </xf>
    <xf numFmtId="0" fontId="67" fillId="0" borderId="46" xfId="0" applyFont="1" applyBorder="1" applyAlignment="1">
      <alignment horizontal="center" vertical="center" wrapText="1"/>
    </xf>
    <xf numFmtId="0" fontId="67" fillId="0" borderId="50" xfId="0" applyFont="1" applyBorder="1" applyAlignment="1">
      <alignment horizontal="center" vertical="center" wrapText="1"/>
    </xf>
    <xf numFmtId="0" fontId="67" fillId="0" borderId="47" xfId="0" applyFont="1" applyBorder="1" applyAlignment="1">
      <alignment horizontal="center" vertical="center" wrapText="1"/>
    </xf>
    <xf numFmtId="3" fontId="18" fillId="0" borderId="46" xfId="0" applyNumberFormat="1" applyFont="1" applyBorder="1" applyAlignment="1" applyProtection="1">
      <alignment horizontal="center" vertical="center" wrapText="1"/>
      <protection locked="0"/>
    </xf>
    <xf numFmtId="3" fontId="18" fillId="0" borderId="50" xfId="0" applyNumberFormat="1" applyFont="1" applyBorder="1" applyAlignment="1" applyProtection="1">
      <alignment horizontal="center" vertical="center" wrapText="1"/>
      <protection locked="0"/>
    </xf>
    <xf numFmtId="3" fontId="18" fillId="0" borderId="47" xfId="0" applyNumberFormat="1" applyFont="1" applyBorder="1" applyAlignment="1" applyProtection="1">
      <alignment horizontal="center" vertical="center" wrapText="1"/>
      <protection locked="0"/>
    </xf>
    <xf numFmtId="3" fontId="4" fillId="0" borderId="46" xfId="0" applyNumberFormat="1" applyFont="1" applyBorder="1" applyAlignment="1" applyProtection="1">
      <alignment horizontal="center" vertical="center" wrapText="1"/>
      <protection locked="0"/>
    </xf>
    <xf numFmtId="3" fontId="4" fillId="0" borderId="50" xfId="0" applyNumberFormat="1" applyFont="1" applyBorder="1" applyAlignment="1" applyProtection="1">
      <alignment horizontal="center" vertical="center" wrapText="1"/>
      <protection locked="0"/>
    </xf>
    <xf numFmtId="3" fontId="4" fillId="0" borderId="47" xfId="0" applyNumberFormat="1" applyFont="1" applyBorder="1" applyAlignment="1" applyProtection="1">
      <alignment horizontal="center" vertical="center" wrapText="1"/>
      <protection locked="0"/>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3" fontId="4" fillId="0" borderId="50" xfId="0" applyNumberFormat="1" applyFont="1" applyBorder="1" applyAlignment="1" applyProtection="1">
      <alignment horizontal="right" vertical="center" wrapText="1" indent="1"/>
      <protection locked="0"/>
    </xf>
    <xf numFmtId="3" fontId="4" fillId="0" borderId="47" xfId="0" applyNumberFormat="1" applyFont="1" applyBorder="1" applyAlignment="1" applyProtection="1">
      <alignment horizontal="right" vertical="center" wrapText="1" indent="1"/>
      <protection locked="0"/>
    </xf>
    <xf numFmtId="0" fontId="4" fillId="13" borderId="46" xfId="0" applyFont="1" applyFill="1" applyBorder="1" applyAlignment="1">
      <alignment horizontal="center" vertical="center" wrapText="1"/>
    </xf>
    <xf numFmtId="0" fontId="4" fillId="13" borderId="50" xfId="0" applyFont="1" applyFill="1" applyBorder="1" applyAlignment="1">
      <alignment horizontal="center" vertical="center" wrapText="1"/>
    </xf>
    <xf numFmtId="0" fontId="4" fillId="13" borderId="47" xfId="0" applyFont="1" applyFill="1" applyBorder="1" applyAlignment="1">
      <alignment horizontal="center" vertical="center" wrapText="1"/>
    </xf>
    <xf numFmtId="3" fontId="18" fillId="9" borderId="50" xfId="0" applyNumberFormat="1" applyFont="1" applyFill="1" applyBorder="1" applyAlignment="1">
      <alignment horizontal="right" vertical="center" wrapText="1" indent="1"/>
    </xf>
    <xf numFmtId="3" fontId="18" fillId="9" borderId="47" xfId="0" applyNumberFormat="1" applyFont="1" applyFill="1" applyBorder="1" applyAlignment="1">
      <alignment horizontal="right" vertical="center" wrapText="1" indent="1"/>
    </xf>
    <xf numFmtId="0" fontId="4" fillId="0" borderId="46" xfId="0" applyFont="1" applyBorder="1" applyAlignment="1" applyProtection="1">
      <alignment horizontal="center" vertical="center" wrapText="1"/>
      <protection locked="0"/>
    </xf>
    <xf numFmtId="0" fontId="4" fillId="0" borderId="50" xfId="0" applyFont="1" applyBorder="1" applyAlignment="1" applyProtection="1">
      <alignment horizontal="center" vertical="center" wrapText="1"/>
      <protection locked="0"/>
    </xf>
    <xf numFmtId="0" fontId="4" fillId="0" borderId="47" xfId="0" applyFont="1" applyBorder="1" applyAlignment="1" applyProtection="1">
      <alignment horizontal="center" vertical="center" wrapText="1"/>
      <protection locked="0"/>
    </xf>
    <xf numFmtId="3" fontId="4" fillId="0" borderId="40" xfId="0" applyNumberFormat="1" applyFont="1" applyBorder="1" applyAlignment="1" applyProtection="1">
      <alignment horizontal="right" vertical="center" wrapText="1"/>
      <protection locked="0"/>
    </xf>
    <xf numFmtId="3" fontId="4" fillId="0" borderId="41" xfId="0" applyNumberFormat="1" applyFont="1" applyBorder="1" applyAlignment="1" applyProtection="1">
      <alignment horizontal="right" vertical="center" wrapText="1"/>
      <protection locked="0"/>
    </xf>
    <xf numFmtId="0" fontId="4" fillId="14" borderId="46" xfId="0" applyFont="1" applyFill="1" applyBorder="1" applyAlignment="1">
      <alignment horizontal="center" vertical="center" wrapText="1"/>
    </xf>
    <xf numFmtId="0" fontId="4" fillId="14" borderId="50" xfId="0" applyFont="1" applyFill="1" applyBorder="1" applyAlignment="1">
      <alignment horizontal="center" vertical="center" wrapText="1"/>
    </xf>
    <xf numFmtId="0" fontId="4" fillId="14" borderId="47" xfId="0" applyFont="1" applyFill="1" applyBorder="1" applyAlignment="1">
      <alignment horizontal="center" vertical="center" wrapText="1"/>
    </xf>
    <xf numFmtId="0" fontId="67" fillId="9" borderId="49" xfId="0" applyFont="1" applyFill="1" applyBorder="1" applyAlignment="1">
      <alignment horizontal="left" vertical="center" wrapText="1" indent="1"/>
    </xf>
    <xf numFmtId="3" fontId="18" fillId="9" borderId="50" xfId="0" applyNumberFormat="1" applyFont="1" applyFill="1" applyBorder="1" applyAlignment="1">
      <alignment horizontal="right" vertical="center" wrapText="1"/>
    </xf>
    <xf numFmtId="3" fontId="18" fillId="9" borderId="47" xfId="0" applyNumberFormat="1" applyFont="1" applyFill="1" applyBorder="1" applyAlignment="1">
      <alignment horizontal="right" vertical="center" wrapText="1"/>
    </xf>
    <xf numFmtId="0" fontId="71" fillId="0" borderId="0" xfId="0" applyFont="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55" xfId="0" applyFont="1" applyBorder="1" applyAlignment="1">
      <alignment horizontal="left" vertical="center" wrapText="1" indent="1"/>
    </xf>
    <xf numFmtId="3" fontId="4" fillId="0" borderId="55" xfId="0" applyNumberFormat="1" applyFont="1" applyBorder="1" applyAlignment="1" applyProtection="1">
      <alignment horizontal="right" vertical="center" wrapText="1"/>
      <protection locked="0"/>
    </xf>
    <xf numFmtId="0" fontId="53" fillId="0" borderId="207" xfId="0" applyFont="1" applyBorder="1" applyAlignment="1" applyProtection="1">
      <alignment horizontal="left" vertical="center" indent="1"/>
      <protection locked="0"/>
    </xf>
    <xf numFmtId="0" fontId="53" fillId="0" borderId="49" xfId="0" applyFont="1" applyBorder="1" applyAlignment="1" applyProtection="1">
      <alignment horizontal="left" vertical="center" indent="1"/>
      <protection locked="0"/>
    </xf>
    <xf numFmtId="0" fontId="52" fillId="0" borderId="253" xfId="0" applyFont="1" applyBorder="1" applyAlignment="1" applyProtection="1">
      <alignment horizontal="left" vertical="center" indent="1"/>
      <protection locked="0"/>
    </xf>
    <xf numFmtId="0" fontId="52" fillId="0" borderId="254" xfId="0" applyFont="1" applyBorder="1" applyAlignment="1" applyProtection="1">
      <alignment horizontal="left" vertical="center" indent="1"/>
      <protection locked="0"/>
    </xf>
    <xf numFmtId="0" fontId="23" fillId="11" borderId="283" xfId="0" applyFont="1" applyFill="1" applyBorder="1" applyAlignment="1">
      <alignment horizontal="center" vertical="center" wrapText="1"/>
    </xf>
    <xf numFmtId="0" fontId="23" fillId="11" borderId="267" xfId="0" applyFont="1" applyFill="1" applyBorder="1" applyAlignment="1">
      <alignment horizontal="center" vertical="center" wrapText="1"/>
    </xf>
    <xf numFmtId="0" fontId="53" fillId="0" borderId="207" xfId="0" applyFont="1" applyBorder="1" applyAlignment="1" applyProtection="1">
      <alignment horizontal="left" vertical="center" wrapText="1" indent="1"/>
      <protection locked="0"/>
    </xf>
    <xf numFmtId="0" fontId="53" fillId="0" borderId="49" xfId="0" applyFont="1" applyBorder="1" applyAlignment="1" applyProtection="1">
      <alignment horizontal="left" vertical="center" wrapText="1" indent="1"/>
      <protection locked="0"/>
    </xf>
    <xf numFmtId="0" fontId="12" fillId="0" borderId="0" xfId="0" applyFont="1" applyAlignment="1" applyProtection="1">
      <alignment horizontal="left" vertical="center" wrapText="1"/>
      <protection locked="0"/>
    </xf>
    <xf numFmtId="0" fontId="12" fillId="0" borderId="0" xfId="0" quotePrefix="1" applyFont="1" applyAlignment="1">
      <alignment horizontal="left"/>
    </xf>
    <xf numFmtId="0" fontId="12" fillId="0" borderId="0" xfId="0" applyFont="1" applyAlignment="1">
      <alignment horizontal="left"/>
    </xf>
    <xf numFmtId="0" fontId="53" fillId="0" borderId="253" xfId="0" applyFont="1" applyBorder="1" applyAlignment="1" applyProtection="1">
      <alignment horizontal="left" vertical="center" wrapText="1" indent="1"/>
      <protection locked="0"/>
    </xf>
    <xf numFmtId="0" fontId="53" fillId="0" borderId="254" xfId="0" applyFont="1" applyBorder="1" applyAlignment="1" applyProtection="1">
      <alignment horizontal="left" vertical="center" wrapText="1" indent="1"/>
      <protection locked="0"/>
    </xf>
    <xf numFmtId="0" fontId="55" fillId="0" borderId="207" xfId="0" applyFont="1" applyBorder="1" applyAlignment="1" applyProtection="1">
      <alignment horizontal="left" vertical="center" indent="1"/>
      <protection locked="0"/>
    </xf>
    <xf numFmtId="0" fontId="55" fillId="0" borderId="49" xfId="0" applyFont="1" applyBorder="1" applyAlignment="1" applyProtection="1">
      <alignment horizontal="left" vertical="center" indent="1"/>
      <protection locked="0"/>
    </xf>
    <xf numFmtId="0" fontId="19" fillId="0" borderId="162" xfId="0" applyFont="1" applyBorder="1" applyAlignment="1">
      <alignment horizontal="center" vertical="center"/>
    </xf>
    <xf numFmtId="0" fontId="19" fillId="0" borderId="163" xfId="0" applyFont="1" applyBorder="1" applyAlignment="1">
      <alignment horizontal="center" vertical="center"/>
    </xf>
    <xf numFmtId="0" fontId="19" fillId="0" borderId="164" xfId="0" applyFont="1" applyBorder="1" applyAlignment="1">
      <alignment horizontal="center" vertical="center"/>
    </xf>
    <xf numFmtId="0" fontId="18" fillId="0" borderId="249" xfId="0" applyFont="1" applyBorder="1" applyAlignment="1">
      <alignment horizontal="center" vertical="center" wrapText="1"/>
    </xf>
    <xf numFmtId="0" fontId="18" fillId="0" borderId="273" xfId="0" applyFont="1" applyBorder="1" applyAlignment="1">
      <alignment horizontal="center" vertical="center" wrapText="1"/>
    </xf>
    <xf numFmtId="0" fontId="18" fillId="6" borderId="277" xfId="0" applyFont="1" applyFill="1" applyBorder="1" applyAlignment="1">
      <alignment horizontal="center" vertical="center" wrapText="1"/>
    </xf>
    <xf numFmtId="0" fontId="18" fillId="6" borderId="278" xfId="0" applyFont="1" applyFill="1" applyBorder="1" applyAlignment="1">
      <alignment horizontal="center" vertical="center" wrapText="1"/>
    </xf>
    <xf numFmtId="0" fontId="18" fillId="6" borderId="284" xfId="0" applyFont="1" applyFill="1" applyBorder="1" applyAlignment="1">
      <alignment horizontal="center" vertical="center" wrapText="1"/>
    </xf>
    <xf numFmtId="0" fontId="18" fillId="6" borderId="279" xfId="0" applyFont="1" applyFill="1" applyBorder="1" applyAlignment="1">
      <alignment horizontal="center" vertical="center" wrapText="1"/>
    </xf>
    <xf numFmtId="0" fontId="24" fillId="11" borderId="207" xfId="0" applyFont="1" applyFill="1" applyBorder="1" applyAlignment="1">
      <alignment horizontal="center" vertical="center" wrapText="1"/>
    </xf>
    <xf numFmtId="0" fontId="18" fillId="0" borderId="207" xfId="0" applyFont="1" applyBorder="1" applyAlignment="1">
      <alignment horizontal="left" vertical="center" wrapText="1" indent="1"/>
    </xf>
    <xf numFmtId="0" fontId="18" fillId="0" borderId="49" xfId="0" applyFont="1" applyBorder="1" applyAlignment="1">
      <alignment horizontal="left" vertical="center" wrapText="1" indent="1"/>
    </xf>
    <xf numFmtId="0" fontId="18" fillId="0" borderId="253" xfId="0" applyFont="1" applyBorder="1" applyAlignment="1">
      <alignment horizontal="left" vertical="center" wrapText="1" indent="1"/>
    </xf>
    <xf numFmtId="0" fontId="18" fillId="0" borderId="254" xfId="0" applyFont="1" applyBorder="1" applyAlignment="1">
      <alignment horizontal="left" vertical="center" wrapText="1" indent="1"/>
    </xf>
    <xf numFmtId="0" fontId="4" fillId="0" borderId="207" xfId="0" applyFont="1" applyBorder="1" applyAlignment="1">
      <alignment horizontal="left" vertical="center" indent="1"/>
    </xf>
    <xf numFmtId="0" fontId="4" fillId="0" borderId="49" xfId="0" applyFont="1" applyBorder="1" applyAlignment="1">
      <alignment horizontal="left" vertical="center" indent="1"/>
    </xf>
    <xf numFmtId="0" fontId="25" fillId="6" borderId="253" xfId="0" applyFont="1" applyFill="1" applyBorder="1" applyAlignment="1">
      <alignment horizontal="left" vertical="center" wrapText="1" indent="1"/>
    </xf>
    <xf numFmtId="0" fontId="25" fillId="6" borderId="254" xfId="0" applyFont="1" applyFill="1" applyBorder="1" applyAlignment="1">
      <alignment horizontal="left" vertical="center" wrapText="1" indent="1"/>
    </xf>
    <xf numFmtId="49" fontId="41" fillId="0" borderId="0" xfId="0" applyNumberFormat="1" applyFont="1" applyAlignment="1">
      <alignment horizontal="left" vertical="top" wrapText="1" indent="1"/>
    </xf>
    <xf numFmtId="49" fontId="41" fillId="0" borderId="0" xfId="0" applyNumberFormat="1" applyFont="1" applyAlignment="1">
      <alignment horizontal="left" wrapText="1" indent="1"/>
    </xf>
    <xf numFmtId="0" fontId="68" fillId="0" borderId="0" xfId="0" quotePrefix="1" applyFont="1" applyAlignment="1">
      <alignment horizontal="left" vertical="center"/>
    </xf>
    <xf numFmtId="0" fontId="68" fillId="0" borderId="0" xfId="0" applyFont="1" applyAlignment="1">
      <alignment horizontal="left" vertical="center"/>
    </xf>
    <xf numFmtId="0" fontId="4" fillId="0" borderId="253" xfId="0" applyFont="1" applyBorder="1" applyAlignment="1">
      <alignment horizontal="left" vertical="center" wrapText="1" indent="1"/>
    </xf>
    <xf numFmtId="0" fontId="4" fillId="0" borderId="254" xfId="0" applyFont="1" applyBorder="1" applyAlignment="1">
      <alignment horizontal="left" vertical="center" wrapText="1" indent="1"/>
    </xf>
    <xf numFmtId="0" fontId="23" fillId="11" borderId="207" xfId="0" applyFont="1" applyFill="1" applyBorder="1" applyAlignment="1">
      <alignment horizontal="center" vertical="center" wrapText="1"/>
    </xf>
    <xf numFmtId="0" fontId="25" fillId="11" borderId="283" xfId="0" applyFont="1" applyFill="1" applyBorder="1" applyAlignment="1">
      <alignment horizontal="center" vertical="center" wrapText="1"/>
    </xf>
    <xf numFmtId="0" fontId="25" fillId="11" borderId="267" xfId="0" applyFont="1" applyFill="1" applyBorder="1" applyAlignment="1">
      <alignment horizontal="center" vertical="center" wrapText="1"/>
    </xf>
    <xf numFmtId="0" fontId="25" fillId="11" borderId="268" xfId="0" applyFont="1" applyFill="1" applyBorder="1" applyAlignment="1">
      <alignment horizontal="center" vertical="center" wrapText="1"/>
    </xf>
    <xf numFmtId="0" fontId="4" fillId="0" borderId="207" xfId="0" applyFont="1" applyBorder="1" applyAlignment="1">
      <alignment horizontal="center" vertical="center" wrapText="1"/>
    </xf>
    <xf numFmtId="0" fontId="4" fillId="0" borderId="207" xfId="0" applyFont="1" applyBorder="1" applyAlignment="1">
      <alignment horizontal="center"/>
    </xf>
    <xf numFmtId="0" fontId="4" fillId="0" borderId="49" xfId="0" applyFont="1" applyBorder="1" applyAlignment="1">
      <alignment horizontal="center"/>
    </xf>
    <xf numFmtId="0" fontId="12" fillId="0" borderId="0" xfId="0" applyFont="1" applyAlignment="1">
      <alignment horizontal="left" vertical="center" wrapText="1" indent="1"/>
    </xf>
    <xf numFmtId="0" fontId="52" fillId="0" borderId="253" xfId="0" applyFont="1" applyBorder="1" applyAlignment="1" applyProtection="1">
      <alignment horizontal="left" vertical="center" wrapText="1" indent="1"/>
      <protection locked="0"/>
    </xf>
    <xf numFmtId="0" fontId="52" fillId="0" borderId="254" xfId="0" applyFont="1" applyBorder="1" applyAlignment="1" applyProtection="1">
      <alignment horizontal="left" vertical="center" wrapText="1" indent="1"/>
      <protection locked="0"/>
    </xf>
    <xf numFmtId="0" fontId="52" fillId="0" borderId="207" xfId="0" applyFont="1" applyBorder="1" applyAlignment="1" applyProtection="1">
      <alignment horizontal="left" vertical="center" wrapText="1" indent="1"/>
      <protection locked="0"/>
    </xf>
    <xf numFmtId="0" fontId="52" fillId="0" borderId="49" xfId="0" applyFont="1" applyBorder="1" applyAlignment="1" applyProtection="1">
      <alignment horizontal="left" vertical="center" wrapText="1" indent="1"/>
      <protection locked="0"/>
    </xf>
    <xf numFmtId="0" fontId="25" fillId="6" borderId="211" xfId="0" applyFont="1" applyFill="1" applyBorder="1" applyAlignment="1">
      <alignment horizontal="left" vertical="center" wrapText="1" indent="1"/>
    </xf>
    <xf numFmtId="0" fontId="25" fillId="6" borderId="214" xfId="0" applyFont="1" applyFill="1" applyBorder="1" applyAlignment="1">
      <alignment horizontal="left" vertical="center" wrapText="1" indent="1"/>
    </xf>
    <xf numFmtId="0" fontId="25" fillId="6" borderId="212" xfId="0" applyFont="1" applyFill="1" applyBorder="1" applyAlignment="1">
      <alignment horizontal="left" vertical="center" wrapText="1" indent="1"/>
    </xf>
    <xf numFmtId="0" fontId="25" fillId="6" borderId="207" xfId="0" applyFont="1" applyFill="1" applyBorder="1" applyAlignment="1">
      <alignment horizontal="left" vertical="center" wrapText="1" indent="1"/>
    </xf>
    <xf numFmtId="0" fontId="25" fillId="6" borderId="49" xfId="0" applyFont="1" applyFill="1" applyBorder="1" applyAlignment="1">
      <alignment horizontal="left" vertical="center" wrapText="1" indent="1"/>
    </xf>
    <xf numFmtId="49" fontId="12" fillId="0" borderId="0" xfId="0" applyNumberFormat="1" applyFont="1" applyAlignment="1">
      <alignment horizontal="left" vertical="top" wrapText="1" indent="2"/>
    </xf>
    <xf numFmtId="0" fontId="12" fillId="0" borderId="0" xfId="0" quotePrefix="1" applyFont="1" applyAlignment="1">
      <alignment horizontal="left" vertical="center"/>
    </xf>
    <xf numFmtId="0" fontId="12" fillId="0" borderId="0" xfId="0" applyFont="1" applyAlignment="1">
      <alignment horizontal="left" vertical="center"/>
    </xf>
    <xf numFmtId="0" fontId="18" fillId="7" borderId="207" xfId="0" applyFont="1" applyFill="1" applyBorder="1" applyAlignment="1">
      <alignment horizontal="left" vertical="center" wrapText="1" indent="1"/>
    </xf>
    <xf numFmtId="0" fontId="18" fillId="7" borderId="49" xfId="0" applyFont="1" applyFill="1" applyBorder="1" applyAlignment="1">
      <alignment horizontal="left" vertical="center" wrapText="1" indent="1"/>
    </xf>
    <xf numFmtId="0" fontId="80" fillId="0" borderId="207" xfId="0" applyFont="1" applyBorder="1" applyAlignment="1" applyProtection="1">
      <alignment horizontal="left" vertical="center" wrapText="1" indent="2"/>
      <protection locked="0"/>
    </xf>
    <xf numFmtId="0" fontId="80" fillId="0" borderId="49" xfId="0" applyFont="1" applyBorder="1" applyAlignment="1" applyProtection="1">
      <alignment horizontal="left" vertical="center" wrapText="1" indent="2"/>
      <protection locked="0"/>
    </xf>
    <xf numFmtId="0" fontId="25" fillId="9" borderId="253" xfId="0" applyFont="1" applyFill="1" applyBorder="1" applyAlignment="1">
      <alignment horizontal="left" vertical="center" wrapText="1" indent="1"/>
    </xf>
    <xf numFmtId="0" fontId="25" fillId="9" borderId="254" xfId="0" applyFont="1" applyFill="1" applyBorder="1" applyAlignment="1">
      <alignment horizontal="left" vertical="center" wrapText="1" indent="1"/>
    </xf>
    <xf numFmtId="0" fontId="25" fillId="0" borderId="207" xfId="0" applyFont="1" applyBorder="1" applyAlignment="1">
      <alignment horizontal="left" vertical="center" wrapText="1" indent="1"/>
    </xf>
    <xf numFmtId="0" fontId="25" fillId="0" borderId="49" xfId="0" applyFont="1" applyBorder="1" applyAlignment="1">
      <alignment horizontal="left" vertical="center" wrapText="1" indent="1"/>
    </xf>
    <xf numFmtId="0" fontId="61" fillId="0" borderId="286" xfId="0" applyFont="1" applyBorder="1" applyAlignment="1">
      <alignment horizontal="left" vertical="center" wrapText="1" indent="1"/>
    </xf>
    <xf numFmtId="0" fontId="61" fillId="0" borderId="87" xfId="0" applyFont="1" applyBorder="1" applyAlignment="1">
      <alignment horizontal="left" vertical="center" wrapText="1" indent="1"/>
    </xf>
    <xf numFmtId="0" fontId="61" fillId="0" borderId="88" xfId="0" applyFont="1" applyBorder="1" applyAlignment="1">
      <alignment horizontal="left" vertical="center" wrapText="1" indent="1"/>
    </xf>
    <xf numFmtId="0" fontId="61" fillId="0" borderId="287" xfId="0" applyFont="1" applyBorder="1" applyAlignment="1">
      <alignment horizontal="left" vertical="center" wrapText="1" indent="1"/>
    </xf>
    <xf numFmtId="0" fontId="61" fillId="0" borderId="89" xfId="0" applyFont="1" applyBorder="1" applyAlignment="1">
      <alignment horizontal="left" vertical="center" wrapText="1" indent="1"/>
    </xf>
    <xf numFmtId="0" fontId="61" fillId="0" borderId="90" xfId="0" applyFont="1" applyBorder="1" applyAlignment="1">
      <alignment horizontal="left" vertical="center" wrapText="1" indent="1"/>
    </xf>
    <xf numFmtId="0" fontId="61" fillId="0" borderId="288" xfId="0" applyFont="1" applyBorder="1" applyAlignment="1">
      <alignment horizontal="left" vertical="center" wrapText="1" indent="1"/>
    </xf>
    <xf numFmtId="0" fontId="61" fillId="0" borderId="91" xfId="0" applyFont="1" applyBorder="1" applyAlignment="1">
      <alignment horizontal="left" vertical="center" wrapText="1" indent="1"/>
    </xf>
    <xf numFmtId="0" fontId="61" fillId="0" borderId="92" xfId="0" applyFont="1" applyBorder="1" applyAlignment="1">
      <alignment horizontal="left" vertical="center" wrapText="1" indent="1"/>
    </xf>
    <xf numFmtId="0" fontId="23" fillId="0" borderId="209" xfId="0" applyFont="1" applyBorder="1" applyAlignment="1">
      <alignment horizontal="left" vertical="center" wrapText="1" indent="1"/>
    </xf>
    <xf numFmtId="0" fontId="23" fillId="0" borderId="50" xfId="0" applyFont="1" applyBorder="1" applyAlignment="1">
      <alignment horizontal="left" vertical="center" wrapText="1" indent="1"/>
    </xf>
    <xf numFmtId="0" fontId="23" fillId="0" borderId="47" xfId="0" applyFont="1" applyBorder="1" applyAlignment="1">
      <alignment horizontal="left" vertical="center" wrapText="1" indent="1"/>
    </xf>
    <xf numFmtId="0" fontId="18" fillId="0" borderId="48" xfId="0" applyFont="1" applyBorder="1" applyAlignment="1">
      <alignment horizontal="left" vertical="center"/>
    </xf>
    <xf numFmtId="0" fontId="23" fillId="11" borderId="290" xfId="0" applyFont="1" applyFill="1" applyBorder="1" applyAlignment="1">
      <alignment horizontal="center" vertical="center" wrapText="1"/>
    </xf>
    <xf numFmtId="0" fontId="23" fillId="11" borderId="291" xfId="0" applyFont="1" applyFill="1" applyBorder="1" applyAlignment="1">
      <alignment horizontal="center" vertical="center" wrapText="1"/>
    </xf>
    <xf numFmtId="0" fontId="4" fillId="0" borderId="251" xfId="0" applyFont="1" applyBorder="1" applyAlignment="1">
      <alignment horizontal="left" vertical="center" wrapText="1" indent="1"/>
    </xf>
    <xf numFmtId="0" fontId="4" fillId="0" borderId="40" xfId="0" applyFont="1" applyBorder="1" applyAlignment="1">
      <alignment horizontal="left" vertical="center" wrapText="1" indent="1"/>
    </xf>
    <xf numFmtId="0" fontId="4" fillId="0" borderId="41" xfId="0" applyFont="1" applyBorder="1" applyAlignment="1">
      <alignment horizontal="left" vertical="center" wrapText="1" indent="1"/>
    </xf>
    <xf numFmtId="0" fontId="41" fillId="0" borderId="0" xfId="0" applyFont="1" applyAlignment="1">
      <alignment horizontal="left"/>
    </xf>
    <xf numFmtId="0" fontId="24" fillId="0" borderId="208" xfId="0" applyFont="1" applyBorder="1" applyAlignment="1">
      <alignment horizontal="center" vertical="center" wrapText="1"/>
    </xf>
    <xf numFmtId="0" fontId="24" fillId="11" borderId="262" xfId="0" applyFont="1" applyFill="1" applyBorder="1" applyAlignment="1">
      <alignment horizontal="left" vertical="center" wrapText="1"/>
    </xf>
    <xf numFmtId="0" fontId="24" fillId="11" borderId="59" xfId="0" applyFont="1" applyFill="1" applyBorder="1" applyAlignment="1">
      <alignment horizontal="left" vertical="center" wrapText="1"/>
    </xf>
    <xf numFmtId="0" fontId="1" fillId="0" borderId="207" xfId="0" applyFont="1" applyBorder="1" applyAlignment="1">
      <alignment horizontal="left" vertical="center" wrapText="1" indent="1"/>
    </xf>
    <xf numFmtId="0" fontId="1" fillId="0" borderId="49" xfId="0" applyFont="1" applyBorder="1" applyAlignment="1">
      <alignment horizontal="left" vertical="center" wrapText="1" indent="1"/>
    </xf>
    <xf numFmtId="0" fontId="24" fillId="11" borderId="289" xfId="0" applyFont="1" applyFill="1" applyBorder="1" applyAlignment="1">
      <alignment horizontal="center" vertical="center" wrapText="1"/>
    </xf>
    <xf numFmtId="0" fontId="24" fillId="11" borderId="55" xfId="0" applyFont="1" applyFill="1" applyBorder="1" applyAlignment="1">
      <alignment horizontal="center" vertical="center" wrapText="1"/>
    </xf>
    <xf numFmtId="0" fontId="24" fillId="11" borderId="293" xfId="0" applyFont="1" applyFill="1" applyBorder="1" applyAlignment="1">
      <alignment horizontal="center" vertical="center" wrapText="1"/>
    </xf>
    <xf numFmtId="0" fontId="24" fillId="11" borderId="58" xfId="0" applyFont="1" applyFill="1" applyBorder="1" applyAlignment="1">
      <alignment horizontal="center" vertical="center" wrapText="1"/>
    </xf>
    <xf numFmtId="0" fontId="24" fillId="0" borderId="49" xfId="0" applyFont="1" applyBorder="1" applyAlignment="1">
      <alignment horizontal="center" vertical="center" wrapText="1"/>
    </xf>
    <xf numFmtId="0" fontId="2" fillId="0" borderId="207" xfId="0" applyFont="1" applyBorder="1" applyAlignment="1">
      <alignment horizontal="left" vertical="center" wrapText="1" indent="1"/>
    </xf>
    <xf numFmtId="0" fontId="2" fillId="0" borderId="49" xfId="0" applyFont="1" applyBorder="1" applyAlignment="1">
      <alignment horizontal="left" vertical="center" wrapText="1" indent="1"/>
    </xf>
    <xf numFmtId="0" fontId="24" fillId="11" borderId="257" xfId="0" applyFont="1" applyFill="1" applyBorder="1" applyAlignment="1">
      <alignment horizontal="right" vertical="center" wrapText="1"/>
    </xf>
    <xf numFmtId="0" fontId="24" fillId="11" borderId="247" xfId="0" applyFont="1" applyFill="1" applyBorder="1" applyAlignment="1">
      <alignment horizontal="right" vertical="center" wrapText="1"/>
    </xf>
    <xf numFmtId="0" fontId="24" fillId="11" borderId="267" xfId="0" applyFont="1" applyFill="1" applyBorder="1" applyAlignment="1">
      <alignment horizontal="center" vertical="center" wrapText="1"/>
    </xf>
    <xf numFmtId="0" fontId="24" fillId="11" borderId="268" xfId="0" applyFont="1" applyFill="1" applyBorder="1" applyAlignment="1">
      <alignment horizontal="center" vertical="center" wrapText="1"/>
    </xf>
    <xf numFmtId="0" fontId="1" fillId="0" borderId="253" xfId="0" applyFont="1" applyBorder="1" applyAlignment="1">
      <alignment horizontal="left" vertical="center" wrapText="1" indent="1"/>
    </xf>
    <xf numFmtId="0" fontId="1" fillId="0" borderId="254" xfId="0" applyFont="1" applyBorder="1" applyAlignment="1">
      <alignment horizontal="left" vertical="center" wrapText="1" indent="1"/>
    </xf>
    <xf numFmtId="0" fontId="16" fillId="0" borderId="207" xfId="0" applyFont="1" applyBorder="1" applyAlignment="1">
      <alignment horizontal="left" vertical="center" wrapText="1" indent="1"/>
    </xf>
    <xf numFmtId="0" fontId="16" fillId="0" borderId="49" xfId="0" applyFont="1" applyBorder="1" applyAlignment="1">
      <alignment horizontal="left" vertical="center" wrapText="1" indent="1"/>
    </xf>
    <xf numFmtId="0" fontId="20" fillId="7" borderId="254" xfId="0" applyFont="1" applyFill="1" applyBorder="1" applyAlignment="1">
      <alignment horizontal="center" vertical="center" wrapText="1"/>
    </xf>
    <xf numFmtId="0" fontId="20" fillId="7" borderId="255" xfId="0" applyFont="1" applyFill="1" applyBorder="1" applyAlignment="1">
      <alignment horizontal="center" vertical="center" wrapText="1"/>
    </xf>
    <xf numFmtId="0" fontId="16" fillId="0" borderId="254" xfId="0" applyFont="1" applyBorder="1" applyAlignment="1">
      <alignment horizontal="left" vertical="center" wrapText="1" indent="1"/>
    </xf>
    <xf numFmtId="0" fontId="16" fillId="0" borderId="253" xfId="0" applyFont="1" applyBorder="1" applyAlignment="1">
      <alignment horizontal="left" vertical="center" wrapText="1" indent="1"/>
    </xf>
    <xf numFmtId="0" fontId="33" fillId="0" borderId="0" xfId="0" applyFont="1" applyAlignment="1">
      <alignment horizontal="left" indent="1"/>
    </xf>
    <xf numFmtId="0" fontId="20" fillId="0" borderId="0" xfId="0" applyFont="1" applyAlignment="1">
      <alignment horizontal="left" vertical="top" wrapText="1" indent="1"/>
    </xf>
    <xf numFmtId="0" fontId="1" fillId="0" borderId="268" xfId="0" applyFont="1" applyBorder="1" applyAlignment="1" applyProtection="1">
      <alignment horizontal="center" vertical="center" wrapText="1"/>
      <protection locked="0"/>
    </xf>
    <xf numFmtId="0" fontId="1" fillId="0" borderId="208" xfId="0" applyFont="1" applyBorder="1" applyAlignment="1" applyProtection="1">
      <alignment horizontal="center" vertical="center" wrapText="1"/>
      <protection locked="0"/>
    </xf>
    <xf numFmtId="0" fontId="20" fillId="0" borderId="297" xfId="0" applyFont="1" applyBorder="1" applyAlignment="1">
      <alignment horizontal="center" vertical="center" wrapText="1"/>
    </xf>
    <xf numFmtId="0" fontId="20" fillId="0" borderId="300" xfId="0" applyFont="1" applyBorder="1" applyAlignment="1">
      <alignment horizontal="center" vertical="center" wrapText="1"/>
    </xf>
    <xf numFmtId="0" fontId="1" fillId="0" borderId="267" xfId="0" applyFont="1" applyBorder="1" applyAlignment="1">
      <alignment horizontal="left" vertical="center" wrapText="1" indent="1"/>
    </xf>
    <xf numFmtId="0" fontId="1" fillId="0" borderId="147" xfId="0" applyFont="1" applyBorder="1" applyAlignment="1">
      <alignment horizontal="center" vertical="center" wrapText="1"/>
    </xf>
    <xf numFmtId="0" fontId="1" fillId="0" borderId="149" xfId="0" applyFont="1" applyBorder="1" applyAlignment="1">
      <alignment horizontal="center" vertical="center" wrapText="1"/>
    </xf>
    <xf numFmtId="0" fontId="1" fillId="0" borderId="298" xfId="0" applyFont="1" applyBorder="1" applyAlignment="1">
      <alignment horizontal="center" vertical="center" wrapText="1"/>
    </xf>
    <xf numFmtId="0" fontId="1" fillId="0" borderId="299" xfId="0" applyFont="1" applyBorder="1" applyAlignment="1">
      <alignment horizontal="center" vertical="center" wrapText="1"/>
    </xf>
    <xf numFmtId="0" fontId="16" fillId="0" borderId="0" xfId="0" applyFont="1" applyAlignment="1">
      <alignment horizontal="left" vertical="center" wrapText="1"/>
    </xf>
    <xf numFmtId="0" fontId="1" fillId="0" borderId="283" xfId="0" applyFont="1" applyBorder="1" applyAlignment="1">
      <alignment horizontal="left" vertical="center" wrapText="1" indent="1"/>
    </xf>
    <xf numFmtId="3" fontId="1" fillId="0" borderId="267"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0" fontId="24" fillId="11" borderId="251" xfId="0" applyFont="1" applyFill="1" applyBorder="1" applyAlignment="1">
      <alignment horizontal="left" wrapText="1"/>
    </xf>
    <xf numFmtId="0" fontId="24" fillId="11" borderId="40" xfId="0" applyFont="1" applyFill="1" applyBorder="1" applyAlignment="1">
      <alignment horizontal="left" wrapText="1"/>
    </xf>
    <xf numFmtId="0" fontId="24" fillId="11" borderId="41" xfId="0" applyFont="1" applyFill="1" applyBorder="1" applyAlignment="1">
      <alignment horizontal="left" wrapText="1"/>
    </xf>
    <xf numFmtId="0" fontId="72" fillId="0" borderId="209" xfId="0" applyFont="1" applyBorder="1" applyAlignment="1">
      <alignment horizontal="left" vertical="center" wrapText="1" indent="1"/>
    </xf>
    <xf numFmtId="0" fontId="72" fillId="0" borderId="50" xfId="0" applyFont="1" applyBorder="1" applyAlignment="1">
      <alignment horizontal="left" vertical="center" wrapText="1" indent="1"/>
    </xf>
    <xf numFmtId="0" fontId="72" fillId="0" borderId="47" xfId="0" applyFont="1" applyBorder="1" applyAlignment="1">
      <alignment horizontal="left" vertical="center" wrapText="1" indent="1"/>
    </xf>
    <xf numFmtId="0" fontId="24" fillId="11" borderId="1" xfId="0" applyFont="1" applyFill="1" applyBorder="1" applyAlignment="1">
      <alignment horizontal="right" vertical="center" wrapText="1"/>
    </xf>
    <xf numFmtId="0" fontId="24" fillId="11" borderId="2" xfId="0" applyFont="1" applyFill="1" applyBorder="1" applyAlignment="1">
      <alignment horizontal="right" vertical="center" wrapText="1"/>
    </xf>
    <xf numFmtId="0" fontId="24" fillId="11" borderId="246" xfId="0" applyFont="1" applyFill="1" applyBorder="1" applyAlignment="1">
      <alignment horizontal="right" vertical="center" wrapText="1"/>
    </xf>
    <xf numFmtId="0" fontId="35" fillId="11" borderId="4" xfId="0" applyFont="1" applyFill="1" applyBorder="1" applyAlignment="1">
      <alignment horizontal="center" vertical="center" wrapText="1"/>
    </xf>
    <xf numFmtId="0" fontId="35" fillId="11" borderId="0" xfId="0" applyFont="1" applyFill="1" applyAlignment="1">
      <alignment horizontal="center" vertical="center" wrapText="1"/>
    </xf>
    <xf numFmtId="0" fontId="35" fillId="11" borderId="60" xfId="0" applyFont="1" applyFill="1" applyBorder="1" applyAlignment="1">
      <alignment horizontal="center" vertical="center" wrapText="1"/>
    </xf>
    <xf numFmtId="0" fontId="18" fillId="2" borderId="211" xfId="0" applyFont="1" applyFill="1" applyBorder="1" applyAlignment="1">
      <alignment horizontal="left" vertical="center" wrapText="1" indent="1"/>
    </xf>
    <xf numFmtId="0" fontId="18" fillId="2" borderId="214" xfId="0" applyFont="1" applyFill="1" applyBorder="1" applyAlignment="1">
      <alignment horizontal="left" vertical="center" wrapText="1" indent="1"/>
    </xf>
    <xf numFmtId="0" fontId="18" fillId="2" borderId="212" xfId="0" applyFont="1" applyFill="1" applyBorder="1" applyAlignment="1">
      <alignment horizontal="left" vertical="center" wrapText="1" indent="1"/>
    </xf>
    <xf numFmtId="0" fontId="51" fillId="0" borderId="209" xfId="0" applyFont="1" applyBorder="1" applyAlignment="1" applyProtection="1">
      <alignment horizontal="left" vertical="center" wrapText="1" indent="1"/>
      <protection locked="0"/>
    </xf>
    <xf numFmtId="0" fontId="51" fillId="0" borderId="50" xfId="0" applyFont="1" applyBorder="1" applyAlignment="1" applyProtection="1">
      <alignment horizontal="left" vertical="center" wrapText="1" indent="1"/>
      <protection locked="0"/>
    </xf>
    <xf numFmtId="0" fontId="51" fillId="0" borderId="47" xfId="0" applyFont="1" applyBorder="1" applyAlignment="1" applyProtection="1">
      <alignment horizontal="left" vertical="center" wrapText="1" indent="1"/>
      <protection locked="0"/>
    </xf>
    <xf numFmtId="0" fontId="22" fillId="0" borderId="209" xfId="0" applyFont="1" applyBorder="1" applyAlignment="1">
      <alignment horizontal="left" vertical="center" wrapText="1" indent="1"/>
    </xf>
    <xf numFmtId="0" fontId="22" fillId="0" borderId="50" xfId="0" applyFont="1" applyBorder="1" applyAlignment="1">
      <alignment horizontal="left" vertical="center" wrapText="1" indent="1"/>
    </xf>
    <xf numFmtId="0" fontId="22" fillId="0" borderId="47" xfId="0" applyFont="1" applyBorder="1" applyAlignment="1">
      <alignment horizontal="left" vertical="center" wrapText="1" indent="1"/>
    </xf>
    <xf numFmtId="0" fontId="36" fillId="0" borderId="209" xfId="0" applyFont="1" applyBorder="1" applyAlignment="1">
      <alignment horizontal="left" vertical="center" wrapText="1" indent="1"/>
    </xf>
    <xf numFmtId="0" fontId="18" fillId="0" borderId="50" xfId="0" applyFont="1" applyBorder="1" applyAlignment="1">
      <alignment horizontal="left" vertical="center" wrapText="1" indent="1"/>
    </xf>
    <xf numFmtId="0" fontId="18" fillId="0" borderId="47" xfId="0" applyFont="1" applyBorder="1" applyAlignment="1">
      <alignment horizontal="left" vertical="center" wrapText="1" indent="1"/>
    </xf>
    <xf numFmtId="0" fontId="36" fillId="0" borderId="50" xfId="0" applyFont="1" applyBorder="1" applyAlignment="1">
      <alignment horizontal="left" vertical="center" wrapText="1" indent="1"/>
    </xf>
    <xf numFmtId="0" fontId="36" fillId="0" borderId="47" xfId="0" applyFont="1" applyBorder="1" applyAlignment="1">
      <alignment horizontal="left" vertical="center" wrapText="1" indent="1"/>
    </xf>
    <xf numFmtId="0" fontId="20" fillId="0" borderId="49" xfId="0" applyFont="1" applyBorder="1" applyAlignment="1">
      <alignment horizontal="left" vertical="center" wrapText="1"/>
    </xf>
    <xf numFmtId="0" fontId="23" fillId="11" borderId="1" xfId="0" applyFont="1" applyFill="1" applyBorder="1" applyAlignment="1">
      <alignment horizontal="right" wrapText="1"/>
    </xf>
    <xf numFmtId="0" fontId="23" fillId="11" borderId="2" xfId="0" applyFont="1" applyFill="1" applyBorder="1" applyAlignment="1">
      <alignment horizontal="right" wrapText="1"/>
    </xf>
    <xf numFmtId="0" fontId="23" fillId="11" borderId="246" xfId="0" applyFont="1" applyFill="1" applyBorder="1" applyAlignment="1">
      <alignment horizontal="right" wrapText="1"/>
    </xf>
    <xf numFmtId="0" fontId="23" fillId="11" borderId="247" xfId="0" applyFont="1" applyFill="1" applyBorder="1" applyAlignment="1">
      <alignment horizontal="center" vertical="center" wrapText="1"/>
    </xf>
    <xf numFmtId="0" fontId="23" fillId="11" borderId="55" xfId="0" applyFont="1" applyFill="1" applyBorder="1" applyAlignment="1">
      <alignment horizontal="center" vertical="center" wrapText="1"/>
    </xf>
    <xf numFmtId="0" fontId="23" fillId="11" borderId="280" xfId="0" applyFont="1" applyFill="1" applyBorder="1" applyAlignment="1">
      <alignment horizontal="center" vertical="center" wrapText="1"/>
    </xf>
    <xf numFmtId="0" fontId="23" fillId="11" borderId="269" xfId="0" applyFont="1" applyFill="1" applyBorder="1" applyAlignment="1">
      <alignment horizontal="center" vertical="center" wrapText="1"/>
    </xf>
    <xf numFmtId="0" fontId="23" fillId="11" borderId="251" xfId="0" applyFont="1" applyFill="1" applyBorder="1" applyAlignment="1">
      <alignment horizontal="left" vertical="center" wrapText="1"/>
    </xf>
    <xf numFmtId="0" fontId="23" fillId="11" borderId="40" xfId="0" applyFont="1" applyFill="1" applyBorder="1" applyAlignment="1">
      <alignment horizontal="left" vertical="center" wrapText="1"/>
    </xf>
    <xf numFmtId="0" fontId="23" fillId="11" borderId="41" xfId="0" applyFont="1" applyFill="1" applyBorder="1" applyAlignment="1">
      <alignment horizontal="left" vertical="center" wrapText="1"/>
    </xf>
    <xf numFmtId="0" fontId="24" fillId="11" borderId="283" xfId="0" applyFont="1" applyFill="1" applyBorder="1" applyAlignment="1">
      <alignment horizontal="center" vertical="center" wrapText="1"/>
    </xf>
    <xf numFmtId="0" fontId="16" fillId="0" borderId="209" xfId="0" applyFont="1" applyBorder="1" applyAlignment="1">
      <alignment horizontal="left" vertical="center" wrapText="1" indent="1"/>
    </xf>
    <xf numFmtId="0" fontId="16" fillId="0" borderId="50"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6" borderId="211" xfId="0" applyFont="1" applyFill="1" applyBorder="1" applyAlignment="1">
      <alignment horizontal="left" vertical="center" wrapText="1" indent="1"/>
    </xf>
    <xf numFmtId="0" fontId="16" fillId="6" borderId="214" xfId="0" applyFont="1" applyFill="1" applyBorder="1" applyAlignment="1">
      <alignment horizontal="left" vertical="center" wrapText="1" indent="1"/>
    </xf>
    <xf numFmtId="0" fontId="16" fillId="6" borderId="212" xfId="0" applyFont="1" applyFill="1" applyBorder="1" applyAlignment="1">
      <alignment horizontal="left" vertical="center" wrapText="1" indent="1"/>
    </xf>
    <xf numFmtId="0" fontId="16" fillId="5" borderId="211" xfId="0" applyFont="1" applyFill="1" applyBorder="1" applyAlignment="1">
      <alignment horizontal="left" vertical="center" wrapText="1" indent="1"/>
    </xf>
    <xf numFmtId="0" fontId="16" fillId="5" borderId="214" xfId="0" applyFont="1" applyFill="1" applyBorder="1" applyAlignment="1">
      <alignment horizontal="left" vertical="center" wrapText="1" indent="1"/>
    </xf>
    <xf numFmtId="0" fontId="16" fillId="5" borderId="212" xfId="0" applyFont="1" applyFill="1" applyBorder="1" applyAlignment="1">
      <alignment horizontal="left" vertical="center" wrapText="1" indent="1"/>
    </xf>
    <xf numFmtId="0" fontId="26" fillId="0" borderId="211" xfId="0" applyFont="1" applyBorder="1" applyAlignment="1">
      <alignment horizontal="left" vertical="center" wrapText="1"/>
    </xf>
    <xf numFmtId="0" fontId="26" fillId="0" borderId="214" xfId="0" applyFont="1" applyBorder="1" applyAlignment="1">
      <alignment horizontal="left" vertical="center" wrapText="1"/>
    </xf>
    <xf numFmtId="0" fontId="26" fillId="0" borderId="212" xfId="0" applyFont="1" applyBorder="1" applyAlignment="1">
      <alignment horizontal="left" vertical="center" wrapText="1"/>
    </xf>
    <xf numFmtId="0" fontId="20" fillId="0" borderId="0" xfId="0" applyFont="1" applyAlignment="1">
      <alignment horizontal="left" vertical="top" wrapText="1"/>
    </xf>
    <xf numFmtId="0" fontId="1" fillId="0" borderId="4" xfId="0" quotePrefix="1" applyFont="1" applyBorder="1" applyAlignment="1">
      <alignment horizontal="left" vertical="center" wrapText="1" indent="1"/>
    </xf>
    <xf numFmtId="0" fontId="1" fillId="0" borderId="0" xfId="0" applyFont="1" applyAlignment="1">
      <alignment horizontal="left" vertical="center" wrapText="1" indent="1"/>
    </xf>
    <xf numFmtId="0" fontId="1" fillId="0" borderId="60" xfId="0" applyFont="1" applyBorder="1" applyAlignment="1">
      <alignment horizontal="left" vertical="center" wrapText="1" indent="1"/>
    </xf>
    <xf numFmtId="0" fontId="26" fillId="0" borderId="251" xfId="0" applyFont="1" applyBorder="1" applyAlignment="1">
      <alignment horizontal="left" vertical="center" wrapText="1"/>
    </xf>
    <xf numFmtId="0" fontId="26" fillId="0" borderId="40" xfId="0" applyFont="1" applyBorder="1" applyAlignment="1">
      <alignment horizontal="left" vertical="center" wrapText="1"/>
    </xf>
    <xf numFmtId="0" fontId="26" fillId="0" borderId="41" xfId="0" applyFont="1" applyBorder="1" applyAlignment="1">
      <alignment horizontal="left" vertical="center" wrapText="1"/>
    </xf>
    <xf numFmtId="0" fontId="26" fillId="11" borderId="209" xfId="0" applyFont="1" applyFill="1" applyBorder="1" applyAlignment="1">
      <alignment horizontal="center" vertical="center" wrapText="1"/>
    </xf>
    <xf numFmtId="0" fontId="26" fillId="11" borderId="50" xfId="0" applyFont="1" applyFill="1" applyBorder="1" applyAlignment="1">
      <alignment horizontal="center" vertical="center" wrapText="1"/>
    </xf>
    <xf numFmtId="0" fontId="26" fillId="11" borderId="210" xfId="0" applyFont="1" applyFill="1" applyBorder="1" applyAlignment="1">
      <alignment horizontal="center" vertical="center" wrapText="1"/>
    </xf>
    <xf numFmtId="0" fontId="16" fillId="0" borderId="276" xfId="0" applyFont="1" applyBorder="1" applyAlignment="1">
      <alignment horizontal="left" vertical="center" wrapText="1" indent="1"/>
    </xf>
    <xf numFmtId="0" fontId="16" fillId="0" borderId="34" xfId="0" applyFont="1" applyBorder="1" applyAlignment="1">
      <alignment horizontal="left" vertical="center" wrapText="1" indent="1"/>
    </xf>
    <xf numFmtId="0" fontId="16" fillId="0" borderId="35" xfId="0" applyFont="1" applyBorder="1" applyAlignment="1">
      <alignment horizontal="left" vertical="center" wrapText="1" indent="1"/>
    </xf>
    <xf numFmtId="0" fontId="16" fillId="0" borderId="251" xfId="0" quotePrefix="1" applyFont="1" applyBorder="1" applyAlignment="1">
      <alignment horizontal="left" vertical="center" wrapText="1" indent="1"/>
    </xf>
    <xf numFmtId="0" fontId="16" fillId="0" borderId="40" xfId="0" applyFont="1" applyBorder="1" applyAlignment="1">
      <alignment horizontal="left" vertical="center" wrapText="1" indent="1"/>
    </xf>
    <xf numFmtId="0" fontId="16" fillId="0" borderId="41" xfId="0" applyFont="1" applyBorder="1" applyAlignment="1">
      <alignment horizontal="left" vertical="center" wrapText="1" indent="1"/>
    </xf>
    <xf numFmtId="0" fontId="1" fillId="0" borderId="276" xfId="0" quotePrefix="1" applyFont="1" applyBorder="1" applyAlignment="1">
      <alignment horizontal="left" vertical="center" wrapText="1" indent="1"/>
    </xf>
    <xf numFmtId="0" fontId="1" fillId="0" borderId="34" xfId="0" applyFont="1" applyBorder="1" applyAlignment="1">
      <alignment horizontal="left" vertical="center" wrapText="1" indent="1"/>
    </xf>
    <xf numFmtId="0" fontId="1" fillId="0" borderId="35" xfId="0" applyFont="1" applyBorder="1" applyAlignment="1">
      <alignment horizontal="left" vertical="center" wrapText="1" indent="1"/>
    </xf>
    <xf numFmtId="0" fontId="26" fillId="0" borderId="209" xfId="0" applyFont="1" applyBorder="1" applyAlignment="1">
      <alignment horizontal="left" vertical="center" wrapText="1" indent="1"/>
    </xf>
    <xf numFmtId="0" fontId="26" fillId="0" borderId="50" xfId="0" applyFont="1" applyBorder="1" applyAlignment="1">
      <alignment horizontal="left" vertical="center" wrapText="1" indent="1"/>
    </xf>
    <xf numFmtId="0" fontId="26" fillId="0" borderId="47" xfId="0" applyFont="1" applyBorder="1" applyAlignment="1">
      <alignment horizontal="left" vertical="center" wrapText="1" indent="1"/>
    </xf>
    <xf numFmtId="0" fontId="1" fillId="0" borderId="4" xfId="0" applyFont="1" applyBorder="1" applyAlignment="1">
      <alignment horizontal="left" vertical="center" wrapText="1" indent="1"/>
    </xf>
    <xf numFmtId="0" fontId="16" fillId="0" borderId="4" xfId="0" applyFont="1" applyBorder="1" applyAlignment="1">
      <alignment horizontal="left" vertical="center" wrapText="1"/>
    </xf>
    <xf numFmtId="0" fontId="16" fillId="0" borderId="60" xfId="0" applyFont="1" applyBorder="1" applyAlignment="1">
      <alignment horizontal="left" vertical="center" wrapText="1"/>
    </xf>
    <xf numFmtId="0" fontId="20" fillId="0" borderId="251" xfId="0" applyFont="1" applyBorder="1" applyAlignment="1">
      <alignment horizontal="left" vertical="center" wrapText="1" indent="1"/>
    </xf>
    <xf numFmtId="0" fontId="20" fillId="0" borderId="40" xfId="0" applyFont="1" applyBorder="1" applyAlignment="1">
      <alignment horizontal="left" vertical="center" wrapText="1" indent="1"/>
    </xf>
    <xf numFmtId="0" fontId="20" fillId="0" borderId="41" xfId="0" applyFont="1" applyBorder="1" applyAlignment="1">
      <alignment horizontal="left" vertical="center" wrapText="1" indent="1"/>
    </xf>
    <xf numFmtId="0" fontId="16" fillId="0" borderId="4" xfId="0" applyFont="1" applyBorder="1" applyAlignment="1">
      <alignment horizontal="left" vertical="center" wrapText="1" indent="1"/>
    </xf>
    <xf numFmtId="0" fontId="16" fillId="0" borderId="0" xfId="0" applyFont="1" applyAlignment="1">
      <alignment horizontal="left" vertical="center" wrapText="1" indent="1"/>
    </xf>
    <xf numFmtId="0" fontId="16" fillId="0" borderId="60" xfId="0" applyFont="1" applyBorder="1" applyAlignment="1">
      <alignment horizontal="left" vertical="center" wrapText="1" indent="1"/>
    </xf>
    <xf numFmtId="0" fontId="26" fillId="0" borderId="209" xfId="0" applyFont="1" applyBorder="1" applyAlignment="1">
      <alignment horizontal="left" vertical="center" wrapText="1"/>
    </xf>
    <xf numFmtId="0" fontId="26" fillId="0" borderId="50" xfId="0" applyFont="1" applyBorder="1" applyAlignment="1">
      <alignment horizontal="left" vertical="center" wrapText="1"/>
    </xf>
    <xf numFmtId="0" fontId="26" fillId="0" borderId="47" xfId="0" applyFont="1" applyBorder="1" applyAlignment="1">
      <alignment horizontal="left" vertical="center" wrapText="1"/>
    </xf>
    <xf numFmtId="0" fontId="24" fillId="0" borderId="4" xfId="0" applyFont="1" applyBorder="1" applyAlignment="1">
      <alignment horizontal="left" vertical="center" wrapText="1" inden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0" fontId="1" fillId="0" borderId="251" xfId="0" applyFont="1" applyBorder="1" applyAlignment="1">
      <alignment horizontal="left" vertical="center" wrapText="1" indent="1"/>
    </xf>
    <xf numFmtId="0" fontId="1" fillId="0" borderId="40" xfId="0" applyFont="1" applyBorder="1" applyAlignment="1">
      <alignment horizontal="left" vertical="center" wrapText="1" indent="1"/>
    </xf>
    <xf numFmtId="0" fontId="1" fillId="0" borderId="41" xfId="0" applyFont="1" applyBorder="1" applyAlignment="1">
      <alignment horizontal="left" vertical="center" wrapText="1" indent="1"/>
    </xf>
    <xf numFmtId="0" fontId="16" fillId="2" borderId="207" xfId="0" applyFont="1" applyFill="1" applyBorder="1" applyAlignment="1">
      <alignment horizontal="left" vertical="center" wrapText="1"/>
    </xf>
    <xf numFmtId="0" fontId="16" fillId="2" borderId="49" xfId="0" applyFont="1" applyFill="1" applyBorder="1" applyAlignment="1">
      <alignment horizontal="left" vertical="center" wrapText="1"/>
    </xf>
    <xf numFmtId="0" fontId="1" fillId="0" borderId="46"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210" xfId="0" applyFont="1" applyBorder="1" applyAlignment="1">
      <alignment horizontal="center" vertical="center" wrapText="1"/>
    </xf>
    <xf numFmtId="0" fontId="26" fillId="0" borderId="209" xfId="0" quotePrefix="1" applyFont="1" applyBorder="1" applyAlignment="1">
      <alignment horizontal="left" vertical="center" wrapText="1"/>
    </xf>
    <xf numFmtId="0" fontId="24" fillId="11" borderId="283" xfId="0" applyFont="1" applyFill="1" applyBorder="1" applyAlignment="1">
      <alignment horizontal="center" vertical="center"/>
    </xf>
    <xf numFmtId="0" fontId="24" fillId="11" borderId="267" xfId="0" applyFont="1" applyFill="1" applyBorder="1" applyAlignment="1">
      <alignment horizontal="center" vertical="center"/>
    </xf>
    <xf numFmtId="0" fontId="26" fillId="11" borderId="207" xfId="0" applyFont="1" applyFill="1" applyBorder="1" applyAlignment="1">
      <alignment horizontal="center" vertical="center" wrapText="1"/>
    </xf>
    <xf numFmtId="0" fontId="26" fillId="11" borderId="49" xfId="0" applyFont="1" applyFill="1" applyBorder="1" applyAlignment="1">
      <alignment horizontal="center" vertical="center" wrapText="1"/>
    </xf>
    <xf numFmtId="0" fontId="26" fillId="11" borderId="208"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208" xfId="0" applyFont="1" applyBorder="1" applyAlignment="1">
      <alignment horizontal="center" vertical="center" wrapText="1"/>
    </xf>
    <xf numFmtId="0" fontId="1" fillId="0" borderId="276" xfId="0" applyFont="1" applyBorder="1" applyAlignment="1">
      <alignment horizontal="left" vertical="center" wrapText="1" indent="1"/>
    </xf>
    <xf numFmtId="0" fontId="1" fillId="0" borderId="301" xfId="0" applyFont="1" applyBorder="1" applyAlignment="1">
      <alignment horizontal="left" vertical="center" wrapText="1"/>
    </xf>
    <xf numFmtId="0" fontId="1" fillId="0" borderId="12" xfId="0" applyFont="1" applyBorder="1" applyAlignment="1">
      <alignment horizontal="left" vertical="center" wrapText="1"/>
    </xf>
    <xf numFmtId="0" fontId="1" fillId="0" borderId="302" xfId="0" applyFont="1" applyBorder="1" applyAlignment="1">
      <alignment horizontal="left" vertical="center" wrapText="1"/>
    </xf>
    <xf numFmtId="0" fontId="16" fillId="0" borderId="303" xfId="0" applyFont="1" applyBorder="1" applyAlignment="1">
      <alignment horizontal="left" vertical="center" wrapText="1"/>
    </xf>
    <xf numFmtId="0" fontId="16" fillId="0" borderId="6" xfId="0" applyFont="1" applyBorder="1" applyAlignment="1">
      <alignment horizontal="left" vertical="center" wrapText="1"/>
    </xf>
    <xf numFmtId="0" fontId="16" fillId="0" borderId="304"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6" fillId="5" borderId="175" xfId="0" applyFont="1" applyFill="1" applyBorder="1" applyAlignment="1">
      <alignment horizontal="center" vertical="center" wrapText="1"/>
    </xf>
    <xf numFmtId="0" fontId="16" fillId="5" borderId="66" xfId="0" applyFont="1" applyFill="1" applyBorder="1" applyAlignment="1">
      <alignment horizontal="center" vertical="center" wrapText="1"/>
    </xf>
    <xf numFmtId="0" fontId="16" fillId="5" borderId="305"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37" fillId="0" borderId="0" xfId="0" applyFont="1" applyAlignment="1">
      <alignment horizontal="center" vertical="center"/>
    </xf>
    <xf numFmtId="0" fontId="26" fillId="11" borderId="256" xfId="0" applyFont="1" applyFill="1" applyBorder="1" applyAlignment="1">
      <alignment horizontal="center" vertical="center" wrapText="1"/>
    </xf>
    <xf numFmtId="0" fontId="26" fillId="11" borderId="249" xfId="0" applyFont="1" applyFill="1" applyBorder="1" applyAlignment="1">
      <alignment horizontal="center" vertical="center" wrapText="1"/>
    </xf>
    <xf numFmtId="0" fontId="26" fillId="11" borderId="250" xfId="0" applyFont="1" applyFill="1" applyBorder="1" applyAlignment="1">
      <alignment horizontal="center" vertical="center" wrapText="1"/>
    </xf>
    <xf numFmtId="0" fontId="16" fillId="5" borderId="209" xfId="0" applyFont="1" applyFill="1" applyBorder="1" applyAlignment="1">
      <alignment horizontal="center" vertical="center" wrapText="1"/>
    </xf>
    <xf numFmtId="0" fontId="16" fillId="5" borderId="50" xfId="0" applyFont="1" applyFill="1" applyBorder="1" applyAlignment="1">
      <alignment horizontal="center" vertical="center" wrapText="1"/>
    </xf>
    <xf numFmtId="0" fontId="16" fillId="5" borderId="210" xfId="0" applyFont="1" applyFill="1" applyBorder="1" applyAlignment="1">
      <alignment horizontal="center" vertical="center" wrapText="1"/>
    </xf>
    <xf numFmtId="0" fontId="16" fillId="0" borderId="276" xfId="0" applyFont="1" applyBorder="1" applyAlignment="1">
      <alignment horizontal="left" vertical="center" wrapText="1"/>
    </xf>
    <xf numFmtId="0" fontId="16" fillId="0" borderId="34" xfId="0" applyFont="1" applyBorder="1" applyAlignment="1">
      <alignment horizontal="left" vertical="center" wrapText="1"/>
    </xf>
    <xf numFmtId="0" fontId="16" fillId="0" borderId="282" xfId="0" applyFont="1" applyBorder="1" applyAlignment="1">
      <alignment horizontal="left" vertical="center" wrapText="1"/>
    </xf>
    <xf numFmtId="0" fontId="24" fillId="0" borderId="4" xfId="0" applyFont="1" applyBorder="1" applyAlignment="1">
      <alignment horizontal="left" vertical="center" wrapText="1"/>
    </xf>
    <xf numFmtId="0" fontId="24" fillId="0" borderId="0" xfId="0" applyFont="1" applyAlignment="1">
      <alignment horizontal="left" vertical="center" wrapText="1"/>
    </xf>
    <xf numFmtId="0" fontId="24" fillId="0" borderId="8" xfId="0" applyFont="1" applyBorder="1" applyAlignment="1">
      <alignment horizontal="left" vertical="center" wrapText="1"/>
    </xf>
    <xf numFmtId="0" fontId="1" fillId="0" borderId="251" xfId="0" applyFont="1" applyBorder="1" applyAlignment="1">
      <alignment horizontal="left" vertical="center" wrapText="1"/>
    </xf>
    <xf numFmtId="0" fontId="1" fillId="0" borderId="40" xfId="0" applyFont="1" applyBorder="1" applyAlignment="1">
      <alignment horizontal="left" vertical="center" wrapText="1"/>
    </xf>
    <xf numFmtId="0" fontId="1" fillId="0" borderId="281" xfId="0" applyFont="1" applyBorder="1" applyAlignment="1">
      <alignment horizontal="left" vertical="center" wrapText="1"/>
    </xf>
    <xf numFmtId="0" fontId="16" fillId="0" borderId="8" xfId="0" applyFont="1" applyBorder="1" applyAlignment="1">
      <alignment horizontal="left" vertical="center" wrapText="1"/>
    </xf>
    <xf numFmtId="0" fontId="1" fillId="0" borderId="48" xfId="0" applyFont="1" applyBorder="1" applyAlignment="1">
      <alignment horizontal="center" vertical="center"/>
    </xf>
    <xf numFmtId="0" fontId="16" fillId="0" borderId="42" xfId="0" applyFont="1" applyBorder="1" applyAlignment="1">
      <alignment horizontal="left" vertical="center"/>
    </xf>
    <xf numFmtId="0" fontId="46" fillId="0" borderId="307" xfId="0" applyFont="1" applyBorder="1" applyAlignment="1" applyProtection="1">
      <alignment horizontal="left" vertical="top" wrapText="1" indent="1"/>
      <protection locked="0"/>
    </xf>
    <xf numFmtId="0" fontId="46" fillId="0" borderId="27" xfId="0" applyFont="1" applyBorder="1" applyAlignment="1" applyProtection="1">
      <alignment horizontal="left" vertical="top" wrapText="1" indent="1"/>
      <protection locked="0"/>
    </xf>
    <xf numFmtId="0" fontId="46" fillId="0" borderId="308" xfId="0" applyFont="1" applyBorder="1" applyAlignment="1" applyProtection="1">
      <alignment horizontal="left" vertical="top" wrapText="1" indent="1"/>
      <protection locked="0"/>
    </xf>
    <xf numFmtId="0" fontId="4" fillId="0" borderId="4" xfId="0" applyFont="1" applyBorder="1" applyAlignment="1">
      <alignment horizontal="left" indent="1"/>
    </xf>
    <xf numFmtId="0" fontId="4" fillId="0" borderId="0" xfId="0" applyFont="1" applyAlignment="1">
      <alignment horizontal="left" indent="1"/>
    </xf>
    <xf numFmtId="0" fontId="4" fillId="0" borderId="8" xfId="0" applyFont="1" applyBorder="1" applyAlignment="1">
      <alignment horizontal="left" indent="1"/>
    </xf>
    <xf numFmtId="0" fontId="46" fillId="0" borderId="4" xfId="0" applyFont="1" applyBorder="1" applyAlignment="1" applyProtection="1">
      <alignment horizontal="left" vertical="top" wrapText="1" indent="1"/>
      <protection locked="0"/>
    </xf>
    <xf numFmtId="0" fontId="46" fillId="0" borderId="0" xfId="0" applyFont="1" applyAlignment="1" applyProtection="1">
      <alignment horizontal="left" vertical="top" wrapText="1" indent="1"/>
      <protection locked="0"/>
    </xf>
    <xf numFmtId="0" fontId="46" fillId="0" borderId="8" xfId="0" applyFont="1" applyBorder="1" applyAlignment="1" applyProtection="1">
      <alignment horizontal="left" vertical="top" wrapText="1" indent="1"/>
      <protection locked="0"/>
    </xf>
    <xf numFmtId="0" fontId="13" fillId="11" borderId="22" xfId="0" applyFont="1" applyFill="1" applyBorder="1" applyAlignment="1" applyProtection="1">
      <alignment horizontal="left"/>
      <protection locked="0"/>
    </xf>
    <xf numFmtId="0" fontId="13" fillId="11" borderId="206" xfId="0" applyFont="1" applyFill="1" applyBorder="1" applyAlignment="1" applyProtection="1">
      <alignment horizontal="left"/>
      <protection locked="0"/>
    </xf>
    <xf numFmtId="49" fontId="16" fillId="0" borderId="23" xfId="0" applyNumberFormat="1" applyFont="1" applyBorder="1" applyAlignment="1">
      <alignment horizontal="center" vertical="center" wrapText="1"/>
    </xf>
    <xf numFmtId="49" fontId="16" fillId="0" borderId="25" xfId="0" applyNumberFormat="1" applyFont="1" applyBorder="1" applyAlignment="1">
      <alignment horizontal="center" vertical="center" wrapText="1"/>
    </xf>
    <xf numFmtId="0" fontId="18" fillId="9" borderId="309" xfId="0" applyFont="1" applyFill="1" applyBorder="1" applyAlignment="1">
      <alignment horizontal="center" vertical="center"/>
    </xf>
    <xf numFmtId="0" fontId="18" fillId="9" borderId="24" xfId="0" applyFont="1" applyFill="1" applyBorder="1" applyAlignment="1">
      <alignment horizontal="center" vertical="center"/>
    </xf>
    <xf numFmtId="0" fontId="18" fillId="9" borderId="204" xfId="0" applyFont="1" applyFill="1" applyBorder="1" applyAlignment="1">
      <alignment horizontal="center" vertical="center"/>
    </xf>
    <xf numFmtId="0" fontId="18" fillId="9" borderId="312" xfId="0" applyFont="1" applyFill="1" applyBorder="1" applyAlignment="1">
      <alignment horizontal="center" vertical="center"/>
    </xf>
    <xf numFmtId="0" fontId="18" fillId="9" borderId="313" xfId="0" applyFont="1" applyFill="1" applyBorder="1" applyAlignment="1">
      <alignment horizontal="center" vertical="center"/>
    </xf>
    <xf numFmtId="0" fontId="18" fillId="9" borderId="314" xfId="0" applyFont="1" applyFill="1" applyBorder="1" applyAlignment="1">
      <alignment horizontal="center" vertical="center"/>
    </xf>
    <xf numFmtId="0" fontId="79" fillId="0" borderId="4" xfId="0" applyFont="1" applyBorder="1" applyAlignment="1">
      <alignment horizontal="left" indent="1"/>
    </xf>
    <xf numFmtId="0" fontId="79" fillId="0" borderId="0" xfId="0" applyFont="1" applyAlignment="1">
      <alignment horizontal="left" indent="1"/>
    </xf>
    <xf numFmtId="0" fontId="79" fillId="0" borderId="8" xfId="0" applyFont="1" applyBorder="1" applyAlignment="1">
      <alignment horizontal="left" indent="1"/>
    </xf>
    <xf numFmtId="0" fontId="103" fillId="0" borderId="0" xfId="0" applyFont="1" applyAlignment="1">
      <alignment horizontal="center" vertical="center" wrapText="1"/>
    </xf>
    <xf numFmtId="0" fontId="103" fillId="0" borderId="0" xfId="0" applyFont="1" applyAlignment="1">
      <alignment horizontal="center" vertical="center"/>
    </xf>
    <xf numFmtId="0" fontId="16" fillId="0" borderId="96" xfId="0" applyFont="1" applyBorder="1" applyAlignment="1">
      <alignment horizontal="left" vertical="center"/>
    </xf>
    <xf numFmtId="0" fontId="16" fillId="0" borderId="50" xfId="0" applyFont="1" applyBorder="1" applyAlignment="1">
      <alignment horizontal="left" vertical="center" indent="1"/>
    </xf>
    <xf numFmtId="0" fontId="16" fillId="0" borderId="47" xfId="0" applyFont="1" applyBorder="1" applyAlignment="1">
      <alignment horizontal="left" vertical="center" indent="1"/>
    </xf>
    <xf numFmtId="0" fontId="53" fillId="0" borderId="55" xfId="0" applyFont="1" applyBorder="1" applyAlignment="1" applyProtection="1">
      <alignment horizontal="left" vertical="top" indent="1"/>
      <protection locked="0"/>
    </xf>
    <xf numFmtId="0" fontId="1" fillId="0" borderId="0" xfId="0" applyFont="1"/>
    <xf numFmtId="0" fontId="53" fillId="0" borderId="207" xfId="0" applyFont="1" applyBorder="1" applyAlignment="1" applyProtection="1">
      <alignment horizontal="left" vertical="top" indent="1"/>
      <protection locked="0"/>
    </xf>
    <xf numFmtId="0" fontId="53" fillId="0" borderId="49" xfId="0" applyFont="1" applyBorder="1" applyAlignment="1" applyProtection="1">
      <alignment horizontal="left" vertical="top" indent="1"/>
      <protection locked="0"/>
    </xf>
    <xf numFmtId="0" fontId="53" fillId="0" borderId="208" xfId="0" applyFont="1" applyBorder="1" applyAlignment="1" applyProtection="1">
      <alignment horizontal="left" vertical="top" indent="1"/>
      <protection locked="0"/>
    </xf>
    <xf numFmtId="0" fontId="53" fillId="0" borderId="253" xfId="0" applyFont="1" applyBorder="1" applyAlignment="1" applyProtection="1">
      <alignment horizontal="left" vertical="top" indent="1"/>
      <protection locked="0"/>
    </xf>
    <xf numFmtId="0" fontId="53" fillId="0" borderId="254" xfId="0" applyFont="1" applyBorder="1" applyAlignment="1" applyProtection="1">
      <alignment horizontal="left" vertical="top" indent="1"/>
      <protection locked="0"/>
    </xf>
    <xf numFmtId="0" fontId="53" fillId="0" borderId="255" xfId="0" applyFont="1" applyBorder="1" applyAlignment="1" applyProtection="1">
      <alignment horizontal="left" vertical="top" indent="1"/>
      <protection locked="0"/>
    </xf>
    <xf numFmtId="0" fontId="16" fillId="0" borderId="34" xfId="0" applyFont="1" applyBorder="1" applyAlignment="1">
      <alignment horizontal="left" vertical="center" indent="1"/>
    </xf>
    <xf numFmtId="0" fontId="16" fillId="0" borderId="282" xfId="0" applyFont="1" applyBorder="1" applyAlignment="1">
      <alignment horizontal="left" vertical="center" indent="1"/>
    </xf>
    <xf numFmtId="0" fontId="1" fillId="0" borderId="60" xfId="0" applyFont="1" applyBorder="1" applyAlignment="1">
      <alignment horizontal="center" vertical="center"/>
    </xf>
    <xf numFmtId="0" fontId="16" fillId="0" borderId="46" xfId="0" applyFont="1" applyBorder="1" applyAlignment="1">
      <alignment horizontal="left" vertical="center" indent="1"/>
    </xf>
    <xf numFmtId="0" fontId="16" fillId="0" borderId="22" xfId="0" applyFont="1" applyBorder="1" applyAlignment="1">
      <alignment horizontal="left" vertical="center"/>
    </xf>
    <xf numFmtId="0" fontId="16" fillId="0" borderId="97" xfId="0" applyFont="1" applyBorder="1" applyAlignment="1">
      <alignment horizontal="left" vertical="center"/>
    </xf>
    <xf numFmtId="0" fontId="16" fillId="0" borderId="98" xfId="0" applyFont="1" applyBorder="1" applyAlignment="1">
      <alignment horizontal="left" vertical="center"/>
    </xf>
    <xf numFmtId="0" fontId="16" fillId="0" borderId="49" xfId="0" applyFont="1" applyBorder="1" applyAlignment="1">
      <alignment horizontal="left" vertical="center" indent="1"/>
    </xf>
    <xf numFmtId="0" fontId="16" fillId="0" borderId="208" xfId="0" applyFont="1" applyBorder="1" applyAlignment="1">
      <alignment horizontal="left" vertical="center" indent="1"/>
    </xf>
    <xf numFmtId="0" fontId="16" fillId="0" borderId="267" xfId="0" applyFont="1" applyBorder="1" applyAlignment="1">
      <alignment horizontal="left" vertical="center" indent="1"/>
    </xf>
    <xf numFmtId="0" fontId="16" fillId="0" borderId="268" xfId="0" applyFont="1" applyBorder="1" applyAlignment="1">
      <alignment horizontal="left" vertical="center" indent="1"/>
    </xf>
    <xf numFmtId="0" fontId="1" fillId="0" borderId="33" xfId="0" applyFont="1" applyBorder="1" applyAlignment="1">
      <alignment horizontal="center" vertical="center" wrapText="1"/>
    </xf>
    <xf numFmtId="0" fontId="1" fillId="0" borderId="35" xfId="0" applyFont="1" applyBorder="1" applyAlignment="1">
      <alignment horizontal="center" vertical="center"/>
    </xf>
    <xf numFmtId="0" fontId="16" fillId="0" borderId="70" xfId="0" applyFont="1" applyBorder="1" applyAlignment="1">
      <alignment horizontal="left" vertical="center"/>
    </xf>
    <xf numFmtId="0" fontId="16" fillId="0" borderId="71" xfId="0" applyFont="1" applyBorder="1" applyAlignment="1">
      <alignment horizontal="left" vertical="center"/>
    </xf>
    <xf numFmtId="0" fontId="16" fillId="0" borderId="42" xfId="0" applyFont="1" applyBorder="1" applyAlignment="1">
      <alignment horizontal="center" vertical="center"/>
    </xf>
    <xf numFmtId="0" fontId="16" fillId="0" borderId="72" xfId="0" applyFont="1" applyBorder="1" applyAlignment="1">
      <alignment horizontal="center" vertical="center"/>
    </xf>
    <xf numFmtId="0" fontId="16" fillId="0" borderId="48" xfId="0" applyFont="1" applyBorder="1" applyAlignment="1">
      <alignment horizontal="left" vertical="center"/>
    </xf>
    <xf numFmtId="0" fontId="25" fillId="0" borderId="155" xfId="0" applyFont="1" applyBorder="1" applyAlignment="1">
      <alignment horizontal="center" vertical="center"/>
    </xf>
    <xf numFmtId="0" fontId="16" fillId="0" borderId="22" xfId="0" applyFont="1" applyBorder="1" applyAlignment="1">
      <alignment horizontal="center" vertical="center"/>
    </xf>
    <xf numFmtId="0" fontId="16" fillId="0" borderId="99" xfId="0" applyFont="1" applyBorder="1" applyAlignment="1">
      <alignment horizontal="center" vertical="center"/>
    </xf>
    <xf numFmtId="0" fontId="81" fillId="0" borderId="33" xfId="0" applyFont="1" applyBorder="1" applyAlignment="1">
      <alignment horizontal="left" indent="1"/>
    </xf>
    <xf numFmtId="0" fontId="81" fillId="0" borderId="34" xfId="0" applyFont="1" applyBorder="1" applyAlignment="1">
      <alignment horizontal="left" indent="1"/>
    </xf>
    <xf numFmtId="0" fontId="81" fillId="0" borderId="35" xfId="0" applyFont="1" applyBorder="1" applyAlignment="1">
      <alignment horizontal="left" indent="1"/>
    </xf>
    <xf numFmtId="0" fontId="81" fillId="0" borderId="38" xfId="0" applyFont="1" applyBorder="1" applyAlignment="1">
      <alignment horizontal="left" indent="1"/>
    </xf>
    <xf numFmtId="0" fontId="81" fillId="0" borderId="0" xfId="0" applyFont="1" applyAlignment="1">
      <alignment horizontal="left" indent="1"/>
    </xf>
    <xf numFmtId="0" fontId="81" fillId="0" borderId="60" xfId="0" applyFont="1" applyBorder="1" applyAlignment="1">
      <alignment horizontal="left" indent="1"/>
    </xf>
    <xf numFmtId="0" fontId="16" fillId="0" borderId="35" xfId="0" applyFont="1" applyBorder="1" applyAlignment="1">
      <alignment horizontal="left" vertical="center" indent="1"/>
    </xf>
    <xf numFmtId="0" fontId="53" fillId="0" borderId="59" xfId="0" applyFont="1" applyBorder="1" applyAlignment="1" applyProtection="1">
      <alignment horizontal="left" vertical="top" indent="1"/>
      <protection locked="0"/>
    </xf>
    <xf numFmtId="0" fontId="16" fillId="0" borderId="40" xfId="0" applyFont="1" applyBorder="1" applyAlignment="1">
      <alignment horizontal="left" vertical="center"/>
    </xf>
    <xf numFmtId="0" fontId="19" fillId="0" borderId="46" xfId="0" applyFont="1" applyBorder="1" applyAlignment="1">
      <alignment horizontal="center" vertical="center"/>
    </xf>
    <xf numFmtId="0" fontId="19" fillId="0" borderId="50" xfId="0" applyFont="1" applyBorder="1" applyAlignment="1">
      <alignment horizontal="center" vertical="center"/>
    </xf>
    <xf numFmtId="0" fontId="19" fillId="0" borderId="47" xfId="0" applyFont="1" applyBorder="1" applyAlignment="1">
      <alignment horizontal="center" vertical="center"/>
    </xf>
    <xf numFmtId="0" fontId="1" fillId="0" borderId="49" xfId="0" applyFont="1" applyBorder="1" applyAlignment="1">
      <alignment horizontal="center" vertical="center"/>
    </xf>
    <xf numFmtId="0" fontId="108" fillId="0" borderId="0" xfId="0" applyFont="1" applyAlignment="1">
      <alignment horizontal="center" vertical="center" wrapText="1"/>
    </xf>
    <xf numFmtId="0" fontId="108" fillId="0" borderId="0" xfId="0" applyFont="1" applyAlignment="1">
      <alignment horizontal="center" vertical="center"/>
    </xf>
    <xf numFmtId="0" fontId="109" fillId="0" borderId="293" xfId="0" applyFont="1" applyBorder="1" applyAlignment="1">
      <alignment horizontal="center" vertical="center" wrapText="1"/>
    </xf>
    <xf numFmtId="0" fontId="109" fillId="0" borderId="262" xfId="0" applyFont="1" applyBorder="1" applyAlignment="1">
      <alignment horizontal="center" vertical="center" wrapText="1"/>
    </xf>
    <xf numFmtId="0" fontId="109" fillId="0" borderId="315" xfId="0" applyFont="1" applyBorder="1" applyAlignment="1">
      <alignment horizontal="center" vertical="center" wrapText="1"/>
    </xf>
    <xf numFmtId="0" fontId="2" fillId="0" borderId="0" xfId="0" applyFont="1" applyAlignment="1">
      <alignment horizontal="left" vertical="top"/>
    </xf>
    <xf numFmtId="0" fontId="3" fillId="0" borderId="46" xfId="0" applyFont="1" applyBorder="1" applyAlignment="1" applyProtection="1">
      <alignment horizontal="left" vertical="center" wrapText="1"/>
      <protection locked="0"/>
    </xf>
    <xf numFmtId="0" fontId="3" fillId="0" borderId="50" xfId="0" applyFont="1" applyBorder="1" applyAlignment="1" applyProtection="1">
      <alignment horizontal="left" vertical="center" wrapText="1"/>
      <protection locked="0"/>
    </xf>
    <xf numFmtId="0" fontId="3" fillId="0" borderId="47" xfId="0" applyFont="1" applyBorder="1" applyAlignment="1" applyProtection="1">
      <alignment horizontal="left" vertical="center" wrapText="1"/>
      <protection locked="0"/>
    </xf>
    <xf numFmtId="0" fontId="3" fillId="0" borderId="213" xfId="0" applyFont="1" applyBorder="1" applyAlignment="1" applyProtection="1">
      <alignment horizontal="left" vertical="center" wrapText="1"/>
      <protection locked="0"/>
    </xf>
    <xf numFmtId="0" fontId="3" fillId="0" borderId="214" xfId="0" applyFont="1" applyBorder="1" applyAlignment="1" applyProtection="1">
      <alignment horizontal="left" vertical="center" wrapText="1"/>
      <protection locked="0"/>
    </xf>
    <xf numFmtId="0" fontId="3" fillId="0" borderId="212" xfId="0" applyFont="1" applyBorder="1" applyAlignment="1" applyProtection="1">
      <alignment horizontal="left" vertical="center" wrapText="1"/>
      <protection locked="0"/>
    </xf>
    <xf numFmtId="0" fontId="3" fillId="0" borderId="49" xfId="0" applyFont="1" applyBorder="1" applyAlignment="1" applyProtection="1">
      <alignment horizontal="left" vertical="center"/>
      <protection locked="0"/>
    </xf>
    <xf numFmtId="0" fontId="3" fillId="0" borderId="49" xfId="0" applyFont="1" applyBorder="1" applyAlignment="1">
      <alignment horizontal="left" vertical="center"/>
    </xf>
    <xf numFmtId="0" fontId="3" fillId="0" borderId="46" xfId="0" applyFont="1" applyBorder="1" applyAlignment="1">
      <alignment horizontal="left" vertical="center"/>
    </xf>
    <xf numFmtId="0" fontId="3" fillId="0" borderId="50" xfId="0" applyFont="1" applyBorder="1" applyAlignment="1">
      <alignment horizontal="left" vertical="center"/>
    </xf>
    <xf numFmtId="0" fontId="3" fillId="0" borderId="47" xfId="0" applyFont="1" applyBorder="1" applyAlignment="1">
      <alignment horizontal="left" vertical="center"/>
    </xf>
    <xf numFmtId="0" fontId="3" fillId="0" borderId="46" xfId="0" applyFont="1" applyBorder="1" applyAlignment="1">
      <alignment horizontal="left" vertical="center" wrapText="1"/>
    </xf>
    <xf numFmtId="0" fontId="3" fillId="0" borderId="50" xfId="0" applyFont="1" applyBorder="1" applyAlignment="1">
      <alignment horizontal="left" vertical="center" wrapText="1"/>
    </xf>
    <xf numFmtId="0" fontId="3" fillId="0" borderId="47" xfId="0" applyFont="1" applyBorder="1" applyAlignment="1">
      <alignment horizontal="left" vertical="center" wrapText="1"/>
    </xf>
    <xf numFmtId="49" fontId="16" fillId="0" borderId="46" xfId="0" applyNumberFormat="1" applyFont="1" applyBorder="1" applyAlignment="1">
      <alignment horizontal="center" vertical="center" wrapText="1"/>
    </xf>
    <xf numFmtId="49" fontId="16" fillId="0" borderId="47" xfId="0" applyNumberFormat="1" applyFont="1" applyBorder="1" applyAlignment="1">
      <alignment horizontal="center" vertical="center" wrapText="1"/>
    </xf>
    <xf numFmtId="0" fontId="18" fillId="0" borderId="51" xfId="0" applyFont="1" applyBorder="1" applyAlignment="1">
      <alignment horizontal="left"/>
    </xf>
    <xf numFmtId="0" fontId="18" fillId="0" borderId="57" xfId="0" applyFont="1" applyBorder="1" applyAlignment="1">
      <alignment horizontal="center"/>
    </xf>
    <xf numFmtId="0" fontId="65" fillId="0" borderId="32" xfId="0" applyFont="1" applyBorder="1" applyAlignment="1" applyProtection="1">
      <alignment horizontal="left"/>
      <protection locked="0"/>
    </xf>
    <xf numFmtId="0" fontId="3" fillId="11" borderId="248" xfId="0" applyFont="1" applyFill="1" applyBorder="1" applyAlignment="1">
      <alignment horizontal="center" vertical="center"/>
    </xf>
    <xf numFmtId="0" fontId="3" fillId="11" borderId="249" xfId="0" applyFont="1" applyFill="1" applyBorder="1" applyAlignment="1">
      <alignment horizontal="center" vertical="center"/>
    </xf>
    <xf numFmtId="0" fontId="3" fillId="11" borderId="273" xfId="0" applyFont="1" applyFill="1" applyBorder="1" applyAlignment="1">
      <alignment horizontal="center" vertical="center"/>
    </xf>
    <xf numFmtId="0" fontId="9" fillId="0" borderId="142" xfId="0" applyFont="1" applyBorder="1" applyAlignment="1">
      <alignment horizontal="center" vertical="center"/>
    </xf>
    <xf numFmtId="0" fontId="16" fillId="0" borderId="115" xfId="0" applyFont="1" applyBorder="1" applyAlignment="1">
      <alignment horizontal="left" vertical="center"/>
    </xf>
    <xf numFmtId="0" fontId="19" fillId="4" borderId="111" xfId="0" applyFont="1" applyFill="1" applyBorder="1" applyAlignment="1">
      <alignment horizontal="center" vertical="center" wrapText="1"/>
    </xf>
    <xf numFmtId="0" fontId="19" fillId="4" borderId="114" xfId="0" applyFont="1" applyFill="1" applyBorder="1" applyAlignment="1">
      <alignment horizontal="center" vertical="center" wrapText="1"/>
    </xf>
    <xf numFmtId="0" fontId="19" fillId="4" borderId="112" xfId="0" applyFont="1" applyFill="1" applyBorder="1" applyAlignment="1">
      <alignment horizontal="center" vertical="center" wrapText="1"/>
    </xf>
    <xf numFmtId="0" fontId="18" fillId="11" borderId="117" xfId="0" applyFont="1" applyFill="1" applyBorder="1" applyAlignment="1">
      <alignment horizontal="center" vertical="center"/>
    </xf>
    <xf numFmtId="0" fontId="18" fillId="11" borderId="118" xfId="0" applyFont="1" applyFill="1" applyBorder="1" applyAlignment="1">
      <alignment horizontal="center" vertical="center"/>
    </xf>
    <xf numFmtId="0" fontId="18" fillId="11" borderId="119" xfId="0" applyFont="1" applyFill="1" applyBorder="1" applyAlignment="1">
      <alignment horizontal="center" vertical="center"/>
    </xf>
    <xf numFmtId="0" fontId="18" fillId="11" borderId="133" xfId="0" applyFont="1" applyFill="1" applyBorder="1" applyAlignment="1">
      <alignment horizontal="center" vertical="center"/>
    </xf>
    <xf numFmtId="0" fontId="18" fillId="11" borderId="122" xfId="0" applyFont="1" applyFill="1" applyBorder="1" applyAlignment="1">
      <alignment horizontal="center" vertical="center"/>
    </xf>
    <xf numFmtId="0" fontId="18" fillId="11" borderId="140" xfId="0" applyFont="1" applyFill="1" applyBorder="1" applyAlignment="1">
      <alignment horizontal="center" vertical="center"/>
    </xf>
    <xf numFmtId="49" fontId="8" fillId="0" borderId="113" xfId="0" applyNumberFormat="1" applyFont="1" applyBorder="1" applyAlignment="1">
      <alignment horizontal="center" vertical="center"/>
    </xf>
    <xf numFmtId="0" fontId="18" fillId="0" borderId="111" xfId="0" applyFont="1" applyBorder="1" applyAlignment="1">
      <alignment horizontal="center" vertical="center" wrapText="1"/>
    </xf>
    <xf numFmtId="0" fontId="18" fillId="0" borderId="114" xfId="0" applyFont="1" applyBorder="1" applyAlignment="1">
      <alignment horizontal="center" vertical="center" wrapText="1"/>
    </xf>
    <xf numFmtId="0" fontId="18" fillId="0" borderId="112" xfId="0" applyFont="1" applyBorder="1" applyAlignment="1">
      <alignment horizontal="center" vertical="center" wrapText="1"/>
    </xf>
    <xf numFmtId="0" fontId="1" fillId="0" borderId="111" xfId="0" applyFont="1" applyBorder="1" applyAlignment="1">
      <alignment horizontal="center" vertical="center" wrapText="1"/>
    </xf>
    <xf numFmtId="0" fontId="1" fillId="0" borderId="112" xfId="0" applyFont="1" applyBorder="1" applyAlignment="1">
      <alignment horizontal="center" vertical="center" wrapText="1"/>
    </xf>
    <xf numFmtId="0" fontId="18" fillId="11" borderId="120" xfId="0" applyFont="1" applyFill="1" applyBorder="1" applyAlignment="1">
      <alignment horizontal="center" vertical="center"/>
    </xf>
    <xf numFmtId="0" fontId="18" fillId="11" borderId="0" xfId="0" applyFont="1" applyFill="1" applyAlignment="1">
      <alignment horizontal="center" vertical="center"/>
    </xf>
    <xf numFmtId="0" fontId="18" fillId="11" borderId="82" xfId="0" applyFont="1" applyFill="1" applyBorder="1" applyAlignment="1">
      <alignment horizontal="center" vertical="center"/>
    </xf>
    <xf numFmtId="0" fontId="18" fillId="11" borderId="121" xfId="0" applyFont="1" applyFill="1" applyBorder="1" applyAlignment="1">
      <alignment horizontal="center" vertical="center"/>
    </xf>
    <xf numFmtId="0" fontId="9" fillId="0" borderId="323" xfId="0" applyFont="1" applyBorder="1" applyAlignment="1">
      <alignment horizontal="center" vertical="center"/>
    </xf>
    <xf numFmtId="0" fontId="9" fillId="0" borderId="324" xfId="0" applyFont="1" applyBorder="1" applyAlignment="1">
      <alignment horizontal="center" vertical="center"/>
    </xf>
    <xf numFmtId="0" fontId="18" fillId="11" borderId="1" xfId="0" applyFont="1" applyFill="1" applyBorder="1" applyAlignment="1">
      <alignment horizontal="center" vertical="center"/>
    </xf>
    <xf numFmtId="0" fontId="18" fillId="11" borderId="2" xfId="0" applyFont="1" applyFill="1" applyBorder="1" applyAlignment="1">
      <alignment horizontal="center" vertical="center"/>
    </xf>
    <xf numFmtId="0" fontId="18" fillId="11" borderId="4" xfId="0" applyFont="1" applyFill="1" applyBorder="1" applyAlignment="1">
      <alignment horizontal="center" vertical="center"/>
    </xf>
    <xf numFmtId="0" fontId="18" fillId="11" borderId="316" xfId="0" applyFont="1" applyFill="1" applyBorder="1" applyAlignment="1">
      <alignment horizontal="center" vertical="center"/>
    </xf>
    <xf numFmtId="0" fontId="18" fillId="11" borderId="317" xfId="0" applyFont="1" applyFill="1" applyBorder="1" applyAlignment="1">
      <alignment horizontal="center" vertical="center"/>
    </xf>
    <xf numFmtId="0" fontId="18" fillId="11" borderId="3" xfId="0" applyFont="1" applyFill="1" applyBorder="1" applyAlignment="1">
      <alignment horizontal="center" vertical="center"/>
    </xf>
    <xf numFmtId="0" fontId="16" fillId="0" borderId="111" xfId="0" applyFont="1" applyBorder="1" applyAlignment="1">
      <alignment horizontal="center" vertical="center" wrapText="1"/>
    </xf>
    <xf numFmtId="0" fontId="16" fillId="0" borderId="114" xfId="0" applyFont="1" applyBorder="1" applyAlignment="1">
      <alignment horizontal="center" vertical="center" wrapText="1"/>
    </xf>
    <xf numFmtId="0" fontId="16" fillId="0" borderId="112" xfId="0" applyFont="1" applyBorder="1" applyAlignment="1">
      <alignment horizontal="center" vertical="center" wrapText="1"/>
    </xf>
    <xf numFmtId="0" fontId="13" fillId="11" borderId="312" xfId="0" applyFont="1" applyFill="1" applyBorder="1" applyAlignment="1">
      <alignment horizontal="center" vertical="center" wrapText="1"/>
    </xf>
    <xf numFmtId="0" fontId="13" fillId="11" borderId="313" xfId="0" applyFont="1" applyFill="1" applyBorder="1" applyAlignment="1">
      <alignment horizontal="center" vertical="center" wrapText="1"/>
    </xf>
    <xf numFmtId="0" fontId="13" fillId="11" borderId="220" xfId="0" applyFont="1" applyFill="1" applyBorder="1" applyAlignment="1">
      <alignment horizontal="center" vertical="center" wrapText="1"/>
    </xf>
    <xf numFmtId="49" fontId="18" fillId="0" borderId="46" xfId="0" applyNumberFormat="1" applyFont="1" applyBorder="1" applyAlignment="1">
      <alignment horizontal="center" vertical="center" wrapText="1"/>
    </xf>
    <xf numFmtId="49" fontId="18" fillId="0" borderId="47" xfId="0" applyNumberFormat="1" applyFont="1" applyBorder="1" applyAlignment="1">
      <alignment horizontal="center" vertical="center" wrapText="1"/>
    </xf>
    <xf numFmtId="0" fontId="19" fillId="7" borderId="23" xfId="0" applyFont="1" applyFill="1" applyBorder="1" applyAlignment="1">
      <alignment horizontal="center" vertical="center" wrapText="1"/>
    </xf>
    <xf numFmtId="0" fontId="19" fillId="7" borderId="24" xfId="0" applyFont="1" applyFill="1" applyBorder="1" applyAlignment="1">
      <alignment horizontal="center" vertical="center"/>
    </xf>
    <xf numFmtId="0" fontId="19" fillId="7" borderId="25"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11" borderId="2" xfId="0" applyFont="1" applyFill="1" applyBorder="1" applyAlignment="1">
      <alignment horizontal="center" vertical="center" wrapText="1"/>
    </xf>
    <xf numFmtId="0" fontId="27" fillId="11" borderId="235" xfId="0" applyFont="1" applyFill="1" applyBorder="1" applyAlignment="1">
      <alignment horizontal="center" vertical="center" wrapText="1"/>
    </xf>
    <xf numFmtId="3" fontId="26" fillId="0" borderId="254" xfId="0" applyNumberFormat="1" applyFont="1" applyBorder="1" applyAlignment="1" applyProtection="1">
      <alignment horizontal="right" vertical="center" wrapText="1"/>
      <protection locked="0"/>
    </xf>
    <xf numFmtId="3" fontId="24" fillId="0" borderId="254" xfId="0" applyNumberFormat="1" applyFont="1" applyBorder="1" applyAlignment="1" applyProtection="1">
      <alignment horizontal="right" vertical="center" wrapText="1"/>
      <protection locked="0"/>
    </xf>
    <xf numFmtId="3" fontId="24" fillId="0" borderId="255" xfId="0" applyNumberFormat="1" applyFont="1" applyBorder="1" applyAlignment="1" applyProtection="1">
      <alignment horizontal="right" vertical="center" wrapText="1"/>
      <protection locked="0"/>
    </xf>
    <xf numFmtId="0" fontId="40" fillId="4" borderId="14" xfId="0" applyFont="1" applyFill="1" applyBorder="1" applyAlignment="1">
      <alignment horizontal="center" vertical="center"/>
    </xf>
    <xf numFmtId="0" fontId="40" fillId="4" borderId="15" xfId="0" applyFont="1" applyFill="1" applyBorder="1" applyAlignment="1">
      <alignment horizontal="center" vertical="center"/>
    </xf>
    <xf numFmtId="3" fontId="26" fillId="4" borderId="213" xfId="0" applyNumberFormat="1" applyFont="1" applyFill="1" applyBorder="1" applyAlignment="1">
      <alignment horizontal="right" vertical="center"/>
    </xf>
    <xf numFmtId="3" fontId="26" fillId="4" borderId="215" xfId="0" applyNumberFormat="1" applyFont="1" applyFill="1" applyBorder="1" applyAlignment="1">
      <alignment horizontal="right" vertical="center"/>
    </xf>
    <xf numFmtId="3" fontId="26" fillId="4" borderId="46" xfId="0" applyNumberFormat="1" applyFont="1" applyFill="1" applyBorder="1" applyAlignment="1">
      <alignment horizontal="right" vertical="center" wrapText="1"/>
    </xf>
    <xf numFmtId="3" fontId="26" fillId="4" borderId="47" xfId="0" applyNumberFormat="1" applyFont="1" applyFill="1" applyBorder="1" applyAlignment="1">
      <alignment horizontal="right" vertical="center" wrapText="1"/>
    </xf>
    <xf numFmtId="3" fontId="26" fillId="4" borderId="210" xfId="0" applyNumberFormat="1" applyFont="1" applyFill="1" applyBorder="1" applyAlignment="1">
      <alignment horizontal="right" vertical="center" wrapText="1"/>
    </xf>
    <xf numFmtId="0" fontId="24" fillId="0" borderId="60" xfId="0" applyFont="1" applyBorder="1" applyAlignment="1">
      <alignment horizontal="left" vertical="center" wrapText="1"/>
    </xf>
    <xf numFmtId="3" fontId="24" fillId="0" borderId="38" xfId="0" applyNumberFormat="1" applyFont="1" applyBorder="1" applyAlignment="1">
      <alignment horizontal="right" vertical="center" wrapText="1"/>
    </xf>
    <xf numFmtId="3" fontId="24" fillId="0" borderId="8" xfId="0" applyNumberFormat="1" applyFont="1" applyBorder="1" applyAlignment="1">
      <alignment horizontal="right" vertical="center" wrapText="1"/>
    </xf>
    <xf numFmtId="3" fontId="26" fillId="0" borderId="49" xfId="0" applyNumberFormat="1" applyFont="1" applyBorder="1" applyAlignment="1" applyProtection="1">
      <alignment horizontal="right" vertical="center" wrapText="1"/>
      <protection locked="0"/>
    </xf>
    <xf numFmtId="3" fontId="24" fillId="0" borderId="49" xfId="0" applyNumberFormat="1" applyFont="1" applyBorder="1" applyAlignment="1" applyProtection="1">
      <alignment horizontal="right" vertical="center" wrapText="1"/>
      <protection locked="0"/>
    </xf>
    <xf numFmtId="3" fontId="24" fillId="0" borderId="208" xfId="0" applyNumberFormat="1" applyFont="1" applyBorder="1" applyAlignment="1" applyProtection="1">
      <alignment horizontal="right" vertical="center" wrapText="1"/>
      <protection locked="0"/>
    </xf>
    <xf numFmtId="3" fontId="24" fillId="0" borderId="0" xfId="0" applyNumberFormat="1" applyFont="1" applyAlignment="1">
      <alignment horizontal="right" vertical="center" wrapText="1"/>
    </xf>
    <xf numFmtId="3" fontId="24" fillId="0" borderId="55" xfId="0" applyNumberFormat="1" applyFont="1" applyBorder="1" applyAlignment="1" applyProtection="1">
      <alignment horizontal="right" vertical="center" wrapText="1"/>
      <protection locked="0"/>
    </xf>
    <xf numFmtId="3" fontId="24" fillId="0" borderId="269" xfId="0" applyNumberFormat="1" applyFont="1" applyBorder="1" applyAlignment="1" applyProtection="1">
      <alignment horizontal="right" vertical="center" wrapText="1"/>
      <protection locked="0"/>
    </xf>
    <xf numFmtId="0" fontId="24" fillId="0" borderId="276" xfId="0" applyFont="1" applyBorder="1" applyAlignment="1">
      <alignment horizontal="left" vertical="center" wrapText="1" indent="1"/>
    </xf>
    <xf numFmtId="0" fontId="24" fillId="0" borderId="34" xfId="0" applyFont="1" applyBorder="1" applyAlignment="1">
      <alignment horizontal="left" vertical="center" wrapText="1" indent="1"/>
    </xf>
    <xf numFmtId="0" fontId="24" fillId="0" borderId="35" xfId="0" applyFont="1" applyBorder="1" applyAlignment="1">
      <alignment horizontal="left" vertical="center" wrapText="1" indent="1"/>
    </xf>
    <xf numFmtId="3" fontId="24" fillId="0" borderId="46" xfId="0" applyNumberFormat="1" applyFont="1" applyBorder="1" applyAlignment="1" applyProtection="1">
      <alignment horizontal="right" vertical="center" wrapText="1"/>
      <protection locked="0"/>
    </xf>
    <xf numFmtId="3" fontId="24" fillId="0" borderId="210" xfId="0" applyNumberFormat="1" applyFont="1" applyBorder="1" applyAlignment="1" applyProtection="1">
      <alignment horizontal="right" vertical="center" wrapText="1"/>
      <protection locked="0"/>
    </xf>
    <xf numFmtId="0" fontId="40" fillId="4" borderId="209" xfId="0" applyFont="1" applyFill="1" applyBorder="1" applyAlignment="1">
      <alignment horizontal="center" vertical="center" wrapText="1"/>
    </xf>
    <xf numFmtId="0" fontId="40" fillId="4" borderId="50" xfId="0" applyFont="1" applyFill="1" applyBorder="1" applyAlignment="1">
      <alignment horizontal="center" vertical="center" wrapText="1"/>
    </xf>
    <xf numFmtId="0" fontId="40" fillId="4" borderId="47" xfId="0" applyFont="1" applyFill="1" applyBorder="1" applyAlignment="1">
      <alignment horizontal="center" vertical="center" wrapText="1"/>
    </xf>
    <xf numFmtId="0" fontId="24" fillId="0" borderId="283" xfId="0" applyFont="1" applyBorder="1" applyAlignment="1">
      <alignment horizontal="center" vertical="center" wrapText="1"/>
    </xf>
    <xf numFmtId="0" fontId="24" fillId="0" borderId="267" xfId="0" applyFont="1" applyBorder="1" applyAlignment="1">
      <alignment horizontal="center" vertical="center" wrapText="1"/>
    </xf>
    <xf numFmtId="0" fontId="24" fillId="0" borderId="247" xfId="0" applyFont="1" applyBorder="1" applyAlignment="1">
      <alignment horizontal="center" vertical="center" wrapText="1"/>
    </xf>
    <xf numFmtId="0" fontId="24" fillId="0" borderId="280" xfId="0" applyFont="1" applyBorder="1" applyAlignment="1">
      <alignment horizontal="center" vertical="center" wrapText="1"/>
    </xf>
    <xf numFmtId="0" fontId="24" fillId="0" borderId="207" xfId="0" applyFont="1" applyBorder="1" applyAlignment="1">
      <alignment horizontal="center" vertical="center" wrapText="1"/>
    </xf>
    <xf numFmtId="3" fontId="24" fillId="0" borderId="33" xfId="0" applyNumberFormat="1" applyFont="1" applyBorder="1" applyAlignment="1" applyProtection="1">
      <alignment horizontal="right" vertical="center" wrapText="1"/>
      <protection locked="0"/>
    </xf>
    <xf numFmtId="3" fontId="24" fillId="0" borderId="282" xfId="0" applyNumberFormat="1" applyFont="1" applyBorder="1" applyAlignment="1" applyProtection="1">
      <alignment horizontal="right" vertical="center" wrapText="1"/>
      <protection locked="0"/>
    </xf>
    <xf numFmtId="3" fontId="24" fillId="0" borderId="39" xfId="0" applyNumberFormat="1" applyFont="1" applyBorder="1" applyAlignment="1" applyProtection="1">
      <alignment horizontal="right" vertical="center" wrapText="1"/>
      <protection locked="0"/>
    </xf>
    <xf numFmtId="3" fontId="24" fillId="0" borderId="281" xfId="0" applyNumberFormat="1" applyFont="1" applyBorder="1" applyAlignment="1" applyProtection="1">
      <alignment horizontal="right" vertical="center" wrapText="1"/>
      <protection locked="0"/>
    </xf>
    <xf numFmtId="0" fontId="56" fillId="0" borderId="209" xfId="0" applyFont="1" applyBorder="1" applyAlignment="1" applyProtection="1">
      <alignment horizontal="left" vertical="center" wrapText="1" indent="1"/>
      <protection locked="0"/>
    </xf>
    <xf numFmtId="0" fontId="56" fillId="0" borderId="50" xfId="0" applyFont="1" applyBorder="1" applyAlignment="1" applyProtection="1">
      <alignment horizontal="left" vertical="center" wrapText="1" indent="1"/>
      <protection locked="0"/>
    </xf>
    <xf numFmtId="0" fontId="24" fillId="0" borderId="248" xfId="0" applyFont="1" applyBorder="1" applyAlignment="1">
      <alignment horizontal="center" vertical="center" wrapText="1"/>
    </xf>
    <xf numFmtId="0" fontId="24" fillId="0" borderId="249" xfId="0" applyFont="1" applyBorder="1" applyAlignment="1">
      <alignment horizontal="center" vertical="center" wrapText="1"/>
    </xf>
    <xf numFmtId="0" fontId="24" fillId="0" borderId="250" xfId="0" applyFont="1" applyBorder="1" applyAlignment="1">
      <alignment horizontal="center" vertical="center" wrapText="1"/>
    </xf>
    <xf numFmtId="0" fontId="56" fillId="0" borderId="47" xfId="0" applyFont="1" applyBorder="1" applyAlignment="1" applyProtection="1">
      <alignment horizontal="left" vertical="center" wrapText="1" indent="1"/>
      <protection locked="0"/>
    </xf>
    <xf numFmtId="0" fontId="56" fillId="0" borderId="4" xfId="0" applyFont="1" applyBorder="1" applyAlignment="1" applyProtection="1">
      <alignment horizontal="left" vertical="center" wrapText="1" indent="1"/>
      <protection locked="0"/>
    </xf>
    <xf numFmtId="0" fontId="56" fillId="0" borderId="0" xfId="0" applyFont="1" applyAlignment="1" applyProtection="1">
      <alignment horizontal="left" vertical="center" wrapText="1" indent="1"/>
      <protection locked="0"/>
    </xf>
    <xf numFmtId="3" fontId="24" fillId="0" borderId="59" xfId="0" applyNumberFormat="1" applyFont="1" applyBorder="1" applyAlignment="1" applyProtection="1">
      <alignment horizontal="right" vertical="center" wrapText="1"/>
      <protection locked="0"/>
    </xf>
    <xf numFmtId="3" fontId="24" fillId="0" borderId="334" xfId="0" applyNumberFormat="1" applyFont="1" applyBorder="1" applyAlignment="1" applyProtection="1">
      <alignment horizontal="right" vertical="center" wrapText="1"/>
      <protection locked="0"/>
    </xf>
    <xf numFmtId="0" fontId="24" fillId="0" borderId="4" xfId="0" applyFont="1" applyBorder="1" applyAlignment="1">
      <alignment horizontal="left" indent="1"/>
    </xf>
    <xf numFmtId="0" fontId="24" fillId="0" borderId="0" xfId="0" applyFont="1" applyAlignment="1">
      <alignment horizontal="left" indent="1"/>
    </xf>
    <xf numFmtId="3" fontId="24" fillId="0" borderId="59" xfId="0" applyNumberFormat="1" applyFont="1" applyBorder="1" applyAlignment="1">
      <alignment horizontal="right" vertical="center" wrapText="1"/>
    </xf>
    <xf numFmtId="3" fontId="24" fillId="0" borderId="334" xfId="0" applyNumberFormat="1" applyFont="1" applyBorder="1" applyAlignment="1">
      <alignment horizontal="right" vertical="center" wrapText="1"/>
    </xf>
    <xf numFmtId="0" fontId="39" fillId="0" borderId="4" xfId="0" applyFont="1" applyBorder="1" applyAlignment="1">
      <alignment horizontal="center" vertical="center" wrapText="1"/>
    </xf>
    <xf numFmtId="0" fontId="39" fillId="0" borderId="0" xfId="0" applyFont="1" applyAlignment="1">
      <alignment horizontal="center" vertical="center" wrapText="1"/>
    </xf>
    <xf numFmtId="3" fontId="24" fillId="0" borderId="58" xfId="0" applyNumberFormat="1" applyFont="1" applyBorder="1" applyAlignment="1">
      <alignment horizontal="right" vertical="center" wrapText="1"/>
    </xf>
    <xf numFmtId="3" fontId="24" fillId="0" borderId="252" xfId="0" applyNumberFormat="1" applyFont="1" applyBorder="1" applyAlignment="1">
      <alignment horizontal="right" vertical="center" wrapText="1"/>
    </xf>
    <xf numFmtId="0" fontId="26" fillId="0" borderId="209" xfId="0" applyFont="1" applyBorder="1" applyAlignment="1">
      <alignment horizontal="center" vertical="center" wrapText="1"/>
    </xf>
    <xf numFmtId="0" fontId="26" fillId="0" borderId="47" xfId="0" applyFont="1" applyBorder="1" applyAlignment="1">
      <alignment horizontal="center" vertical="center" wrapText="1"/>
    </xf>
    <xf numFmtId="0" fontId="26" fillId="4" borderId="211" xfId="0" applyFont="1" applyFill="1" applyBorder="1" applyAlignment="1">
      <alignment horizontal="center" vertical="center" wrapText="1"/>
    </xf>
    <xf numFmtId="0" fontId="26" fillId="4" borderId="212" xfId="0" applyFont="1" applyFill="1" applyBorder="1" applyAlignment="1">
      <alignment horizontal="center" vertical="center" wrapText="1"/>
    </xf>
    <xf numFmtId="49" fontId="18" fillId="0" borderId="50" xfId="0" applyNumberFormat="1" applyFont="1" applyBorder="1" applyAlignment="1">
      <alignment horizontal="center" vertical="center" wrapText="1"/>
    </xf>
    <xf numFmtId="0" fontId="24" fillId="11" borderId="1"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11" borderId="3"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1" borderId="3" xfId="0" applyFont="1" applyFill="1" applyBorder="1" applyAlignment="1">
      <alignment horizontal="center" vertical="center" wrapText="1"/>
    </xf>
    <xf numFmtId="0" fontId="24" fillId="11" borderId="262" xfId="0" applyFont="1" applyFill="1" applyBorder="1" applyAlignment="1">
      <alignment horizontal="center" vertical="center" wrapText="1"/>
    </xf>
    <xf numFmtId="0" fontId="24" fillId="11" borderId="59" xfId="0" applyFont="1" applyFill="1" applyBorder="1" applyAlignment="1">
      <alignment horizontal="center" vertical="center" wrapText="1"/>
    </xf>
    <xf numFmtId="0" fontId="24" fillId="11" borderId="252" xfId="0" applyFont="1" applyFill="1" applyBorder="1" applyAlignment="1">
      <alignment horizontal="center" vertical="center" wrapText="1"/>
    </xf>
    <xf numFmtId="0" fontId="24" fillId="11" borderId="334" xfId="0" applyFont="1" applyFill="1" applyBorder="1" applyAlignment="1">
      <alignment horizontal="center" vertical="center" wrapText="1"/>
    </xf>
    <xf numFmtId="0" fontId="24" fillId="11" borderId="269" xfId="0" applyFont="1" applyFill="1" applyBorder="1" applyAlignment="1">
      <alignment horizontal="center" vertical="center" wrapText="1"/>
    </xf>
    <xf numFmtId="0" fontId="55" fillId="0" borderId="276" xfId="0" applyFont="1" applyBorder="1" applyAlignment="1" applyProtection="1">
      <alignment horizontal="left" vertical="center" indent="1"/>
      <protection locked="0"/>
    </xf>
    <xf numFmtId="0" fontId="55" fillId="0" borderId="34" xfId="0" applyFont="1" applyBorder="1" applyAlignment="1" applyProtection="1">
      <alignment horizontal="left" vertical="center" indent="1"/>
      <protection locked="0"/>
    </xf>
    <xf numFmtId="0" fontId="55" fillId="0" borderId="46" xfId="0" applyFont="1" applyBorder="1" applyAlignment="1" applyProtection="1">
      <alignment horizontal="left" vertical="center" indent="1"/>
      <protection locked="0"/>
    </xf>
    <xf numFmtId="0" fontId="55" fillId="0" borderId="50" xfId="0" applyFont="1" applyBorder="1" applyAlignment="1" applyProtection="1">
      <alignment horizontal="left" vertical="center" indent="1"/>
      <protection locked="0"/>
    </xf>
    <xf numFmtId="0" fontId="55" fillId="0" borderId="47" xfId="0" applyFont="1" applyBorder="1" applyAlignment="1" applyProtection="1">
      <alignment horizontal="left" vertical="center" indent="1"/>
      <protection locked="0"/>
    </xf>
    <xf numFmtId="0" fontId="31" fillId="4" borderId="211" xfId="0" applyFont="1" applyFill="1" applyBorder="1" applyAlignment="1">
      <alignment horizontal="right" vertical="center" indent="1"/>
    </xf>
    <xf numFmtId="0" fontId="31" fillId="4" borderId="214" xfId="0" applyFont="1" applyFill="1" applyBorder="1" applyAlignment="1">
      <alignment horizontal="right" vertical="center" indent="1"/>
    </xf>
    <xf numFmtId="0" fontId="31" fillId="4" borderId="212" xfId="0" applyFont="1" applyFill="1" applyBorder="1" applyAlignment="1">
      <alignment horizontal="right" vertical="center" indent="1"/>
    </xf>
    <xf numFmtId="0" fontId="55" fillId="0" borderId="33" xfId="0" applyFont="1" applyBorder="1" applyAlignment="1" applyProtection="1">
      <alignment horizontal="left" vertical="center" indent="1"/>
      <protection locked="0"/>
    </xf>
    <xf numFmtId="0" fontId="55" fillId="0" borderId="35" xfId="0" applyFont="1" applyBorder="1" applyAlignment="1" applyProtection="1">
      <alignment horizontal="left" vertical="center" indent="1"/>
      <protection locked="0"/>
    </xf>
    <xf numFmtId="0" fontId="23" fillId="0" borderId="209" xfId="0" applyFont="1" applyBorder="1" applyAlignment="1">
      <alignment horizontal="left" vertical="center" indent="1"/>
    </xf>
    <xf numFmtId="0" fontId="23" fillId="0" borderId="50" xfId="0" applyFont="1" applyBorder="1" applyAlignment="1">
      <alignment horizontal="left" vertical="center" indent="1"/>
    </xf>
    <xf numFmtId="0" fontId="23" fillId="0" borderId="47" xfId="0" applyFont="1" applyBorder="1" applyAlignment="1">
      <alignment horizontal="left" vertical="center" indent="1"/>
    </xf>
    <xf numFmtId="3" fontId="4" fillId="0" borderId="46" xfId="0" applyNumberFormat="1" applyFont="1" applyBorder="1" applyAlignment="1" applyProtection="1">
      <alignment horizontal="right" vertical="center" indent="1"/>
      <protection locked="0"/>
    </xf>
    <xf numFmtId="3" fontId="4" fillId="0" borderId="47" xfId="0" applyNumberFormat="1" applyFont="1" applyBorder="1" applyAlignment="1" applyProtection="1">
      <alignment horizontal="right" vertical="center" indent="1"/>
      <protection locked="0"/>
    </xf>
    <xf numFmtId="0" fontId="23" fillId="0" borderId="211" xfId="0" applyFont="1" applyBorder="1" applyAlignment="1">
      <alignment horizontal="left" vertical="center" indent="1"/>
    </xf>
    <xf numFmtId="0" fontId="23" fillId="0" borderId="214" xfId="0" applyFont="1" applyBorder="1" applyAlignment="1">
      <alignment horizontal="left" vertical="center" indent="1"/>
    </xf>
    <xf numFmtId="0" fontId="23" fillId="0" borderId="212" xfId="0" applyFont="1" applyBorder="1" applyAlignment="1">
      <alignment horizontal="left" vertical="center" indent="1"/>
    </xf>
    <xf numFmtId="3" fontId="4" fillId="0" borderId="213" xfId="0" applyNumberFormat="1" applyFont="1" applyBorder="1" applyAlignment="1" applyProtection="1">
      <alignment horizontal="right" vertical="center" indent="1"/>
      <protection locked="0"/>
    </xf>
    <xf numFmtId="3" fontId="4" fillId="0" borderId="212" xfId="0" applyNumberFormat="1" applyFont="1" applyBorder="1" applyAlignment="1" applyProtection="1">
      <alignment horizontal="right" vertical="center" indent="1"/>
      <protection locked="0"/>
    </xf>
    <xf numFmtId="0" fontId="18" fillId="11" borderId="249" xfId="0" applyFont="1" applyFill="1" applyBorder="1" applyAlignment="1">
      <alignment horizontal="center" vertical="center"/>
    </xf>
    <xf numFmtId="0" fontId="55" fillId="0" borderId="49" xfId="0" applyFont="1" applyBorder="1" applyAlignment="1" applyProtection="1">
      <alignment horizontal="left" vertical="center"/>
      <protection locked="0"/>
    </xf>
    <xf numFmtId="0" fontId="55" fillId="0" borderId="58" xfId="0" applyFont="1" applyBorder="1" applyAlignment="1" applyProtection="1">
      <alignment horizontal="left" vertical="center"/>
      <protection locked="0"/>
    </xf>
    <xf numFmtId="49" fontId="13" fillId="0" borderId="46" xfId="0" applyNumberFormat="1" applyFont="1" applyBorder="1" applyAlignment="1">
      <alignment horizontal="center" vertical="center" wrapText="1"/>
    </xf>
    <xf numFmtId="49" fontId="13" fillId="0" borderId="47" xfId="0" applyNumberFormat="1" applyFont="1" applyBorder="1" applyAlignment="1">
      <alignment horizontal="center" vertical="center" wrapText="1"/>
    </xf>
    <xf numFmtId="0" fontId="24" fillId="11" borderId="58" xfId="0" applyFont="1" applyFill="1" applyBorder="1" applyAlignment="1">
      <alignment horizontal="center" vertical="center"/>
    </xf>
    <xf numFmtId="0" fontId="58" fillId="11" borderId="267" xfId="0" applyFont="1" applyFill="1" applyBorder="1" applyAlignment="1">
      <alignment horizontal="center" vertical="center"/>
    </xf>
    <xf numFmtId="0" fontId="16" fillId="4" borderId="337" xfId="0" applyFont="1" applyFill="1" applyBorder="1" applyAlignment="1">
      <alignment horizontal="center" vertical="center"/>
    </xf>
    <xf numFmtId="0" fontId="16" fillId="4" borderId="338" xfId="0" applyFont="1" applyFill="1" applyBorder="1" applyAlignment="1">
      <alignment horizontal="center" vertical="center"/>
    </xf>
    <xf numFmtId="0" fontId="16" fillId="4" borderId="339" xfId="0" applyFont="1" applyFill="1" applyBorder="1" applyAlignment="1">
      <alignment horizontal="center" vertical="center"/>
    </xf>
    <xf numFmtId="0" fontId="55" fillId="0" borderId="68" xfId="0" applyFont="1" applyBorder="1" applyAlignment="1" applyProtection="1">
      <alignment horizontal="left" vertical="center"/>
      <protection locked="0"/>
    </xf>
    <xf numFmtId="3" fontId="18" fillId="4" borderId="254" xfId="0" applyNumberFormat="1" applyFont="1" applyFill="1" applyBorder="1" applyAlignment="1">
      <alignment horizontal="right" vertical="center"/>
    </xf>
    <xf numFmtId="0" fontId="18" fillId="4" borderId="253" xfId="0" applyFont="1" applyFill="1" applyBorder="1" applyAlignment="1">
      <alignment horizontal="left" vertical="center" indent="1"/>
    </xf>
    <xf numFmtId="0" fontId="18" fillId="4" borderId="254" xfId="0" applyFont="1" applyFill="1" applyBorder="1" applyAlignment="1">
      <alignment horizontal="left" vertical="center" indent="1"/>
    </xf>
    <xf numFmtId="3" fontId="3" fillId="4" borderId="49" xfId="0" applyNumberFormat="1" applyFont="1" applyFill="1" applyBorder="1" applyAlignment="1">
      <alignment horizontal="right" vertical="center"/>
    </xf>
    <xf numFmtId="3" fontId="4" fillId="0" borderId="49" xfId="0" applyNumberFormat="1" applyFont="1" applyBorder="1" applyAlignment="1" applyProtection="1">
      <alignment horizontal="right" vertical="center"/>
      <protection locked="0"/>
    </xf>
    <xf numFmtId="3" fontId="4" fillId="0" borderId="208" xfId="0" applyNumberFormat="1" applyFont="1" applyBorder="1" applyAlignment="1" applyProtection="1">
      <alignment horizontal="right" vertical="center"/>
      <protection locked="0"/>
    </xf>
    <xf numFmtId="3" fontId="18" fillId="4" borderId="255" xfId="0" applyNumberFormat="1" applyFont="1" applyFill="1" applyBorder="1" applyAlignment="1">
      <alignment horizontal="right" vertical="center"/>
    </xf>
    <xf numFmtId="49" fontId="18" fillId="0" borderId="102" xfId="0" applyNumberFormat="1" applyFont="1" applyBorder="1" applyAlignment="1">
      <alignment horizontal="center" vertical="center" wrapText="1"/>
    </xf>
    <xf numFmtId="49" fontId="18" fillId="0" borderId="103" xfId="0" applyNumberFormat="1" applyFont="1" applyBorder="1" applyAlignment="1">
      <alignment horizontal="center" vertical="center" wrapText="1"/>
    </xf>
    <xf numFmtId="49" fontId="18" fillId="0" borderId="104" xfId="0" applyNumberFormat="1" applyFont="1" applyBorder="1" applyAlignment="1">
      <alignment horizontal="center" vertical="center" wrapText="1"/>
    </xf>
    <xf numFmtId="0" fontId="4" fillId="11" borderId="268" xfId="0" applyFont="1" applyFill="1" applyBorder="1" applyAlignment="1">
      <alignment horizontal="center" vertical="center" wrapText="1"/>
    </xf>
    <xf numFmtId="0" fontId="23" fillId="23" borderId="209" xfId="3" applyFont="1" applyFill="1" applyBorder="1" applyAlignment="1">
      <alignment horizontal="left" vertical="center"/>
    </xf>
    <xf numFmtId="0" fontId="23" fillId="23" borderId="50" xfId="3" applyFont="1" applyFill="1" applyBorder="1" applyAlignment="1">
      <alignment horizontal="left" vertical="center"/>
    </xf>
    <xf numFmtId="0" fontId="23" fillId="23" borderId="47" xfId="3" applyFont="1" applyFill="1" applyBorder="1" applyAlignment="1">
      <alignment horizontal="left" vertical="center"/>
    </xf>
    <xf numFmtId="0" fontId="23" fillId="0" borderId="207" xfId="3" applyFont="1" applyBorder="1" applyAlignment="1">
      <alignment horizontal="left" vertical="center" indent="1"/>
    </xf>
    <xf numFmtId="0" fontId="23" fillId="0" borderId="49" xfId="3" applyFont="1" applyBorder="1" applyAlignment="1">
      <alignment horizontal="left" vertical="center" indent="1"/>
    </xf>
    <xf numFmtId="0" fontId="25" fillId="4" borderId="253" xfId="3" applyFont="1" applyFill="1" applyBorder="1" applyAlignment="1">
      <alignment horizontal="right" vertical="center"/>
    </xf>
    <xf numFmtId="0" fontId="25" fillId="4" borderId="254" xfId="3" applyFont="1" applyFill="1" applyBorder="1" applyAlignment="1">
      <alignment horizontal="right" vertical="center"/>
    </xf>
    <xf numFmtId="0" fontId="59" fillId="4" borderId="254" xfId="0" applyFont="1" applyFill="1" applyBorder="1" applyAlignment="1">
      <alignment horizontal="center" vertical="center"/>
    </xf>
    <xf numFmtId="0" fontId="23" fillId="23" borderId="207" xfId="3" applyFont="1" applyFill="1" applyBorder="1" applyAlignment="1">
      <alignment horizontal="left" vertical="center"/>
    </xf>
    <xf numFmtId="0" fontId="23" fillId="23" borderId="49" xfId="3" applyFont="1" applyFill="1" applyBorder="1" applyAlignment="1">
      <alignment horizontal="left" vertical="center"/>
    </xf>
    <xf numFmtId="0" fontId="23" fillId="0" borderId="207" xfId="3" applyFont="1" applyBorder="1" applyAlignment="1">
      <alignment horizontal="left" vertical="center"/>
    </xf>
    <xf numFmtId="0" fontId="23" fillId="0" borderId="49" xfId="3" applyFont="1" applyBorder="1" applyAlignment="1">
      <alignment horizontal="left" vertical="center"/>
    </xf>
    <xf numFmtId="0" fontId="23" fillId="11" borderId="283" xfId="3" applyFont="1" applyFill="1" applyBorder="1" applyAlignment="1">
      <alignment horizontal="center"/>
    </xf>
    <xf numFmtId="0" fontId="23" fillId="11" borderId="267" xfId="3" applyFont="1" applyFill="1" applyBorder="1" applyAlignment="1">
      <alignment horizontal="center"/>
    </xf>
    <xf numFmtId="49" fontId="1" fillId="0" borderId="0" xfId="0" applyNumberFormat="1" applyFont="1" applyAlignment="1">
      <alignment horizontal="center" vertical="center"/>
    </xf>
    <xf numFmtId="0" fontId="4" fillId="0" borderId="289" xfId="0" applyFont="1" applyBorder="1" applyAlignment="1" applyProtection="1">
      <alignment horizontal="left" vertical="center" indent="1"/>
      <protection locked="0"/>
    </xf>
    <xf numFmtId="0" fontId="4" fillId="0" borderId="55" xfId="0" applyFont="1" applyBorder="1" applyAlignment="1" applyProtection="1">
      <alignment horizontal="left" vertical="center" indent="1"/>
      <protection locked="0"/>
    </xf>
    <xf numFmtId="0" fontId="4" fillId="0" borderId="207" xfId="0" applyFont="1" applyBorder="1" applyAlignment="1" applyProtection="1">
      <alignment horizontal="left" vertical="center" indent="1"/>
      <protection locked="0"/>
    </xf>
    <xf numFmtId="0" fontId="4" fillId="0" borderId="49" xfId="0" applyFont="1" applyBorder="1" applyAlignment="1" applyProtection="1">
      <alignment horizontal="left" vertical="center" indent="1"/>
      <protection locked="0"/>
    </xf>
    <xf numFmtId="0" fontId="4" fillId="0" borderId="209" xfId="0" applyFont="1" applyBorder="1" applyAlignment="1" applyProtection="1">
      <alignment horizontal="left" vertical="center" indent="1"/>
      <protection locked="0"/>
    </xf>
    <xf numFmtId="0" fontId="4" fillId="0" borderId="50" xfId="0" applyFont="1" applyBorder="1" applyAlignment="1" applyProtection="1">
      <alignment horizontal="left" vertical="center" indent="1"/>
      <protection locked="0"/>
    </xf>
    <xf numFmtId="0" fontId="4" fillId="0" borderId="47" xfId="0" applyFont="1" applyBorder="1" applyAlignment="1" applyProtection="1">
      <alignment horizontal="left" vertical="center" indent="1"/>
      <protection locked="0"/>
    </xf>
    <xf numFmtId="0" fontId="4" fillId="0" borderId="293" xfId="0" applyFont="1" applyBorder="1" applyAlignment="1" applyProtection="1">
      <alignment horizontal="left" vertical="center" indent="1"/>
      <protection locked="0"/>
    </xf>
    <xf numFmtId="0" fontId="4" fillId="0" borderId="58" xfId="0" applyFont="1" applyBorder="1" applyAlignment="1" applyProtection="1">
      <alignment horizontal="left" vertical="center" indent="1"/>
      <protection locked="0"/>
    </xf>
    <xf numFmtId="0" fontId="3" fillId="11" borderId="207" xfId="0" applyFont="1" applyFill="1" applyBorder="1" applyAlignment="1">
      <alignment horizontal="center" vertical="center"/>
    </xf>
    <xf numFmtId="0" fontId="3" fillId="11" borderId="49" xfId="0" applyFont="1" applyFill="1" applyBorder="1" applyAlignment="1">
      <alignment horizontal="center" vertical="center"/>
    </xf>
    <xf numFmtId="0" fontId="3" fillId="8" borderId="283" xfId="0" applyFont="1" applyFill="1" applyBorder="1" applyAlignment="1">
      <alignment horizontal="center" vertical="center"/>
    </xf>
    <xf numFmtId="0" fontId="3" fillId="8" borderId="267" xfId="0" applyFont="1" applyFill="1" applyBorder="1" applyAlignment="1">
      <alignment horizontal="center" vertical="center"/>
    </xf>
    <xf numFmtId="0" fontId="26" fillId="0" borderId="148" xfId="0" applyFont="1" applyBorder="1" applyAlignment="1">
      <alignment horizontal="center" vertical="center" wrapText="1"/>
    </xf>
    <xf numFmtId="0" fontId="26" fillId="0" borderId="151" xfId="0" applyFont="1" applyBorder="1" applyAlignment="1">
      <alignment horizontal="center" vertical="center" wrapText="1"/>
    </xf>
    <xf numFmtId="0" fontId="26" fillId="0" borderId="149" xfId="0" applyFont="1" applyBorder="1" applyAlignment="1">
      <alignment horizontal="center" vertical="center" wrapText="1"/>
    </xf>
    <xf numFmtId="0" fontId="26" fillId="0" borderId="152" xfId="0" applyFont="1" applyBorder="1" applyAlignment="1">
      <alignment horizontal="center" vertical="center" wrapText="1"/>
    </xf>
    <xf numFmtId="0" fontId="38" fillId="0" borderId="0" xfId="0" applyFont="1" applyAlignment="1">
      <alignment horizontal="center" vertical="center"/>
    </xf>
    <xf numFmtId="0" fontId="26" fillId="0" borderId="147" xfId="0" applyFont="1" applyBorder="1" applyAlignment="1">
      <alignment horizontal="center" vertical="center"/>
    </xf>
    <xf numFmtId="0" fontId="26" fillId="0" borderId="148" xfId="0" applyFont="1" applyBorder="1" applyAlignment="1">
      <alignment horizontal="center" vertical="center"/>
    </xf>
    <xf numFmtId="49" fontId="18" fillId="0" borderId="162" xfId="0" applyNumberFormat="1" applyFont="1" applyBorder="1" applyAlignment="1">
      <alignment horizontal="center" vertical="center" wrapText="1"/>
    </xf>
    <xf numFmtId="49" fontId="18" fillId="0" borderId="163" xfId="0" applyNumberFormat="1" applyFont="1" applyBorder="1" applyAlignment="1">
      <alignment horizontal="center" vertical="center" wrapText="1"/>
    </xf>
    <xf numFmtId="49" fontId="18" fillId="0" borderId="164" xfId="0" applyNumberFormat="1" applyFont="1" applyBorder="1" applyAlignment="1">
      <alignment horizontal="center" vertical="center" wrapText="1"/>
    </xf>
    <xf numFmtId="0" fontId="4" fillId="0" borderId="57" xfId="0" applyFont="1" applyBorder="1" applyAlignment="1">
      <alignment horizontal="left" vertical="center"/>
    </xf>
    <xf numFmtId="49" fontId="17" fillId="0" borderId="155" xfId="0" applyNumberFormat="1" applyFont="1" applyBorder="1" applyAlignment="1">
      <alignment horizontal="center" vertical="center" wrapText="1"/>
    </xf>
    <xf numFmtId="3" fontId="27" fillId="0" borderId="177" xfId="0" applyNumberFormat="1" applyFont="1" applyBorder="1"/>
    <xf numFmtId="3" fontId="27" fillId="0" borderId="163" xfId="0" applyNumberFormat="1" applyFont="1" applyBorder="1"/>
    <xf numFmtId="3" fontId="27" fillId="0" borderId="176" xfId="0" applyNumberFormat="1" applyFont="1" applyBorder="1"/>
    <xf numFmtId="0" fontId="27" fillId="0" borderId="177" xfId="0" applyFont="1" applyBorder="1"/>
    <xf numFmtId="0" fontId="27" fillId="0" borderId="176" xfId="0" applyFont="1" applyBorder="1"/>
    <xf numFmtId="0" fontId="22" fillId="0" borderId="169" xfId="0" applyFont="1" applyBorder="1"/>
    <xf numFmtId="0" fontId="22" fillId="0" borderId="170" xfId="0" applyFont="1" applyBorder="1"/>
    <xf numFmtId="0" fontId="22" fillId="0" borderId="168" xfId="0" applyFont="1" applyBorder="1"/>
    <xf numFmtId="0" fontId="22" fillId="0" borderId="65" xfId="0" applyFont="1" applyBorder="1"/>
    <xf numFmtId="0" fontId="22" fillId="0" borderId="66" xfId="0" applyFont="1" applyBorder="1"/>
    <xf numFmtId="0" fontId="22" fillId="0" borderId="67" xfId="0" applyFont="1" applyBorder="1"/>
    <xf numFmtId="0" fontId="23" fillId="0" borderId="65" xfId="0" applyFont="1" applyBorder="1" applyAlignment="1">
      <alignment wrapText="1"/>
    </xf>
    <xf numFmtId="0" fontId="23" fillId="0" borderId="66" xfId="0" applyFont="1" applyBorder="1" applyAlignment="1">
      <alignment wrapText="1"/>
    </xf>
    <xf numFmtId="0" fontId="23" fillId="0" borderId="67" xfId="0" applyFont="1" applyBorder="1" applyAlignment="1">
      <alignment wrapText="1"/>
    </xf>
    <xf numFmtId="0" fontId="23" fillId="0" borderId="173" xfId="0" applyFont="1" applyBorder="1" applyAlignment="1">
      <alignment wrapText="1"/>
    </xf>
    <xf numFmtId="0" fontId="23" fillId="0" borderId="174" xfId="0" applyFont="1" applyBorder="1" applyAlignment="1">
      <alignment wrapText="1"/>
    </xf>
    <xf numFmtId="0" fontId="23" fillId="0" borderId="172" xfId="0" applyFont="1" applyBorder="1" applyAlignment="1">
      <alignment wrapText="1"/>
    </xf>
    <xf numFmtId="0" fontId="22" fillId="0" borderId="173" xfId="0" applyFont="1" applyBorder="1"/>
    <xf numFmtId="0" fontId="22" fillId="0" borderId="172" xfId="0" applyFont="1" applyBorder="1"/>
    <xf numFmtId="0" fontId="100" fillId="0" borderId="169" xfId="0" applyFont="1" applyBorder="1" applyAlignment="1">
      <alignment horizontal="center" vertical="center" wrapText="1"/>
    </xf>
    <xf numFmtId="0" fontId="100" fillId="0" borderId="170" xfId="0" applyFont="1" applyBorder="1" applyAlignment="1">
      <alignment horizontal="center" vertical="center" wrapText="1"/>
    </xf>
    <xf numFmtId="0" fontId="100" fillId="0" borderId="168" xfId="0" applyFont="1" applyBorder="1" applyAlignment="1">
      <alignment horizontal="center" vertical="center" wrapText="1"/>
    </xf>
    <xf numFmtId="0" fontId="24" fillId="0" borderId="177" xfId="0" applyFont="1" applyBorder="1" applyAlignment="1">
      <alignment horizontal="center" vertical="center" wrapText="1"/>
    </xf>
    <xf numFmtId="0" fontId="24" fillId="0" borderId="176" xfId="0" applyFont="1" applyBorder="1" applyAlignment="1">
      <alignment horizontal="center" vertical="center" wrapText="1"/>
    </xf>
    <xf numFmtId="0" fontId="24" fillId="11" borderId="46" xfId="0" applyFont="1" applyFill="1" applyBorder="1" applyAlignment="1">
      <alignment horizontal="center" vertical="center" wrapText="1"/>
    </xf>
    <xf numFmtId="0" fontId="24" fillId="11" borderId="50" xfId="0" applyFont="1" applyFill="1" applyBorder="1" applyAlignment="1">
      <alignment horizontal="center" vertical="center" wrapText="1"/>
    </xf>
    <xf numFmtId="0" fontId="24" fillId="11" borderId="47" xfId="0" applyFont="1" applyFill="1" applyBorder="1" applyAlignment="1">
      <alignment horizontal="center" vertical="center" wrapText="1"/>
    </xf>
    <xf numFmtId="0" fontId="24" fillId="11" borderId="178" xfId="0" applyFont="1" applyFill="1" applyBorder="1" applyAlignment="1">
      <alignment horizontal="center" vertical="center" wrapText="1"/>
    </xf>
    <xf numFmtId="0" fontId="24" fillId="11" borderId="179" xfId="0" applyFont="1" applyFill="1" applyBorder="1" applyAlignment="1">
      <alignment horizontal="center" vertical="center" wrapText="1"/>
    </xf>
    <xf numFmtId="0" fontId="24" fillId="11" borderId="165" xfId="0" applyFont="1" applyFill="1" applyBorder="1" applyAlignment="1">
      <alignment horizontal="center" vertical="center" wrapText="1"/>
    </xf>
    <xf numFmtId="0" fontId="24" fillId="11" borderId="166" xfId="0" applyFont="1" applyFill="1" applyBorder="1" applyAlignment="1">
      <alignment horizontal="center" vertical="center" wrapText="1"/>
    </xf>
    <xf numFmtId="49" fontId="13" fillId="23" borderId="65" xfId="0" applyNumberFormat="1" applyFont="1" applyFill="1" applyBorder="1" applyAlignment="1">
      <alignment horizontal="center" vertical="center" wrapText="1"/>
    </xf>
    <xf numFmtId="49" fontId="13" fillId="23" borderId="67" xfId="0" applyNumberFormat="1" applyFont="1" applyFill="1" applyBorder="1" applyAlignment="1">
      <alignment horizontal="center" vertical="center" wrapText="1"/>
    </xf>
    <xf numFmtId="0" fontId="18" fillId="23" borderId="42" xfId="0" applyFont="1" applyFill="1" applyBorder="1" applyAlignment="1">
      <alignment horizontal="left" vertical="center"/>
    </xf>
    <xf numFmtId="0" fontId="18" fillId="23" borderId="57" xfId="0" applyFont="1" applyFill="1" applyBorder="1" applyAlignment="1">
      <alignment horizontal="left" vertical="center"/>
    </xf>
    <xf numFmtId="0" fontId="22" fillId="23" borderId="155" xfId="0" applyFont="1" applyFill="1" applyBorder="1"/>
    <xf numFmtId="0" fontId="23" fillId="23" borderId="155" xfId="0" applyFont="1" applyFill="1" applyBorder="1" applyAlignment="1">
      <alignment wrapText="1"/>
    </xf>
    <xf numFmtId="3" fontId="27" fillId="23" borderId="151" xfId="0" applyNumberFormat="1" applyFont="1" applyFill="1" applyBorder="1"/>
    <xf numFmtId="0" fontId="27" fillId="23" borderId="151" xfId="0" applyFont="1" applyFill="1" applyBorder="1"/>
    <xf numFmtId="0" fontId="26" fillId="23" borderId="148" xfId="0" applyFont="1" applyFill="1" applyBorder="1" applyAlignment="1">
      <alignment horizontal="center" vertical="center" wrapText="1"/>
    </xf>
    <xf numFmtId="0" fontId="4" fillId="23" borderId="48" xfId="0" applyFont="1" applyFill="1" applyBorder="1" applyAlignment="1">
      <alignment horizontal="center" vertical="center"/>
    </xf>
    <xf numFmtId="0" fontId="100" fillId="23" borderId="155" xfId="0" applyFont="1" applyFill="1" applyBorder="1" applyAlignment="1">
      <alignment horizontal="center" vertical="center" wrapText="1"/>
    </xf>
    <xf numFmtId="0" fontId="24" fillId="23" borderId="155" xfId="0" applyFont="1" applyFill="1" applyBorder="1" applyAlignment="1">
      <alignment horizontal="center" vertical="center" wrapText="1"/>
    </xf>
    <xf numFmtId="0" fontId="19" fillId="23" borderId="0" xfId="0" applyFont="1" applyFill="1" applyAlignment="1">
      <alignment horizontal="center" vertical="center"/>
    </xf>
    <xf numFmtId="0" fontId="22" fillId="0" borderId="155" xfId="0" applyFont="1" applyBorder="1"/>
    <xf numFmtId="3" fontId="27" fillId="0" borderId="151" xfId="0" applyNumberFormat="1" applyFont="1" applyBorder="1"/>
    <xf numFmtId="0" fontId="27" fillId="0" borderId="151" xfId="0" applyFont="1" applyBorder="1"/>
    <xf numFmtId="0" fontId="23" fillId="0" borderId="155" xfId="0" applyFont="1" applyBorder="1" applyAlignment="1">
      <alignment wrapText="1"/>
    </xf>
    <xf numFmtId="0" fontId="26" fillId="11" borderId="148" xfId="0" applyFont="1" applyFill="1" applyBorder="1" applyAlignment="1">
      <alignment horizontal="center" vertical="center" wrapText="1"/>
    </xf>
    <xf numFmtId="0" fontId="100" fillId="0" borderId="155" xfId="0" applyFont="1" applyBorder="1" applyAlignment="1">
      <alignment horizontal="center" vertical="center" wrapText="1"/>
    </xf>
    <xf numFmtId="49" fontId="13" fillId="0" borderId="65" xfId="0" applyNumberFormat="1" applyFont="1" applyBorder="1" applyAlignment="1">
      <alignment horizontal="center" vertical="center" wrapText="1"/>
    </xf>
    <xf numFmtId="49" fontId="13" fillId="0" borderId="66" xfId="0" applyNumberFormat="1" applyFont="1" applyBorder="1" applyAlignment="1">
      <alignment horizontal="center" vertical="center" wrapText="1"/>
    </xf>
    <xf numFmtId="49" fontId="13" fillId="0" borderId="67" xfId="0" applyNumberFormat="1" applyFont="1" applyBorder="1" applyAlignment="1">
      <alignment horizontal="center" vertical="center" wrapText="1"/>
    </xf>
    <xf numFmtId="0" fontId="18" fillId="0" borderId="180" xfId="0" applyFont="1" applyBorder="1" applyAlignment="1">
      <alignment horizontal="center" vertical="center"/>
    </xf>
    <xf numFmtId="0" fontId="19" fillId="0" borderId="342" xfId="0" applyFont="1" applyBorder="1" applyAlignment="1">
      <alignment horizontal="center" vertical="center"/>
    </xf>
    <xf numFmtId="0" fontId="22" fillId="0" borderId="157" xfId="0" applyFont="1" applyBorder="1"/>
    <xf numFmtId="0" fontId="27" fillId="0" borderId="150" xfId="0" applyFont="1" applyBorder="1"/>
    <xf numFmtId="0" fontId="23" fillId="0" borderId="157" xfId="0" applyFont="1" applyBorder="1"/>
    <xf numFmtId="0" fontId="23" fillId="0" borderId="155" xfId="0" applyFont="1" applyBorder="1"/>
    <xf numFmtId="0" fontId="23" fillId="0" borderId="157" xfId="0" applyFont="1" applyBorder="1" applyAlignment="1">
      <alignment wrapText="1"/>
    </xf>
    <xf numFmtId="0" fontId="24" fillId="11" borderId="147" xfId="0" applyFont="1" applyFill="1" applyBorder="1" applyAlignment="1">
      <alignment horizontal="center" vertical="center" wrapText="1"/>
    </xf>
    <xf numFmtId="0" fontId="24" fillId="11" borderId="148" xfId="0" applyFont="1" applyFill="1" applyBorder="1" applyAlignment="1">
      <alignment horizontal="center" vertical="center" wrapText="1"/>
    </xf>
    <xf numFmtId="0" fontId="100" fillId="0" borderId="157" xfId="0" applyFont="1" applyBorder="1" applyAlignment="1">
      <alignment horizontal="center" vertical="center" wrapText="1"/>
    </xf>
    <xf numFmtId="0" fontId="61" fillId="0" borderId="12" xfId="0" applyFont="1" applyBorder="1" applyAlignment="1">
      <alignment horizontal="left"/>
    </xf>
    <xf numFmtId="0" fontId="18" fillId="0" borderId="180" xfId="0" applyFont="1" applyBorder="1" applyAlignment="1">
      <alignment horizontal="left" vertical="center"/>
    </xf>
    <xf numFmtId="49" fontId="18" fillId="0" borderId="155" xfId="0" applyNumberFormat="1" applyFont="1" applyBorder="1" applyAlignment="1">
      <alignment horizontal="center" vertical="center" wrapText="1"/>
    </xf>
    <xf numFmtId="0" fontId="55" fillId="0" borderId="155" xfId="0" applyFont="1" applyBorder="1" applyAlignment="1" applyProtection="1">
      <alignment horizontal="left" vertical="center" indent="1"/>
      <protection locked="0"/>
    </xf>
    <xf numFmtId="0" fontId="64" fillId="23" borderId="150" xfId="0" applyFont="1" applyFill="1" applyBorder="1" applyAlignment="1">
      <alignment horizontal="right" vertical="center" indent="1"/>
    </xf>
    <xf numFmtId="0" fontId="64" fillId="23" borderId="151" xfId="0" applyFont="1" applyFill="1" applyBorder="1" applyAlignment="1">
      <alignment horizontal="right" vertical="center" indent="1"/>
    </xf>
    <xf numFmtId="0" fontId="101" fillId="0" borderId="0" xfId="0" applyFont="1" applyAlignment="1">
      <alignment horizontal="center" vertical="center"/>
    </xf>
    <xf numFmtId="0" fontId="47" fillId="0" borderId="0" xfId="0" applyFont="1"/>
    <xf numFmtId="0" fontId="91" fillId="0" borderId="0" xfId="0" applyFont="1"/>
    <xf numFmtId="0" fontId="4" fillId="7" borderId="20" xfId="0" applyFont="1" applyFill="1" applyBorder="1" applyAlignment="1">
      <alignment horizontal="center" vertical="center"/>
    </xf>
    <xf numFmtId="0" fontId="4" fillId="7" borderId="0" xfId="0" applyFont="1" applyFill="1" applyAlignment="1">
      <alignment horizontal="center" vertical="center"/>
    </xf>
    <xf numFmtId="0" fontId="4" fillId="7" borderId="21" xfId="0" applyFont="1" applyFill="1" applyBorder="1" applyAlignment="1">
      <alignment horizontal="center" vertical="center"/>
    </xf>
    <xf numFmtId="0" fontId="4" fillId="0" borderId="309" xfId="0" applyFont="1" applyBorder="1" applyAlignment="1">
      <alignment horizontal="left" vertical="center" indent="1"/>
    </xf>
    <xf numFmtId="0" fontId="4" fillId="0" borderId="24" xfId="0" applyFont="1" applyBorder="1" applyAlignment="1">
      <alignment horizontal="left" vertical="center" indent="1"/>
    </xf>
    <xf numFmtId="0" fontId="4" fillId="0" borderId="25" xfId="0" applyFont="1" applyBorder="1" applyAlignment="1">
      <alignment horizontal="left" vertical="center" indent="1"/>
    </xf>
    <xf numFmtId="0" fontId="4" fillId="0" borderId="343" xfId="0" applyFont="1" applyBorder="1" applyAlignment="1">
      <alignment horizontal="left" vertical="center" indent="1"/>
    </xf>
    <xf numFmtId="0" fontId="4" fillId="0" borderId="344" xfId="0" applyFont="1" applyBorder="1" applyAlignment="1">
      <alignment horizontal="left" vertical="center" indent="1"/>
    </xf>
    <xf numFmtId="0" fontId="4" fillId="0" borderId="345" xfId="0" applyFont="1" applyBorder="1" applyAlignment="1">
      <alignment horizontal="left" vertical="center" indent="1"/>
    </xf>
    <xf numFmtId="0" fontId="4" fillId="7" borderId="4" xfId="0" applyFont="1" applyFill="1" applyBorder="1" applyAlignment="1">
      <alignment horizontal="left" vertical="center" indent="1"/>
    </xf>
    <xf numFmtId="0" fontId="4" fillId="7" borderId="0" xfId="0" applyFont="1" applyFill="1" applyAlignment="1">
      <alignment horizontal="left" vertical="center" indent="1"/>
    </xf>
    <xf numFmtId="0" fontId="4" fillId="7" borderId="21" xfId="0" applyFont="1" applyFill="1" applyBorder="1" applyAlignment="1">
      <alignment horizontal="left" vertical="center" indent="1"/>
    </xf>
    <xf numFmtId="0" fontId="4" fillId="0" borderId="309" xfId="0" applyFont="1" applyBorder="1" applyAlignment="1" applyProtection="1">
      <alignment horizontal="left" vertical="center" indent="1"/>
      <protection locked="0"/>
    </xf>
    <xf numFmtId="0" fontId="4" fillId="0" borderId="24" xfId="0" applyFont="1" applyBorder="1" applyAlignment="1" applyProtection="1">
      <alignment horizontal="left" vertical="center" indent="1"/>
      <protection locked="0"/>
    </xf>
    <xf numFmtId="0" fontId="4" fillId="0" borderId="25" xfId="0" applyFont="1" applyBorder="1" applyAlignment="1" applyProtection="1">
      <alignment horizontal="left" vertical="center" indent="1"/>
      <protection locked="0"/>
    </xf>
    <xf numFmtId="0" fontId="18" fillId="11" borderId="312" xfId="0" applyFont="1" applyFill="1" applyBorder="1" applyAlignment="1">
      <alignment horizontal="center" vertical="center"/>
    </xf>
    <xf numFmtId="0" fontId="18" fillId="11" borderId="313" xfId="0" applyFont="1" applyFill="1" applyBorder="1" applyAlignment="1">
      <alignment horizontal="center" vertical="center"/>
    </xf>
    <xf numFmtId="0" fontId="18" fillId="11" borderId="220" xfId="0" applyFont="1" applyFill="1" applyBorder="1" applyAlignment="1">
      <alignment horizontal="center" vertical="center"/>
    </xf>
    <xf numFmtId="0" fontId="21" fillId="0" borderId="0" xfId="0" applyFont="1" applyAlignment="1">
      <alignment horizontal="center" vertical="center"/>
    </xf>
    <xf numFmtId="49" fontId="27" fillId="0" borderId="23" xfId="0" applyNumberFormat="1" applyFont="1" applyBorder="1" applyAlignment="1">
      <alignment horizontal="center" vertical="center"/>
    </xf>
    <xf numFmtId="49" fontId="27" fillId="0" borderId="25" xfId="0" applyNumberFormat="1" applyFont="1" applyBorder="1" applyAlignment="1">
      <alignment horizontal="center" vertical="center"/>
    </xf>
    <xf numFmtId="0" fontId="124" fillId="0" borderId="65" xfId="0" applyFont="1" applyBorder="1"/>
    <xf numFmtId="0" fontId="0" fillId="0" borderId="67" xfId="0" applyBorder="1"/>
    <xf numFmtId="0" fontId="115" fillId="0" borderId="65" xfId="0" applyFont="1" applyBorder="1" applyAlignment="1">
      <alignment horizontal="center"/>
    </xf>
    <xf numFmtId="0" fontId="0" fillId="0" borderId="67" xfId="0" applyBorder="1" applyAlignment="1">
      <alignment horizontal="center"/>
    </xf>
    <xf numFmtId="0" fontId="0" fillId="0" borderId="65" xfId="0" applyBorder="1" applyAlignment="1">
      <alignment horizontal="center"/>
    </xf>
    <xf numFmtId="168" fontId="122" fillId="0" borderId="65" xfId="5" applyNumberFormat="1" applyFont="1" applyBorder="1" applyAlignment="1">
      <alignment horizontal="center"/>
    </xf>
    <xf numFmtId="168" fontId="122" fillId="0" borderId="67" xfId="5" applyNumberFormat="1" applyFont="1" applyBorder="1" applyAlignment="1">
      <alignment horizontal="center"/>
    </xf>
    <xf numFmtId="0" fontId="0" fillId="0" borderId="0" xfId="0" applyAlignment="1">
      <alignment horizontal="left"/>
    </xf>
    <xf numFmtId="0" fontId="125" fillId="0" borderId="0" xfId="0" applyFont="1" applyAlignment="1">
      <alignment horizontal="left"/>
    </xf>
    <xf numFmtId="168" fontId="122" fillId="0" borderId="162" xfId="5" applyNumberFormat="1" applyFont="1" applyBorder="1" applyAlignment="1">
      <alignment horizontal="center"/>
    </xf>
    <xf numFmtId="168" fontId="122" fillId="0" borderId="176" xfId="5" applyNumberFormat="1" applyFont="1" applyBorder="1" applyAlignment="1">
      <alignment horizontal="center"/>
    </xf>
    <xf numFmtId="0" fontId="127" fillId="0" borderId="65" xfId="0" applyFont="1" applyBorder="1" applyAlignment="1">
      <alignment horizontal="center"/>
    </xf>
    <xf numFmtId="0" fontId="127" fillId="0" borderId="66" xfId="0" applyFont="1" applyBorder="1" applyAlignment="1">
      <alignment horizontal="center"/>
    </xf>
    <xf numFmtId="0" fontId="127" fillId="0" borderId="67" xfId="0" applyFont="1" applyBorder="1" applyAlignment="1">
      <alignment horizontal="center"/>
    </xf>
    <xf numFmtId="0" fontId="27" fillId="0" borderId="65" xfId="0" applyFont="1" applyBorder="1"/>
    <xf numFmtId="0" fontId="27" fillId="0" borderId="66" xfId="0" applyFont="1" applyBorder="1"/>
    <xf numFmtId="0" fontId="119" fillId="0" borderId="65" xfId="0" applyFont="1" applyBorder="1" applyAlignment="1">
      <alignment horizontal="center"/>
    </xf>
    <xf numFmtId="0" fontId="120" fillId="0" borderId="66" xfId="0" applyFont="1" applyBorder="1" applyAlignment="1">
      <alignment horizontal="center"/>
    </xf>
    <xf numFmtId="0" fontId="120" fillId="0" borderId="12" xfId="0" applyFont="1" applyBorder="1" applyAlignment="1">
      <alignment horizontal="center"/>
    </xf>
    <xf numFmtId="0" fontId="120" fillId="0" borderId="67" xfId="0" applyFont="1" applyBorder="1" applyAlignment="1">
      <alignment horizontal="center"/>
    </xf>
    <xf numFmtId="0" fontId="120" fillId="0" borderId="6" xfId="0" applyFont="1" applyBorder="1" applyAlignment="1">
      <alignment horizontal="center"/>
    </xf>
    <xf numFmtId="0" fontId="120" fillId="0" borderId="7" xfId="0" applyFont="1" applyBorder="1" applyAlignment="1">
      <alignment horizontal="center"/>
    </xf>
    <xf numFmtId="0" fontId="116" fillId="0" borderId="9" xfId="0" applyFont="1" applyBorder="1" applyAlignment="1">
      <alignment horizontal="center"/>
    </xf>
    <xf numFmtId="0" fontId="27" fillId="0" borderId="10" xfId="0" applyFont="1" applyBorder="1" applyAlignment="1">
      <alignment horizontal="center"/>
    </xf>
    <xf numFmtId="0" fontId="117" fillId="0" borderId="9" xfId="0" applyFont="1" applyBorder="1" applyAlignment="1">
      <alignment horizontal="center" vertical="center"/>
    </xf>
    <xf numFmtId="0" fontId="117" fillId="0" borderId="0" xfId="0" applyFont="1" applyAlignment="1">
      <alignment horizontal="center" vertical="center"/>
    </xf>
    <xf numFmtId="0" fontId="117" fillId="0" borderId="10" xfId="0" applyFont="1"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102" fillId="0" borderId="0" xfId="0" applyFont="1" applyAlignment="1">
      <alignment horizontal="center" vertical="center" wrapText="1"/>
    </xf>
    <xf numFmtId="0" fontId="102" fillId="0" borderId="0" xfId="0" applyFont="1" applyAlignment="1">
      <alignment horizontal="center" vertical="center"/>
    </xf>
  </cellXfs>
  <cellStyles count="7">
    <cellStyle name="Lien hypertexte" xfId="1" builtinId="8"/>
    <cellStyle name="Milliers 2" xfId="5" xr:uid="{00000000-0005-0000-0000-000001000000}"/>
    <cellStyle name="Normal" xfId="0" builtinId="0"/>
    <cellStyle name="Normal 2" xfId="6" xr:uid="{00000000-0005-0000-0000-000003000000}"/>
    <cellStyle name="Normal 3" xfId="3" xr:uid="{00000000-0005-0000-0000-000004000000}"/>
    <cellStyle name="Normal_LIASSE SYSCOA ESSAI 1999" xfId="2" xr:uid="{00000000-0005-0000-0000-000005000000}"/>
    <cellStyle name="Pourcentage" xfId="4" builtinId="5"/>
  </cellStyles>
  <dxfs count="0"/>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externalLink" Target="externalLinks/externalLink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22412</xdr:colOff>
      <xdr:row>19</xdr:row>
      <xdr:rowOff>116167</xdr:rowOff>
    </xdr:from>
    <xdr:ext cx="5883088" cy="1638065"/>
    <xdr:sp macro="" textlink="">
      <xdr:nvSpPr>
        <xdr:cNvPr id="5" name="Rectangle 4">
          <a:extLst>
            <a:ext uri="{FF2B5EF4-FFF2-40B4-BE49-F238E27FC236}">
              <a16:creationId xmlns:a16="http://schemas.microsoft.com/office/drawing/2014/main" id="{00000000-0008-0000-0000-000005000000}"/>
            </a:ext>
          </a:extLst>
        </xdr:cNvPr>
        <xdr:cNvSpPr/>
      </xdr:nvSpPr>
      <xdr:spPr>
        <a:xfrm>
          <a:off x="165287" y="364041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3" name="Connecteur droit 2">
          <a:extLst>
            <a:ext uri="{FF2B5EF4-FFF2-40B4-BE49-F238E27FC236}">
              <a16:creationId xmlns:a16="http://schemas.microsoft.com/office/drawing/2014/main" id="{00000000-0008-0000-0E00-000003000000}"/>
            </a:ext>
          </a:extLst>
        </xdr:cNvPr>
        <xdr:cNvCxnSpPr/>
      </xdr:nvCxnSpPr>
      <xdr:spPr>
        <a:xfrm>
          <a:off x="9525" y="1524000"/>
          <a:ext cx="3476625" cy="8953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3" name="Connecteur droit 2">
          <a:extLst>
            <a:ext uri="{FF2B5EF4-FFF2-40B4-BE49-F238E27FC236}">
              <a16:creationId xmlns:a16="http://schemas.microsoft.com/office/drawing/2014/main" id="{00000000-0008-0000-0F00-000003000000}"/>
            </a:ext>
          </a:extLst>
        </xdr:cNvPr>
        <xdr:cNvCxnSpPr/>
      </xdr:nvCxnSpPr>
      <xdr:spPr>
        <a:xfrm>
          <a:off x="19050" y="1524000"/>
          <a:ext cx="3019425" cy="10191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3" name="Connecteur droit 2">
          <a:extLst>
            <a:ext uri="{FF2B5EF4-FFF2-40B4-BE49-F238E27FC236}">
              <a16:creationId xmlns:a16="http://schemas.microsoft.com/office/drawing/2014/main" id="{00000000-0008-0000-1000-000003000000}"/>
            </a:ext>
          </a:extLst>
        </xdr:cNvPr>
        <xdr:cNvCxnSpPr/>
      </xdr:nvCxnSpPr>
      <xdr:spPr>
        <a:xfrm>
          <a:off x="0" y="1704975"/>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3" name="Connecteur droit 2">
          <a:extLst>
            <a:ext uri="{FF2B5EF4-FFF2-40B4-BE49-F238E27FC236}">
              <a16:creationId xmlns:a16="http://schemas.microsoft.com/office/drawing/2014/main" id="{00000000-0008-0000-1100-000003000000}"/>
            </a:ext>
          </a:extLst>
        </xdr:cNvPr>
        <xdr:cNvCxnSpPr/>
      </xdr:nvCxnSpPr>
      <xdr:spPr>
        <a:xfrm>
          <a:off x="0" y="1714500"/>
          <a:ext cx="3228975" cy="9620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1200-000002000000}"/>
            </a:ext>
          </a:extLst>
        </xdr:cNvPr>
        <xdr:cNvCxnSpPr/>
      </xdr:nvCxnSpPr>
      <xdr:spPr>
        <a:xfrm>
          <a:off x="0" y="1704975"/>
          <a:ext cx="3743325" cy="7524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3" name="Connecteur droit 2">
          <a:extLst>
            <a:ext uri="{FF2B5EF4-FFF2-40B4-BE49-F238E27FC236}">
              <a16:creationId xmlns:a16="http://schemas.microsoft.com/office/drawing/2014/main" id="{00000000-0008-0000-3300-000003000000}"/>
            </a:ext>
          </a:extLst>
        </xdr:cNvPr>
        <xdr:cNvCxnSpPr/>
      </xdr:nvCxnSpPr>
      <xdr:spPr>
        <a:xfrm>
          <a:off x="266700" y="1695450"/>
          <a:ext cx="2019300" cy="8763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3400-000002000000}"/>
            </a:ext>
          </a:extLst>
        </xdr:cNvPr>
        <xdr:cNvCxnSpPr/>
      </xdr:nvCxnSpPr>
      <xdr:spPr>
        <a:xfrm>
          <a:off x="0" y="1704975"/>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3700-000002000000}"/>
            </a:ext>
          </a:extLst>
        </xdr:cNvPr>
        <xdr:cNvCxnSpPr/>
      </xdr:nvCxnSpPr>
      <xdr:spPr>
        <a:xfrm>
          <a:off x="0" y="1600200"/>
          <a:ext cx="5191125" cy="333375"/>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590550</xdr:colOff>
      <xdr:row>1</xdr:row>
      <xdr:rowOff>19050</xdr:rowOff>
    </xdr:from>
    <xdr:to>
      <xdr:col>4</xdr:col>
      <xdr:colOff>457200</xdr:colOff>
      <xdr:row>4</xdr:row>
      <xdr:rowOff>9525</xdr:rowOff>
    </xdr:to>
    <xdr:pic>
      <xdr:nvPicPr>
        <xdr:cNvPr id="2" name="Image 1" descr="logo dgi">
          <a:extLst>
            <a:ext uri="{FF2B5EF4-FFF2-40B4-BE49-F238E27FC236}">
              <a16:creationId xmlns:a16="http://schemas.microsoft.com/office/drawing/2014/main" id="{00000000-0008-0000-5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9325" y="209550"/>
          <a:ext cx="628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180183</xdr:colOff>
      <xdr:row>10</xdr:row>
      <xdr:rowOff>3</xdr:rowOff>
    </xdr:from>
    <xdr:to>
      <xdr:col>6</xdr:col>
      <xdr:colOff>180976</xdr:colOff>
      <xdr:row>11</xdr:row>
      <xdr:rowOff>794</xdr:rowOff>
    </xdr:to>
    <xdr:cxnSp macro="">
      <xdr:nvCxnSpPr>
        <xdr:cNvPr id="3" name="Connecteur droit 2">
          <a:extLst>
            <a:ext uri="{FF2B5EF4-FFF2-40B4-BE49-F238E27FC236}">
              <a16:creationId xmlns:a16="http://schemas.microsoft.com/office/drawing/2014/main" id="{00000000-0008-0000-5500-000003000000}"/>
            </a:ext>
          </a:extLst>
        </xdr:cNvPr>
        <xdr:cNvCxnSpPr/>
      </xdr:nvCxnSpPr>
      <xdr:spPr>
        <a:xfrm rot="5400000">
          <a:off x="8628859" y="2000252"/>
          <a:ext cx="19129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368778</xdr:colOff>
      <xdr:row>10</xdr:row>
      <xdr:rowOff>3</xdr:rowOff>
    </xdr:from>
    <xdr:to>
      <xdr:col>6</xdr:col>
      <xdr:colOff>369571</xdr:colOff>
      <xdr:row>11</xdr:row>
      <xdr:rowOff>796</xdr:rowOff>
    </xdr:to>
    <xdr:cxnSp macro="">
      <xdr:nvCxnSpPr>
        <xdr:cNvPr id="4" name="Connecteur droit 3">
          <a:extLst>
            <a:ext uri="{FF2B5EF4-FFF2-40B4-BE49-F238E27FC236}">
              <a16:creationId xmlns:a16="http://schemas.microsoft.com/office/drawing/2014/main" id="{00000000-0008-0000-5500-000004000000}"/>
            </a:ext>
          </a:extLst>
        </xdr:cNvPr>
        <xdr:cNvCxnSpPr/>
      </xdr:nvCxnSpPr>
      <xdr:spPr>
        <a:xfrm rot="5400000">
          <a:off x="8817453" y="2000253"/>
          <a:ext cx="191293"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750613</xdr:colOff>
      <xdr:row>10</xdr:row>
      <xdr:rowOff>801</xdr:rowOff>
    </xdr:from>
    <xdr:to>
      <xdr:col>6</xdr:col>
      <xdr:colOff>753271</xdr:colOff>
      <xdr:row>11</xdr:row>
      <xdr:rowOff>5179</xdr:rowOff>
    </xdr:to>
    <xdr:cxnSp macro="">
      <xdr:nvCxnSpPr>
        <xdr:cNvPr id="5" name="Connecteur droit 4">
          <a:extLst>
            <a:ext uri="{FF2B5EF4-FFF2-40B4-BE49-F238E27FC236}">
              <a16:creationId xmlns:a16="http://schemas.microsoft.com/office/drawing/2014/main" id="{00000000-0008-0000-5500-000005000000}"/>
            </a:ext>
          </a:extLst>
        </xdr:cNvPr>
        <xdr:cNvCxnSpPr/>
      </xdr:nvCxnSpPr>
      <xdr:spPr>
        <a:xfrm rot="5400000">
          <a:off x="9122228" y="2001911"/>
          <a:ext cx="194878" cy="265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160020</xdr:colOff>
      <xdr:row>10</xdr:row>
      <xdr:rowOff>799</xdr:rowOff>
    </xdr:from>
    <xdr:to>
      <xdr:col>7</xdr:col>
      <xdr:colOff>160819</xdr:colOff>
      <xdr:row>11</xdr:row>
      <xdr:rowOff>1</xdr:rowOff>
    </xdr:to>
    <xdr:cxnSp macro="">
      <xdr:nvCxnSpPr>
        <xdr:cNvPr id="6" name="Connecteur droit 5">
          <a:extLst>
            <a:ext uri="{FF2B5EF4-FFF2-40B4-BE49-F238E27FC236}">
              <a16:creationId xmlns:a16="http://schemas.microsoft.com/office/drawing/2014/main" id="{00000000-0008-0000-5500-000006000000}"/>
            </a:ext>
          </a:extLst>
        </xdr:cNvPr>
        <xdr:cNvCxnSpPr/>
      </xdr:nvCxnSpPr>
      <xdr:spPr>
        <a:xfrm rot="5400000">
          <a:off x="9285769" y="2000250"/>
          <a:ext cx="189702" cy="7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340203</xdr:colOff>
      <xdr:row>10</xdr:row>
      <xdr:rowOff>3478</xdr:rowOff>
    </xdr:from>
    <xdr:to>
      <xdr:col>7</xdr:col>
      <xdr:colOff>340203</xdr:colOff>
      <xdr:row>11</xdr:row>
      <xdr:rowOff>799</xdr:rowOff>
    </xdr:to>
    <xdr:cxnSp macro="">
      <xdr:nvCxnSpPr>
        <xdr:cNvPr id="7" name="Connecteur droit 6">
          <a:extLst>
            <a:ext uri="{FF2B5EF4-FFF2-40B4-BE49-F238E27FC236}">
              <a16:creationId xmlns:a16="http://schemas.microsoft.com/office/drawing/2014/main" id="{00000000-0008-0000-5500-000007000000}"/>
            </a:ext>
          </a:extLst>
        </xdr:cNvPr>
        <xdr:cNvCxnSpPr/>
      </xdr:nvCxnSpPr>
      <xdr:spPr>
        <a:xfrm rot="5400000">
          <a:off x="9466492" y="2002389"/>
          <a:ext cx="18782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545740</xdr:colOff>
      <xdr:row>10</xdr:row>
      <xdr:rowOff>3478</xdr:rowOff>
    </xdr:from>
    <xdr:to>
      <xdr:col>7</xdr:col>
      <xdr:colOff>548639</xdr:colOff>
      <xdr:row>11</xdr:row>
      <xdr:rowOff>4</xdr:rowOff>
    </xdr:to>
    <xdr:cxnSp macro="">
      <xdr:nvCxnSpPr>
        <xdr:cNvPr id="8" name="Connecteur droit 7">
          <a:extLst>
            <a:ext uri="{FF2B5EF4-FFF2-40B4-BE49-F238E27FC236}">
              <a16:creationId xmlns:a16="http://schemas.microsoft.com/office/drawing/2014/main" id="{00000000-0008-0000-5500-000008000000}"/>
            </a:ext>
          </a:extLst>
        </xdr:cNvPr>
        <xdr:cNvCxnSpPr/>
      </xdr:nvCxnSpPr>
      <xdr:spPr>
        <a:xfrm rot="16200000" flipH="1">
          <a:off x="9673877" y="2000541"/>
          <a:ext cx="187026" cy="28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739721</xdr:colOff>
      <xdr:row>9</xdr:row>
      <xdr:rowOff>187440</xdr:rowOff>
    </xdr:from>
    <xdr:to>
      <xdr:col>7</xdr:col>
      <xdr:colOff>739721</xdr:colOff>
      <xdr:row>11</xdr:row>
      <xdr:rowOff>1794</xdr:rowOff>
    </xdr:to>
    <xdr:cxnSp macro="">
      <xdr:nvCxnSpPr>
        <xdr:cNvPr id="9" name="Connecteur droit 8">
          <a:extLst>
            <a:ext uri="{FF2B5EF4-FFF2-40B4-BE49-F238E27FC236}">
              <a16:creationId xmlns:a16="http://schemas.microsoft.com/office/drawing/2014/main" id="{00000000-0008-0000-5500-000009000000}"/>
            </a:ext>
          </a:extLst>
        </xdr:cNvPr>
        <xdr:cNvCxnSpPr/>
      </xdr:nvCxnSpPr>
      <xdr:spPr>
        <a:xfrm rot="5400000">
          <a:off x="9862244" y="1999617"/>
          <a:ext cx="19535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180975</xdr:colOff>
      <xdr:row>10</xdr:row>
      <xdr:rowOff>11429</xdr:rowOff>
    </xdr:from>
    <xdr:to>
      <xdr:col>2</xdr:col>
      <xdr:colOff>180976</xdr:colOff>
      <xdr:row>10</xdr:row>
      <xdr:rowOff>171471</xdr:rowOff>
    </xdr:to>
    <xdr:cxnSp macro="">
      <xdr:nvCxnSpPr>
        <xdr:cNvPr id="10" name="Connecteur droit 9">
          <a:extLst>
            <a:ext uri="{FF2B5EF4-FFF2-40B4-BE49-F238E27FC236}">
              <a16:creationId xmlns:a16="http://schemas.microsoft.com/office/drawing/2014/main" id="{00000000-0008-0000-5500-00000A000000}"/>
            </a:ext>
          </a:extLst>
        </xdr:cNvPr>
        <xdr:cNvCxnSpPr/>
      </xdr:nvCxnSpPr>
      <xdr:spPr>
        <a:xfrm rot="16200000" flipH="1">
          <a:off x="4768205" y="1996449"/>
          <a:ext cx="160042"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528797</xdr:colOff>
      <xdr:row>10</xdr:row>
      <xdr:rowOff>29371</xdr:rowOff>
    </xdr:from>
    <xdr:to>
      <xdr:col>2</xdr:col>
      <xdr:colOff>530385</xdr:colOff>
      <xdr:row>10</xdr:row>
      <xdr:rowOff>170574</xdr:rowOff>
    </xdr:to>
    <xdr:cxnSp macro="">
      <xdr:nvCxnSpPr>
        <xdr:cNvPr id="11" name="Connecteur droit 10">
          <a:extLst>
            <a:ext uri="{FF2B5EF4-FFF2-40B4-BE49-F238E27FC236}">
              <a16:creationId xmlns:a16="http://schemas.microsoft.com/office/drawing/2014/main" id="{00000000-0008-0000-5500-00000B000000}"/>
            </a:ext>
          </a:extLst>
        </xdr:cNvPr>
        <xdr:cNvCxnSpPr/>
      </xdr:nvCxnSpPr>
      <xdr:spPr>
        <a:xfrm rot="5400000">
          <a:off x="5126239" y="2004179"/>
          <a:ext cx="141203"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150494</xdr:colOff>
      <xdr:row>10</xdr:row>
      <xdr:rowOff>28578</xdr:rowOff>
    </xdr:from>
    <xdr:to>
      <xdr:col>3</xdr:col>
      <xdr:colOff>151287</xdr:colOff>
      <xdr:row>10</xdr:row>
      <xdr:rowOff>169024</xdr:rowOff>
    </xdr:to>
    <xdr:cxnSp macro="">
      <xdr:nvCxnSpPr>
        <xdr:cNvPr id="12" name="Connecteur droit 11">
          <a:extLst>
            <a:ext uri="{FF2B5EF4-FFF2-40B4-BE49-F238E27FC236}">
              <a16:creationId xmlns:a16="http://schemas.microsoft.com/office/drawing/2014/main" id="{00000000-0008-0000-5500-00000C000000}"/>
            </a:ext>
          </a:extLst>
        </xdr:cNvPr>
        <xdr:cNvCxnSpPr/>
      </xdr:nvCxnSpPr>
      <xdr:spPr>
        <a:xfrm rot="16200000" flipH="1">
          <a:off x="5519443" y="2003404"/>
          <a:ext cx="140446"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737235</xdr:colOff>
      <xdr:row>10</xdr:row>
      <xdr:rowOff>11429</xdr:rowOff>
    </xdr:from>
    <xdr:to>
      <xdr:col>3</xdr:col>
      <xdr:colOff>740514</xdr:colOff>
      <xdr:row>10</xdr:row>
      <xdr:rowOff>170667</xdr:rowOff>
    </xdr:to>
    <xdr:cxnSp macro="">
      <xdr:nvCxnSpPr>
        <xdr:cNvPr id="13" name="Connecteur droit 12">
          <a:extLst>
            <a:ext uri="{FF2B5EF4-FFF2-40B4-BE49-F238E27FC236}">
              <a16:creationId xmlns:a16="http://schemas.microsoft.com/office/drawing/2014/main" id="{00000000-0008-0000-5500-00000D000000}"/>
            </a:ext>
          </a:extLst>
        </xdr:cNvPr>
        <xdr:cNvCxnSpPr/>
      </xdr:nvCxnSpPr>
      <xdr:spPr>
        <a:xfrm rot="16200000" flipH="1">
          <a:off x="6098031" y="1994408"/>
          <a:ext cx="159238" cy="327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360045</xdr:colOff>
      <xdr:row>10</xdr:row>
      <xdr:rowOff>28574</xdr:rowOff>
    </xdr:from>
    <xdr:to>
      <xdr:col>2</xdr:col>
      <xdr:colOff>360046</xdr:colOff>
      <xdr:row>10</xdr:row>
      <xdr:rowOff>188522</xdr:rowOff>
    </xdr:to>
    <xdr:cxnSp macro="">
      <xdr:nvCxnSpPr>
        <xdr:cNvPr id="14" name="Connecteur droit 13">
          <a:extLst>
            <a:ext uri="{FF2B5EF4-FFF2-40B4-BE49-F238E27FC236}">
              <a16:creationId xmlns:a16="http://schemas.microsoft.com/office/drawing/2014/main" id="{00000000-0008-0000-5500-00000E000000}"/>
            </a:ext>
          </a:extLst>
        </xdr:cNvPr>
        <xdr:cNvCxnSpPr/>
      </xdr:nvCxnSpPr>
      <xdr:spPr>
        <a:xfrm rot="16200000" flipH="1">
          <a:off x="494732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727710</xdr:colOff>
      <xdr:row>10</xdr:row>
      <xdr:rowOff>28574</xdr:rowOff>
    </xdr:from>
    <xdr:to>
      <xdr:col>2</xdr:col>
      <xdr:colOff>727711</xdr:colOff>
      <xdr:row>10</xdr:row>
      <xdr:rowOff>188522</xdr:rowOff>
    </xdr:to>
    <xdr:cxnSp macro="">
      <xdr:nvCxnSpPr>
        <xdr:cNvPr id="15" name="Connecteur droit 14">
          <a:extLst>
            <a:ext uri="{FF2B5EF4-FFF2-40B4-BE49-F238E27FC236}">
              <a16:creationId xmlns:a16="http://schemas.microsoft.com/office/drawing/2014/main" id="{00000000-0008-0000-5500-00000F000000}"/>
            </a:ext>
          </a:extLst>
        </xdr:cNvPr>
        <xdr:cNvCxnSpPr/>
      </xdr:nvCxnSpPr>
      <xdr:spPr>
        <a:xfrm rot="16200000" flipH="1">
          <a:off x="5314987"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358140</xdr:colOff>
      <xdr:row>10</xdr:row>
      <xdr:rowOff>28574</xdr:rowOff>
    </xdr:from>
    <xdr:to>
      <xdr:col>3</xdr:col>
      <xdr:colOff>358141</xdr:colOff>
      <xdr:row>10</xdr:row>
      <xdr:rowOff>188522</xdr:rowOff>
    </xdr:to>
    <xdr:cxnSp macro="">
      <xdr:nvCxnSpPr>
        <xdr:cNvPr id="16" name="Connecteur droit 15">
          <a:extLst>
            <a:ext uri="{FF2B5EF4-FFF2-40B4-BE49-F238E27FC236}">
              <a16:creationId xmlns:a16="http://schemas.microsoft.com/office/drawing/2014/main" id="{00000000-0008-0000-5500-000010000000}"/>
            </a:ext>
          </a:extLst>
        </xdr:cNvPr>
        <xdr:cNvCxnSpPr/>
      </xdr:nvCxnSpPr>
      <xdr:spPr>
        <a:xfrm rot="16200000" flipH="1">
          <a:off x="571694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529590</xdr:colOff>
      <xdr:row>10</xdr:row>
      <xdr:rowOff>28574</xdr:rowOff>
    </xdr:from>
    <xdr:to>
      <xdr:col>3</xdr:col>
      <xdr:colOff>529591</xdr:colOff>
      <xdr:row>10</xdr:row>
      <xdr:rowOff>188522</xdr:rowOff>
    </xdr:to>
    <xdr:cxnSp macro="">
      <xdr:nvCxnSpPr>
        <xdr:cNvPr id="17" name="Connecteur droit 16">
          <a:extLst>
            <a:ext uri="{FF2B5EF4-FFF2-40B4-BE49-F238E27FC236}">
              <a16:creationId xmlns:a16="http://schemas.microsoft.com/office/drawing/2014/main" id="{00000000-0008-0000-5500-000011000000}"/>
            </a:ext>
          </a:extLst>
        </xdr:cNvPr>
        <xdr:cNvCxnSpPr/>
      </xdr:nvCxnSpPr>
      <xdr:spPr>
        <a:xfrm rot="16200000" flipH="1">
          <a:off x="588839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160020</xdr:colOff>
      <xdr:row>10</xdr:row>
      <xdr:rowOff>11429</xdr:rowOff>
    </xdr:from>
    <xdr:to>
      <xdr:col>4</xdr:col>
      <xdr:colOff>160021</xdr:colOff>
      <xdr:row>10</xdr:row>
      <xdr:rowOff>171471</xdr:rowOff>
    </xdr:to>
    <xdr:cxnSp macro="">
      <xdr:nvCxnSpPr>
        <xdr:cNvPr id="18" name="Connecteur droit 17">
          <a:extLst>
            <a:ext uri="{FF2B5EF4-FFF2-40B4-BE49-F238E27FC236}">
              <a16:creationId xmlns:a16="http://schemas.microsoft.com/office/drawing/2014/main" id="{00000000-0008-0000-5500-000012000000}"/>
            </a:ext>
          </a:extLst>
        </xdr:cNvPr>
        <xdr:cNvCxnSpPr/>
      </xdr:nvCxnSpPr>
      <xdr:spPr>
        <a:xfrm rot="16200000" flipH="1">
          <a:off x="6280775" y="1996449"/>
          <a:ext cx="160042"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587853</xdr:colOff>
      <xdr:row>9</xdr:row>
      <xdr:rowOff>182883</xdr:rowOff>
    </xdr:from>
    <xdr:to>
      <xdr:col>6</xdr:col>
      <xdr:colOff>588646</xdr:colOff>
      <xdr:row>10</xdr:row>
      <xdr:rowOff>183674</xdr:rowOff>
    </xdr:to>
    <xdr:cxnSp macro="">
      <xdr:nvCxnSpPr>
        <xdr:cNvPr id="19" name="Connecteur droit 18">
          <a:extLst>
            <a:ext uri="{FF2B5EF4-FFF2-40B4-BE49-F238E27FC236}">
              <a16:creationId xmlns:a16="http://schemas.microsoft.com/office/drawing/2014/main" id="{00000000-0008-0000-5500-000013000000}"/>
            </a:ext>
          </a:extLst>
        </xdr:cNvPr>
        <xdr:cNvCxnSpPr/>
      </xdr:nvCxnSpPr>
      <xdr:spPr>
        <a:xfrm rot="5400000">
          <a:off x="9036529" y="1992632"/>
          <a:ext cx="19129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7</xdr:row>
      <xdr:rowOff>28575</xdr:rowOff>
    </xdr:from>
    <xdr:to>
      <xdr:col>3</xdr:col>
      <xdr:colOff>312478</xdr:colOff>
      <xdr:row>7</xdr:row>
      <xdr:rowOff>163930</xdr:rowOff>
    </xdr:to>
    <xdr:sp macro="" textlink="">
      <xdr:nvSpPr>
        <xdr:cNvPr id="20" name="Rectangle 19">
          <a:extLst>
            <a:ext uri="{FF2B5EF4-FFF2-40B4-BE49-F238E27FC236}">
              <a16:creationId xmlns:a16="http://schemas.microsoft.com/office/drawing/2014/main" id="{00000000-0008-0000-5500-000014000000}"/>
            </a:ext>
          </a:extLst>
        </xdr:cNvPr>
        <xdr:cNvSpPr/>
      </xdr:nvSpPr>
      <xdr:spPr>
        <a:xfrm>
          <a:off x="5448300" y="1362075"/>
          <a:ext cx="302953" cy="135355"/>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6</xdr:col>
      <xdr:colOff>142875</xdr:colOff>
      <xdr:row>7</xdr:row>
      <xdr:rowOff>11430</xdr:rowOff>
    </xdr:from>
    <xdr:to>
      <xdr:col>6</xdr:col>
      <xdr:colOff>445828</xdr:colOff>
      <xdr:row>7</xdr:row>
      <xdr:rowOff>164510</xdr:rowOff>
    </xdr:to>
    <xdr:sp macro="" textlink="">
      <xdr:nvSpPr>
        <xdr:cNvPr id="21" name="Rectangle 20">
          <a:extLst>
            <a:ext uri="{FF2B5EF4-FFF2-40B4-BE49-F238E27FC236}">
              <a16:creationId xmlns:a16="http://schemas.microsoft.com/office/drawing/2014/main" id="{00000000-0008-0000-5500-000015000000}"/>
            </a:ext>
          </a:extLst>
        </xdr:cNvPr>
        <xdr:cNvSpPr/>
      </xdr:nvSpPr>
      <xdr:spPr>
        <a:xfrm>
          <a:off x="8686800" y="1344930"/>
          <a:ext cx="302953" cy="15308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3</xdr:col>
      <xdr:colOff>236220</xdr:colOff>
      <xdr:row>23</xdr:row>
      <xdr:rowOff>85726</xdr:rowOff>
    </xdr:from>
    <xdr:to>
      <xdr:col>3</xdr:col>
      <xdr:colOff>453406</xdr:colOff>
      <xdr:row>24</xdr:row>
      <xdr:rowOff>123826</xdr:rowOff>
    </xdr:to>
    <xdr:sp macro="" textlink="">
      <xdr:nvSpPr>
        <xdr:cNvPr id="22" name="Rectangle 21">
          <a:extLst>
            <a:ext uri="{FF2B5EF4-FFF2-40B4-BE49-F238E27FC236}">
              <a16:creationId xmlns:a16="http://schemas.microsoft.com/office/drawing/2014/main" id="{00000000-0008-0000-5500-000016000000}"/>
            </a:ext>
          </a:extLst>
        </xdr:cNvPr>
        <xdr:cNvSpPr/>
      </xdr:nvSpPr>
      <xdr:spPr>
        <a:xfrm>
          <a:off x="5674995" y="4238626"/>
          <a:ext cx="217186"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4</xdr:col>
      <xdr:colOff>331470</xdr:colOff>
      <xdr:row>24</xdr:row>
      <xdr:rowOff>1</xdr:rowOff>
    </xdr:from>
    <xdr:to>
      <xdr:col>4</xdr:col>
      <xdr:colOff>558099</xdr:colOff>
      <xdr:row>24</xdr:row>
      <xdr:rowOff>133351</xdr:rowOff>
    </xdr:to>
    <xdr:sp macro="" textlink="">
      <xdr:nvSpPr>
        <xdr:cNvPr id="23" name="Rectangle 22">
          <a:extLst>
            <a:ext uri="{FF2B5EF4-FFF2-40B4-BE49-F238E27FC236}">
              <a16:creationId xmlns:a16="http://schemas.microsoft.com/office/drawing/2014/main" id="{00000000-0008-0000-5500-000017000000}"/>
            </a:ext>
          </a:extLst>
        </xdr:cNvPr>
        <xdr:cNvSpPr/>
      </xdr:nvSpPr>
      <xdr:spPr>
        <a:xfrm>
          <a:off x="6532245" y="4248151"/>
          <a:ext cx="226629"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TILSATEUR\Documents\DOCS%20DCF\BUREAU%20TOSHIBA%202018\DCF\DCF%202019\SYSCOHADA%20REVISE%20MARS%202019\Liasse%20NORMAL%20V13-1-2019%20%20%20%20BF-FINALE%20-DA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ERTURE"/>
      <sheetName val="GARDE"/>
      <sheetName val="RECEVABILITE"/>
      <sheetName val="NOTE36 (TABLE DES CODES)"/>
      <sheetName val="NOTE36 Suite (Nomenclature)"/>
      <sheetName val="FICHE R1"/>
      <sheetName val="FICHE R2"/>
      <sheetName val="FICHE R3"/>
      <sheetName val="BILAN"/>
      <sheetName val="ACTIF"/>
      <sheetName val="PASSIF"/>
      <sheetName val="RESULTAT"/>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GARDE (DGI)"/>
      <sheetName val="Liste ETATS SUPPL DGI"/>
      <sheetName val="SUPPL1-CHARGES"/>
      <sheetName val="SUPPL2-PRODUITS"/>
      <sheetName val="SUPPL3-TVA (1)"/>
      <sheetName val="SUPPL4-TVA (2)"/>
      <sheetName val="SUPPL5"/>
      <sheetName val="SUPPL6"/>
      <sheetName val="SUPPL7"/>
      <sheetName val="SUPPL8"/>
      <sheetName val="SUPPL9"/>
      <sheetName val="SUPPL10"/>
      <sheetName val="SUPPL  11"/>
      <sheetName val="SUPPL12"/>
      <sheetName val="SUPPL13"/>
      <sheetName val="SUPPL14"/>
      <sheetName val="SUPPL15"/>
      <sheetName val="SUPPL16"/>
      <sheetName val="SUPPL17"/>
      <sheetName val="SUPPL18"/>
      <sheetName val="SUPPL 19 COMMENTAIRE"/>
      <sheetName val="SUPPL20 RESULTAT FISCAL"/>
      <sheetName val="SUPPL21 BAV"/>
      <sheetName val="PAGE GARDE COMMENTAIRES"/>
      <sheetName val="PAGE GARDE IS"/>
      <sheetName val="PAGE GARDE IBICA "/>
      <sheetName val="PAGE GARDE B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K31"/>
  <sheetViews>
    <sheetView showGridLines="0" workbookViewId="0">
      <selection activeCell="F4" sqref="F4:I4"/>
    </sheetView>
  </sheetViews>
  <sheetFormatPr baseColWidth="10" defaultColWidth="11.453125" defaultRowHeight="14.5"/>
  <cols>
    <col min="1" max="1" width="1.453125" customWidth="1"/>
    <col min="2" max="2" width="0.81640625" customWidth="1"/>
    <col min="3" max="3" width="1.453125" customWidth="1"/>
    <col min="4" max="4" width="8.54296875" customWidth="1"/>
    <col min="5" max="5" width="10.54296875" customWidth="1"/>
    <col min="8" max="8" width="13.1796875" customWidth="1"/>
    <col min="10" max="10" width="8.54296875" customWidth="1"/>
    <col min="12" max="12" width="1.453125" customWidth="1"/>
    <col min="13" max="13" width="0.81640625" customWidth="1"/>
  </cols>
  <sheetData>
    <row r="1" spans="1:11" ht="3.75" customHeight="1" thickBot="1">
      <c r="A1" s="448"/>
      <c r="B1" s="448"/>
      <c r="C1" s="448"/>
      <c r="D1" s="448"/>
      <c r="E1" s="448"/>
      <c r="F1" s="448"/>
      <c r="G1" s="448"/>
      <c r="H1" s="448"/>
      <c r="I1" s="448"/>
      <c r="J1" s="448"/>
      <c r="K1" s="448"/>
    </row>
    <row r="2" spans="1:11" ht="4.5" customHeight="1">
      <c r="A2" s="448"/>
      <c r="B2" s="651"/>
      <c r="C2" s="652"/>
      <c r="D2" s="652"/>
      <c r="E2" s="652"/>
      <c r="F2" s="652"/>
      <c r="G2" s="652"/>
      <c r="H2" s="652"/>
      <c r="I2" s="652"/>
      <c r="J2" s="652"/>
      <c r="K2" s="652"/>
    </row>
    <row r="3" spans="1:11">
      <c r="A3" s="448"/>
      <c r="B3" s="653"/>
      <c r="C3" s="1173"/>
      <c r="D3" s="1174"/>
      <c r="E3" s="654"/>
      <c r="F3" s="654"/>
      <c r="G3" s="654"/>
      <c r="H3" s="654"/>
      <c r="I3" s="654"/>
      <c r="J3" s="654"/>
      <c r="K3" s="654"/>
    </row>
    <row r="4" spans="1:11" ht="17.5">
      <c r="A4" s="448"/>
      <c r="B4" s="653"/>
      <c r="C4" s="1170"/>
      <c r="D4" s="1171"/>
      <c r="F4" s="1175" t="s">
        <v>2014</v>
      </c>
      <c r="G4" s="1175"/>
      <c r="H4" s="1175"/>
      <c r="I4" s="1175"/>
      <c r="K4" s="608"/>
    </row>
    <row r="5" spans="1:11">
      <c r="A5" s="448"/>
      <c r="B5" s="653"/>
      <c r="C5" s="1170"/>
      <c r="D5" s="1171"/>
      <c r="F5" s="655"/>
      <c r="G5" s="655"/>
      <c r="H5" s="655"/>
      <c r="I5" s="448"/>
      <c r="K5" s="448"/>
    </row>
    <row r="6" spans="1:11" ht="15.5">
      <c r="A6" s="448"/>
      <c r="B6" s="653"/>
      <c r="C6" s="1176" t="s">
        <v>2015</v>
      </c>
      <c r="D6" s="1172"/>
      <c r="E6" s="1172"/>
      <c r="F6" s="1172"/>
      <c r="G6" s="1172"/>
      <c r="H6" s="1172"/>
      <c r="I6" s="1172"/>
      <c r="J6" s="1172"/>
      <c r="K6" s="1172"/>
    </row>
    <row r="7" spans="1:11">
      <c r="A7" s="448"/>
      <c r="B7" s="653"/>
      <c r="C7" s="1170"/>
      <c r="D7" s="1171"/>
      <c r="F7" s="655"/>
      <c r="G7" s="655"/>
      <c r="H7" s="655"/>
      <c r="I7" s="448"/>
      <c r="K7" s="448"/>
    </row>
    <row r="8" spans="1:11" ht="15.5">
      <c r="A8" s="448"/>
      <c r="B8" s="653"/>
      <c r="C8" s="1170"/>
      <c r="D8" s="1171"/>
      <c r="F8" s="1172" t="s">
        <v>0</v>
      </c>
      <c r="G8" s="1172"/>
      <c r="H8" s="1172"/>
      <c r="I8" s="1172"/>
      <c r="K8" s="608"/>
    </row>
    <row r="9" spans="1:11">
      <c r="A9" s="448"/>
      <c r="B9" s="653"/>
      <c r="C9" s="1170"/>
      <c r="D9" s="1171"/>
      <c r="E9" s="448"/>
      <c r="F9" s="448"/>
      <c r="G9" s="448"/>
      <c r="H9" s="448"/>
      <c r="I9" s="448"/>
      <c r="J9" s="448"/>
      <c r="K9" s="448"/>
    </row>
    <row r="10" spans="1:11">
      <c r="A10" s="448"/>
      <c r="B10" s="653"/>
      <c r="C10" s="1170"/>
      <c r="D10" s="1171"/>
      <c r="E10" s="448"/>
      <c r="F10" s="448"/>
      <c r="G10" s="448"/>
      <c r="H10" s="448"/>
      <c r="I10" s="448"/>
      <c r="J10" s="448"/>
      <c r="K10" s="448"/>
    </row>
    <row r="11" spans="1:11">
      <c r="A11" s="448"/>
      <c r="B11" s="653"/>
      <c r="C11" s="1170"/>
      <c r="D11" s="1171"/>
      <c r="E11" s="448"/>
      <c r="F11" s="448"/>
      <c r="G11" s="448"/>
      <c r="H11" s="448"/>
      <c r="I11" s="448"/>
      <c r="J11" s="448" t="s">
        <v>1470</v>
      </c>
      <c r="K11" s="448"/>
    </row>
    <row r="12" spans="1:11">
      <c r="A12" s="448"/>
      <c r="B12" s="653"/>
      <c r="C12" s="1170"/>
      <c r="D12" s="1171"/>
      <c r="E12" s="448"/>
      <c r="F12" s="448"/>
      <c r="G12" s="448"/>
      <c r="H12" s="448"/>
      <c r="I12" s="448"/>
      <c r="J12" s="448"/>
      <c r="K12" s="448"/>
    </row>
    <row r="13" spans="1:11">
      <c r="A13" s="448"/>
      <c r="B13" s="653"/>
      <c r="C13" s="1170"/>
      <c r="D13" s="1171"/>
      <c r="E13" s="448"/>
      <c r="F13" s="448"/>
      <c r="G13" s="448"/>
      <c r="H13" s="448"/>
      <c r="I13" s="448"/>
      <c r="J13" s="448"/>
      <c r="K13" s="448"/>
    </row>
    <row r="14" spans="1:11">
      <c r="A14" s="448"/>
      <c r="B14" s="653"/>
      <c r="C14" s="1170"/>
      <c r="D14" s="1171"/>
      <c r="E14" s="448"/>
      <c r="F14" s="448"/>
      <c r="G14" s="448"/>
      <c r="H14" s="448"/>
      <c r="I14" s="448"/>
      <c r="J14" s="448"/>
      <c r="K14" s="448"/>
    </row>
    <row r="15" spans="1:11">
      <c r="A15" s="448"/>
      <c r="B15" s="653"/>
      <c r="C15" s="1170"/>
      <c r="D15" s="1171"/>
      <c r="E15" s="448"/>
      <c r="F15" s="448"/>
      <c r="G15" s="448"/>
      <c r="H15" s="448"/>
      <c r="I15" s="448"/>
      <c r="J15" s="448"/>
      <c r="K15" s="448"/>
    </row>
    <row r="16" spans="1:11">
      <c r="A16" s="448"/>
      <c r="B16" s="653"/>
      <c r="C16" s="1170"/>
      <c r="D16" s="1171"/>
      <c r="E16" s="448"/>
      <c r="F16" s="448"/>
      <c r="G16" s="448"/>
      <c r="H16" s="448"/>
      <c r="I16" s="448"/>
      <c r="J16" s="448"/>
      <c r="K16" s="448"/>
    </row>
    <row r="17" spans="1:11">
      <c r="A17" s="448"/>
      <c r="B17" s="653"/>
      <c r="C17" s="1170"/>
      <c r="D17" s="1171"/>
      <c r="E17" s="448"/>
      <c r="F17" s="448"/>
      <c r="G17" s="448"/>
      <c r="H17" s="448"/>
      <c r="I17" s="448"/>
      <c r="J17" s="448"/>
      <c r="K17" s="448"/>
    </row>
    <row r="18" spans="1:11">
      <c r="A18" s="448"/>
      <c r="B18" s="653"/>
      <c r="C18" s="1170"/>
      <c r="D18" s="1171"/>
      <c r="E18" s="448"/>
      <c r="F18" s="448"/>
      <c r="G18" s="448"/>
      <c r="H18" s="448"/>
      <c r="I18" s="448"/>
      <c r="J18" s="448"/>
      <c r="K18" s="448"/>
    </row>
    <row r="19" spans="1:11">
      <c r="A19" s="448"/>
      <c r="B19" s="653"/>
      <c r="C19" s="656"/>
      <c r="D19" s="448"/>
      <c r="E19" s="448"/>
      <c r="F19" s="448"/>
      <c r="G19" s="448"/>
      <c r="H19" s="448"/>
      <c r="I19" s="448"/>
      <c r="J19" s="448"/>
      <c r="K19" s="448"/>
    </row>
    <row r="20" spans="1:11">
      <c r="A20" s="448"/>
      <c r="B20" s="653"/>
      <c r="C20" s="656"/>
      <c r="D20" s="448"/>
      <c r="E20" s="448"/>
      <c r="F20" s="448"/>
      <c r="G20" s="448"/>
      <c r="H20" s="448"/>
      <c r="I20" s="448"/>
      <c r="J20" s="448"/>
      <c r="K20" s="448"/>
    </row>
    <row r="21" spans="1:11">
      <c r="A21" s="448"/>
      <c r="B21" s="653"/>
      <c r="C21" s="656"/>
      <c r="D21" s="448"/>
      <c r="E21" s="448"/>
      <c r="F21" s="448"/>
      <c r="G21" s="448"/>
      <c r="H21" s="448"/>
      <c r="I21" s="448"/>
      <c r="J21" s="448"/>
      <c r="K21" s="448"/>
    </row>
    <row r="22" spans="1:11">
      <c r="A22" s="448"/>
      <c r="B22" s="653"/>
      <c r="C22" s="656"/>
      <c r="D22" s="448"/>
      <c r="E22" s="448"/>
      <c r="F22" s="448"/>
      <c r="G22" s="448"/>
      <c r="H22" s="448"/>
      <c r="I22" s="448"/>
      <c r="J22" s="448"/>
      <c r="K22" s="448"/>
    </row>
    <row r="23" spans="1:11">
      <c r="A23" s="448"/>
      <c r="B23" s="653"/>
      <c r="C23" s="656"/>
      <c r="D23" s="448"/>
      <c r="E23" s="448"/>
      <c r="F23" s="448"/>
      <c r="G23" s="448"/>
      <c r="H23" s="448"/>
      <c r="I23" s="448"/>
      <c r="J23" s="448"/>
      <c r="K23" s="448"/>
    </row>
    <row r="24" spans="1:11">
      <c r="A24" s="448"/>
      <c r="B24" s="653"/>
      <c r="C24" s="656"/>
      <c r="D24" s="448"/>
      <c r="E24" s="448"/>
      <c r="F24" s="448"/>
      <c r="G24" s="448"/>
      <c r="H24" s="448"/>
      <c r="I24" s="448"/>
      <c r="J24" s="448"/>
      <c r="K24" s="448"/>
    </row>
    <row r="25" spans="1:11">
      <c r="A25" s="448"/>
      <c r="B25" s="653"/>
      <c r="C25" s="656"/>
      <c r="D25" s="448"/>
      <c r="E25" s="448"/>
      <c r="F25" s="448"/>
      <c r="G25" s="448"/>
      <c r="H25" s="448"/>
      <c r="I25" s="448"/>
      <c r="J25" s="448"/>
      <c r="K25" s="448"/>
    </row>
    <row r="26" spans="1:11">
      <c r="A26" s="448"/>
      <c r="B26" s="653"/>
      <c r="C26" s="656"/>
      <c r="D26" s="448"/>
      <c r="E26" s="1179"/>
      <c r="F26" s="1180"/>
      <c r="G26" s="1180"/>
      <c r="H26" s="1180"/>
      <c r="I26" s="1180"/>
      <c r="J26" s="1180"/>
      <c r="K26" s="448"/>
    </row>
    <row r="27" spans="1:11">
      <c r="A27" s="448"/>
      <c r="B27" s="653"/>
      <c r="C27" s="656"/>
      <c r="D27" s="448"/>
      <c r="E27" s="1180"/>
      <c r="F27" s="1180"/>
      <c r="G27" s="1180"/>
      <c r="H27" s="1180"/>
      <c r="I27" s="1180"/>
      <c r="J27" s="1180"/>
      <c r="K27" s="448"/>
    </row>
    <row r="28" spans="1:11">
      <c r="A28" s="448"/>
      <c r="B28" s="653"/>
      <c r="C28" s="656"/>
      <c r="D28" s="448"/>
      <c r="E28" s="1180"/>
      <c r="F28" s="1180"/>
      <c r="G28" s="1180"/>
      <c r="H28" s="1180"/>
      <c r="I28" s="1180"/>
      <c r="J28" s="1180"/>
      <c r="K28" s="448"/>
    </row>
    <row r="29" spans="1:11">
      <c r="A29" s="448"/>
      <c r="B29" s="653"/>
      <c r="C29" s="656"/>
      <c r="D29" s="448"/>
      <c r="E29" s="1180"/>
      <c r="F29" s="1180"/>
      <c r="G29" s="1180"/>
      <c r="H29" s="1180"/>
      <c r="I29" s="1180"/>
      <c r="J29" s="1180"/>
      <c r="K29" s="448"/>
    </row>
    <row r="30" spans="1:11">
      <c r="A30" s="448"/>
      <c r="B30" s="653"/>
      <c r="C30" s="656"/>
      <c r="D30" s="448"/>
      <c r="K30" s="448"/>
    </row>
    <row r="31" spans="1:11" ht="26">
      <c r="A31" s="448"/>
      <c r="B31" s="653"/>
      <c r="C31" s="656"/>
      <c r="D31" s="448"/>
      <c r="E31" s="1177" t="s">
        <v>1</v>
      </c>
      <c r="F31" s="1178"/>
      <c r="G31" s="1178"/>
      <c r="H31" s="1178"/>
      <c r="I31" s="1178"/>
      <c r="J31" s="1178"/>
      <c r="K31" s="448"/>
    </row>
  </sheetData>
  <sheetProtection selectLockedCells="1"/>
  <mergeCells count="20">
    <mergeCell ref="E31:J31"/>
    <mergeCell ref="C11:D11"/>
    <mergeCell ref="C12:D12"/>
    <mergeCell ref="C13:D13"/>
    <mergeCell ref="C14:D14"/>
    <mergeCell ref="C15:D15"/>
    <mergeCell ref="C16:D16"/>
    <mergeCell ref="C17:D17"/>
    <mergeCell ref="C18:D18"/>
    <mergeCell ref="E26:J29"/>
    <mergeCell ref="C8:D8"/>
    <mergeCell ref="F8:I8"/>
    <mergeCell ref="C9:D9"/>
    <mergeCell ref="C10:D10"/>
    <mergeCell ref="C3:D3"/>
    <mergeCell ref="C4:D4"/>
    <mergeCell ref="F4:I4"/>
    <mergeCell ref="C5:D5"/>
    <mergeCell ref="C6:K6"/>
    <mergeCell ref="C7:D7"/>
  </mergeCells>
  <printOptions horizontalCentered="1" verticalCentered="1"/>
  <pageMargins left="0.51180550000000002" right="0.51180550000000002" top="0.3541667" bottom="0.3541667" header="0.3152778" footer="0.3152778"/>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L48"/>
  <sheetViews>
    <sheetView showGridLines="0" tabSelected="1" topLeftCell="A45" workbookViewId="0">
      <selection activeCell="H67" sqref="H67"/>
    </sheetView>
  </sheetViews>
  <sheetFormatPr baseColWidth="10" defaultColWidth="11.453125" defaultRowHeight="14.5"/>
  <cols>
    <col min="1" max="1" width="1" customWidth="1"/>
    <col min="2" max="2" width="19.81640625" customWidth="1"/>
    <col min="3" max="3" width="11.453125" customWidth="1"/>
    <col min="4" max="4" width="11" customWidth="1"/>
    <col min="5" max="5" width="3.1796875" customWidth="1"/>
    <col min="6" max="7" width="5.1796875" customWidth="1"/>
    <col min="8" max="8" width="3.1796875" customWidth="1"/>
    <col min="9" max="9" width="11" customWidth="1"/>
    <col min="10" max="10" width="11.453125" customWidth="1"/>
    <col min="11" max="11" width="19.81640625" customWidth="1"/>
    <col min="12" max="12" width="1" customWidth="1"/>
  </cols>
  <sheetData>
    <row r="1" spans="1:12">
      <c r="A1" s="19"/>
      <c r="B1" s="20"/>
      <c r="C1" s="20"/>
      <c r="D1" s="20"/>
      <c r="E1" s="20"/>
      <c r="F1" s="20"/>
      <c r="G1" s="20"/>
      <c r="H1" s="20"/>
      <c r="I1" s="20"/>
      <c r="J1" s="20"/>
      <c r="K1" s="20"/>
      <c r="L1" s="21"/>
    </row>
    <row r="2" spans="1:12" ht="19.5" customHeight="1">
      <c r="A2" s="255"/>
      <c r="B2" s="1184" t="s">
        <v>2014</v>
      </c>
      <c r="C2" s="1185"/>
      <c r="D2" s="1185"/>
      <c r="E2" s="1185"/>
      <c r="F2" s="1185"/>
      <c r="G2" s="1185"/>
      <c r="H2" s="1185"/>
      <c r="I2" s="1185"/>
      <c r="J2" s="1185"/>
      <c r="K2" s="1185"/>
      <c r="L2" s="256"/>
    </row>
    <row r="3" spans="1:12" ht="19.5" customHeight="1">
      <c r="A3" s="255"/>
      <c r="B3" s="1186" t="s">
        <v>2016</v>
      </c>
      <c r="C3" s="1186"/>
      <c r="D3" s="1186"/>
      <c r="E3" s="1186"/>
      <c r="F3" s="1186"/>
      <c r="G3" s="1186"/>
      <c r="H3" s="1186"/>
      <c r="I3" s="1186"/>
      <c r="J3" s="1186"/>
      <c r="K3" s="1186"/>
      <c r="L3" s="256"/>
    </row>
    <row r="4" spans="1:12" ht="19.5" customHeight="1">
      <c r="A4" s="255"/>
      <c r="B4" s="1187" t="s">
        <v>0</v>
      </c>
      <c r="C4" s="1187"/>
      <c r="D4" s="1187"/>
      <c r="E4" s="1187"/>
      <c r="F4" s="1187"/>
      <c r="G4" s="1187"/>
      <c r="H4" s="1187"/>
      <c r="I4" s="1187"/>
      <c r="J4" s="1187"/>
      <c r="K4" s="1187"/>
      <c r="L4" s="256"/>
    </row>
    <row r="5" spans="1:12" ht="18" customHeight="1">
      <c r="A5" s="255"/>
      <c r="L5" s="256"/>
    </row>
    <row r="6" spans="1:12" ht="18" customHeight="1">
      <c r="A6" s="255"/>
      <c r="L6" s="256"/>
    </row>
    <row r="7" spans="1:12" ht="18" customHeight="1">
      <c r="A7" s="255"/>
      <c r="L7" s="256"/>
    </row>
    <row r="8" spans="1:12">
      <c r="A8" s="255"/>
      <c r="C8" s="1188" t="s">
        <v>2</v>
      </c>
      <c r="D8" s="1188"/>
      <c r="E8" s="1188"/>
      <c r="F8" s="1188"/>
      <c r="G8" s="1188"/>
      <c r="H8" s="1188"/>
      <c r="I8" s="1188"/>
      <c r="J8" s="1188"/>
      <c r="L8" s="256"/>
    </row>
    <row r="9" spans="1:12">
      <c r="A9" s="255"/>
      <c r="D9" s="1189"/>
      <c r="E9" s="1189"/>
      <c r="F9" s="1189"/>
      <c r="G9" s="1189"/>
      <c r="H9" s="1189"/>
      <c r="I9" s="1189"/>
      <c r="L9" s="256"/>
    </row>
    <row r="10" spans="1:12">
      <c r="A10" s="255"/>
      <c r="L10" s="256"/>
    </row>
    <row r="11" spans="1:12">
      <c r="A11" s="255"/>
      <c r="L11" s="256"/>
    </row>
    <row r="12" spans="1:12" ht="18.75" customHeight="1">
      <c r="A12" s="255"/>
      <c r="C12" s="1190" t="s">
        <v>1425</v>
      </c>
      <c r="D12" s="1190"/>
      <c r="E12" s="1190"/>
      <c r="F12" s="1190"/>
      <c r="G12" s="1190"/>
      <c r="H12" s="1190"/>
      <c r="I12" s="1190"/>
      <c r="J12" s="1190"/>
      <c r="L12" s="256"/>
    </row>
    <row r="13" spans="1:12" ht="18.75" customHeight="1">
      <c r="A13" s="255"/>
      <c r="C13" s="1190"/>
      <c r="D13" s="1190"/>
      <c r="E13" s="1190"/>
      <c r="F13" s="1190"/>
      <c r="G13" s="1190"/>
      <c r="H13" s="1190"/>
      <c r="I13" s="1190"/>
      <c r="J13" s="1190"/>
      <c r="L13" s="256"/>
    </row>
    <row r="14" spans="1:12" ht="18.75" customHeight="1">
      <c r="A14" s="255"/>
      <c r="C14" s="1190"/>
      <c r="D14" s="1190"/>
      <c r="E14" s="1190"/>
      <c r="F14" s="1190"/>
      <c r="G14" s="1190"/>
      <c r="H14" s="1190"/>
      <c r="I14" s="1190"/>
      <c r="J14" s="1190"/>
      <c r="L14" s="256"/>
    </row>
    <row r="15" spans="1:12">
      <c r="A15" s="255"/>
      <c r="L15" s="256"/>
    </row>
    <row r="16" spans="1:12">
      <c r="A16" s="255"/>
      <c r="E16" s="1191" t="s">
        <v>3</v>
      </c>
      <c r="F16" s="1191"/>
      <c r="G16" s="1191"/>
      <c r="H16" s="1191"/>
      <c r="L16" s="256"/>
    </row>
    <row r="17" spans="1:12">
      <c r="A17" s="255"/>
      <c r="E17" s="1189"/>
      <c r="F17" s="1189"/>
      <c r="G17" s="1189"/>
      <c r="H17" s="1189"/>
      <c r="L17" s="256"/>
    </row>
    <row r="18" spans="1:12" ht="20.149999999999999" customHeight="1">
      <c r="A18" s="255"/>
      <c r="L18" s="256"/>
    </row>
    <row r="19" spans="1:12" ht="20.149999999999999" customHeight="1">
      <c r="A19" s="255"/>
      <c r="L19" s="256"/>
    </row>
    <row r="20" spans="1:12" ht="15.5">
      <c r="A20" s="390"/>
      <c r="B20" s="391"/>
      <c r="C20" s="391"/>
      <c r="D20" s="1192" t="s">
        <v>4</v>
      </c>
      <c r="E20" s="1192"/>
      <c r="F20" s="1192"/>
      <c r="G20" s="1192"/>
      <c r="H20" s="1192"/>
      <c r="I20" s="1192"/>
      <c r="J20" s="438"/>
      <c r="K20" s="391"/>
      <c r="L20" s="439"/>
    </row>
    <row r="21" spans="1:12">
      <c r="A21" s="255"/>
      <c r="L21" s="256"/>
    </row>
    <row r="22" spans="1:12" s="1" customFormat="1">
      <c r="A22" s="24"/>
      <c r="B22" s="270" t="s">
        <v>5</v>
      </c>
      <c r="C22" s="570"/>
      <c r="D22" s="1194"/>
      <c r="E22" s="1194"/>
      <c r="F22" s="1194"/>
      <c r="G22" s="1194"/>
      <c r="H22" s="1194"/>
      <c r="I22" s="1194"/>
      <c r="J22" s="1194"/>
      <c r="K22" s="1194"/>
      <c r="L22" s="444"/>
    </row>
    <row r="23" spans="1:12" ht="12.75" customHeight="1">
      <c r="A23" s="255"/>
      <c r="B23" s="440" t="s">
        <v>6</v>
      </c>
      <c r="C23" s="440"/>
      <c r="D23" s="440"/>
      <c r="L23" s="256"/>
    </row>
    <row r="24" spans="1:12">
      <c r="A24" s="255"/>
      <c r="B24" s="1194"/>
      <c r="C24" s="1194"/>
      <c r="D24" s="1194"/>
      <c r="E24" s="1194"/>
      <c r="F24" s="1194"/>
      <c r="G24" s="1194"/>
      <c r="H24" s="1194"/>
      <c r="I24" s="1194"/>
      <c r="J24" s="1194"/>
      <c r="K24" s="1194"/>
      <c r="L24" s="256"/>
    </row>
    <row r="25" spans="1:12" ht="9" customHeight="1">
      <c r="A25" s="255"/>
      <c r="L25" s="256"/>
    </row>
    <row r="26" spans="1:12" s="1" customFormat="1">
      <c r="A26" s="24"/>
      <c r="B26" s="270" t="s">
        <v>7</v>
      </c>
      <c r="C26" s="1194"/>
      <c r="D26" s="1194"/>
      <c r="E26" s="1194"/>
      <c r="F26" s="1194"/>
      <c r="G26" s="1194"/>
      <c r="H26" s="1194"/>
      <c r="I26" s="1194"/>
      <c r="J26" s="1194"/>
      <c r="K26" s="1194"/>
      <c r="L26" s="444"/>
    </row>
    <row r="27" spans="1:12" ht="9" customHeight="1">
      <c r="A27" s="255"/>
      <c r="L27" s="256"/>
    </row>
    <row r="28" spans="1:12" s="1" customFormat="1">
      <c r="A28" s="24"/>
      <c r="B28" s="270" t="s">
        <v>8</v>
      </c>
      <c r="C28" s="1194"/>
      <c r="D28" s="1194"/>
      <c r="E28" s="1194"/>
      <c r="F28" s="1194"/>
      <c r="G28" s="1194"/>
      <c r="H28" s="1194"/>
      <c r="I28" s="1194"/>
      <c r="J28" s="1194"/>
      <c r="K28" s="1194"/>
      <c r="L28" s="444"/>
    </row>
    <row r="29" spans="1:12" ht="9" customHeight="1">
      <c r="A29" s="255"/>
      <c r="L29" s="256"/>
    </row>
    <row r="30" spans="1:12" s="1" customFormat="1">
      <c r="A30" s="24"/>
      <c r="B30" s="270" t="s">
        <v>2017</v>
      </c>
      <c r="C30" s="571"/>
      <c r="D30" s="1194"/>
      <c r="E30" s="1194"/>
      <c r="F30" s="1194"/>
      <c r="G30" s="1194"/>
      <c r="H30" s="1194"/>
      <c r="I30" s="1194"/>
      <c r="J30" s="1194"/>
      <c r="K30" s="1194"/>
      <c r="L30" s="444"/>
    </row>
    <row r="31" spans="1:12" ht="17.25" customHeight="1">
      <c r="A31" s="255"/>
      <c r="B31" s="658" t="s">
        <v>2023</v>
      </c>
      <c r="C31" s="572"/>
      <c r="D31" s="1204"/>
      <c r="E31" s="1204"/>
      <c r="F31" s="1204"/>
      <c r="G31" s="1204"/>
      <c r="H31" s="1204"/>
      <c r="I31" s="1204"/>
      <c r="J31" s="1204"/>
      <c r="K31" s="1204"/>
      <c r="L31" s="256"/>
    </row>
    <row r="32" spans="1:12" ht="30" customHeight="1">
      <c r="A32" s="255"/>
      <c r="B32" s="1205" t="s">
        <v>1214</v>
      </c>
      <c r="C32" s="1205"/>
      <c r="D32" s="1205"/>
      <c r="E32" s="1205"/>
      <c r="F32" s="1205"/>
      <c r="G32" s="1205"/>
      <c r="H32" s="1205"/>
      <c r="I32" s="1205"/>
      <c r="J32" s="1205"/>
      <c r="K32" s="1205"/>
      <c r="L32" s="256"/>
    </row>
    <row r="33" spans="1:12">
      <c r="A33" s="255"/>
      <c r="B33" s="1193" t="s">
        <v>9</v>
      </c>
      <c r="C33" s="1193"/>
      <c r="D33" s="1193"/>
      <c r="E33" s="1193"/>
      <c r="F33" s="1193"/>
      <c r="G33" s="441"/>
      <c r="H33" s="1193" t="s">
        <v>10</v>
      </c>
      <c r="I33" s="1193"/>
      <c r="J33" s="1193"/>
      <c r="K33" s="1193"/>
      <c r="L33" s="256"/>
    </row>
    <row r="34" spans="1:12">
      <c r="A34" s="255"/>
      <c r="H34" s="23"/>
      <c r="I34" s="23"/>
      <c r="J34" s="23"/>
      <c r="K34" s="23"/>
      <c r="L34" s="256"/>
    </row>
    <row r="35" spans="1:12" s="1" customFormat="1" ht="17.25" customHeight="1">
      <c r="A35" s="24"/>
      <c r="B35" s="442" t="s">
        <v>11</v>
      </c>
      <c r="C35" s="443"/>
      <c r="D35" s="443"/>
      <c r="E35" s="443"/>
      <c r="F35" s="194"/>
      <c r="H35" s="1181" t="s">
        <v>12</v>
      </c>
      <c r="I35" s="1182"/>
      <c r="J35" s="1182"/>
      <c r="K35" s="1183"/>
      <c r="L35" s="444"/>
    </row>
    <row r="36" spans="1:12" s="1" customFormat="1" ht="17.25" customHeight="1">
      <c r="A36" s="24"/>
      <c r="B36" s="442" t="s">
        <v>13</v>
      </c>
      <c r="C36" s="443"/>
      <c r="D36" s="443"/>
      <c r="E36" s="443"/>
      <c r="F36" s="194"/>
      <c r="H36" s="1195"/>
      <c r="I36" s="1196"/>
      <c r="J36" s="1196"/>
      <c r="K36" s="1197"/>
      <c r="L36" s="444"/>
    </row>
    <row r="37" spans="1:12" s="1" customFormat="1" ht="17.25" customHeight="1">
      <c r="A37" s="24"/>
      <c r="B37" s="442" t="s">
        <v>14</v>
      </c>
      <c r="C37" s="443"/>
      <c r="D37" s="443"/>
      <c r="E37" s="443"/>
      <c r="F37" s="194"/>
      <c r="H37" s="1195"/>
      <c r="I37" s="1196"/>
      <c r="J37" s="1196"/>
      <c r="K37" s="1197"/>
      <c r="L37" s="444"/>
    </row>
    <row r="38" spans="1:12" s="1" customFormat="1" ht="17.25" customHeight="1">
      <c r="A38" s="24"/>
      <c r="B38" s="442" t="s">
        <v>15</v>
      </c>
      <c r="C38" s="443"/>
      <c r="D38" s="443"/>
      <c r="E38" s="443"/>
      <c r="F38" s="194"/>
      <c r="H38" s="1198"/>
      <c r="I38" s="1199"/>
      <c r="J38" s="1199"/>
      <c r="K38" s="1200"/>
      <c r="L38" s="444"/>
    </row>
    <row r="39" spans="1:12" s="1" customFormat="1" ht="17.25" customHeight="1">
      <c r="A39" s="24"/>
      <c r="B39" s="442" t="s">
        <v>16</v>
      </c>
      <c r="C39" s="443"/>
      <c r="D39" s="443"/>
      <c r="E39" s="443"/>
      <c r="F39" s="194"/>
      <c r="H39" s="1201" t="s">
        <v>17</v>
      </c>
      <c r="I39" s="1202"/>
      <c r="J39" s="1202"/>
      <c r="K39" s="1203"/>
      <c r="L39" s="444"/>
    </row>
    <row r="40" spans="1:12" s="1" customFormat="1" ht="17.25" customHeight="1">
      <c r="A40" s="24"/>
      <c r="B40" s="442" t="s">
        <v>1426</v>
      </c>
      <c r="C40" s="443"/>
      <c r="D40" s="443"/>
      <c r="E40" s="443"/>
      <c r="F40" s="194"/>
      <c r="H40" s="1195"/>
      <c r="I40" s="1196"/>
      <c r="J40" s="1196"/>
      <c r="K40" s="1197"/>
      <c r="L40" s="444"/>
    </row>
    <row r="41" spans="1:12">
      <c r="A41" s="255"/>
      <c r="B41" s="445"/>
      <c r="F41" s="446"/>
      <c r="H41" s="1195"/>
      <c r="I41" s="1196"/>
      <c r="J41" s="1196"/>
      <c r="K41" s="1197"/>
      <c r="L41" s="256"/>
    </row>
    <row r="42" spans="1:12">
      <c r="A42" s="255"/>
      <c r="B42" s="445"/>
      <c r="F42" s="446"/>
      <c r="H42" s="1195"/>
      <c r="I42" s="1196"/>
      <c r="J42" s="1196"/>
      <c r="K42" s="1197"/>
      <c r="L42" s="256"/>
    </row>
    <row r="43" spans="1:12">
      <c r="A43" s="255"/>
      <c r="B43" s="445"/>
      <c r="F43" s="446"/>
      <c r="H43" s="1198"/>
      <c r="I43" s="1199"/>
      <c r="J43" s="1199"/>
      <c r="K43" s="1200"/>
      <c r="L43" s="256"/>
    </row>
    <row r="44" spans="1:12">
      <c r="A44" s="255"/>
      <c r="B44" s="442" t="s">
        <v>18</v>
      </c>
      <c r="C44" s="391"/>
      <c r="D44" s="391"/>
      <c r="E44" s="391"/>
      <c r="F44" s="195"/>
      <c r="H44" s="1181" t="s">
        <v>19</v>
      </c>
      <c r="I44" s="1182"/>
      <c r="J44" s="1182"/>
      <c r="K44" s="1183"/>
      <c r="L44" s="256"/>
    </row>
    <row r="45" spans="1:12">
      <c r="A45" s="255"/>
      <c r="B45" s="447" t="s">
        <v>20</v>
      </c>
      <c r="C45" s="20"/>
      <c r="D45" s="20"/>
      <c r="E45" s="20"/>
      <c r="F45" s="196"/>
      <c r="H45" s="255"/>
      <c r="I45" s="448"/>
      <c r="K45" s="256"/>
      <c r="L45" s="256"/>
    </row>
    <row r="46" spans="1:12">
      <c r="A46" s="255"/>
      <c r="B46" s="390"/>
      <c r="C46" s="391"/>
      <c r="D46" s="391"/>
      <c r="E46" s="391"/>
      <c r="F46" s="439"/>
      <c r="H46" s="22"/>
      <c r="I46" s="344"/>
      <c r="J46" s="344"/>
      <c r="K46" s="347"/>
      <c r="L46" s="256"/>
    </row>
    <row r="47" spans="1:12" ht="7.5" customHeight="1">
      <c r="A47" s="255"/>
      <c r="L47" s="256"/>
    </row>
    <row r="48" spans="1:12" ht="9" customHeight="1">
      <c r="A48" s="22"/>
      <c r="B48" s="344"/>
      <c r="C48" s="344"/>
      <c r="D48" s="344"/>
      <c r="E48" s="344"/>
      <c r="F48" s="344"/>
      <c r="G48" s="344"/>
      <c r="H48" s="344"/>
      <c r="I48" s="344"/>
      <c r="J48" s="344"/>
      <c r="K48" s="344"/>
      <c r="L48" s="347"/>
    </row>
  </sheetData>
  <sheetProtection selectLockedCells="1"/>
  <mergeCells count="23">
    <mergeCell ref="C28:K28"/>
    <mergeCell ref="B24:K24"/>
    <mergeCell ref="H36:K38"/>
    <mergeCell ref="H40:K43"/>
    <mergeCell ref="H39:K39"/>
    <mergeCell ref="D31:K31"/>
    <mergeCell ref="B32:K32"/>
    <mergeCell ref="H44:K44"/>
    <mergeCell ref="H35:K35"/>
    <mergeCell ref="B2:K2"/>
    <mergeCell ref="B3:K3"/>
    <mergeCell ref="B4:K4"/>
    <mergeCell ref="C8:J8"/>
    <mergeCell ref="D9:I9"/>
    <mergeCell ref="C12:J14"/>
    <mergeCell ref="E16:H16"/>
    <mergeCell ref="E17:H17"/>
    <mergeCell ref="D20:I20"/>
    <mergeCell ref="B33:F33"/>
    <mergeCell ref="H33:K33"/>
    <mergeCell ref="D22:K22"/>
    <mergeCell ref="C26:K26"/>
    <mergeCell ref="D30:K30"/>
  </mergeCells>
  <printOptions horizontalCentered="1" verticalCentered="1"/>
  <pageMargins left="0.31496062992125984" right="0.31496062992125984" top="0.35433070866141736" bottom="0.35433070866141736"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workbookViewId="0">
      <selection activeCell="B5" sqref="B5:H5"/>
    </sheetView>
  </sheetViews>
  <sheetFormatPr baseColWidth="10" defaultRowHeight="14.5"/>
  <cols>
    <col min="1" max="1" width="3.54296875" customWidth="1"/>
    <col min="2" max="2" width="17.453125" customWidth="1"/>
    <col min="3" max="3" width="11.1796875" customWidth="1"/>
    <col min="4" max="5" width="4.54296875" customWidth="1"/>
    <col min="7" max="7" width="12.54296875" customWidth="1"/>
    <col min="8" max="8" width="15" customWidth="1"/>
    <col min="9" max="10" width="4.54296875" customWidth="1"/>
  </cols>
  <sheetData>
    <row r="1" spans="1:10" ht="15.5">
      <c r="A1" s="1208" t="s">
        <v>183</v>
      </c>
      <c r="B1" s="1208"/>
      <c r="C1" s="1208"/>
      <c r="D1" s="1208"/>
      <c r="E1" s="1208"/>
      <c r="F1" s="1208"/>
      <c r="G1" s="1208"/>
      <c r="H1" s="1208"/>
      <c r="I1" s="1208"/>
      <c r="J1" s="705"/>
    </row>
    <row r="2" spans="1:10" ht="15.5">
      <c r="A2" s="1209"/>
      <c r="B2" s="1209"/>
      <c r="C2" s="1209"/>
      <c r="D2" s="1209"/>
      <c r="E2" s="1209"/>
      <c r="F2" s="1209"/>
      <c r="G2" s="1209"/>
      <c r="H2" s="1209"/>
      <c r="I2" s="1209"/>
      <c r="J2" s="706"/>
    </row>
    <row r="3" spans="1:10" ht="15.5">
      <c r="A3" s="1210" t="s">
        <v>22</v>
      </c>
      <c r="B3" s="1210"/>
      <c r="C3" s="1210"/>
      <c r="D3" s="1210"/>
      <c r="E3" s="1210"/>
      <c r="F3" s="1210"/>
      <c r="G3" s="1210"/>
      <c r="H3" s="1210"/>
      <c r="I3" s="1210"/>
      <c r="J3" s="707"/>
    </row>
    <row r="4" spans="1:10" ht="15.5">
      <c r="A4" s="708"/>
      <c r="B4" s="709"/>
      <c r="C4" s="709"/>
      <c r="D4" s="709"/>
      <c r="E4" s="709"/>
      <c r="F4" s="709"/>
      <c r="G4" s="709"/>
      <c r="H4" s="709"/>
      <c r="I4" s="709"/>
      <c r="J4" s="709"/>
    </row>
    <row r="5" spans="1:10" ht="15.5">
      <c r="A5" s="710"/>
      <c r="B5" s="1207" t="s">
        <v>2129</v>
      </c>
      <c r="C5" s="1207"/>
      <c r="D5" s="1207"/>
      <c r="E5" s="1207"/>
      <c r="F5" s="1207"/>
      <c r="G5" s="1207"/>
      <c r="H5" s="1207"/>
      <c r="I5" s="1211"/>
      <c r="J5" s="1211"/>
    </row>
    <row r="6" spans="1:10" ht="15.5">
      <c r="A6" s="711"/>
      <c r="B6" s="711"/>
      <c r="C6" s="711"/>
      <c r="D6" s="711"/>
      <c r="E6" s="711"/>
      <c r="F6" s="711"/>
      <c r="G6" s="711"/>
      <c r="H6" s="711"/>
      <c r="I6" s="711"/>
      <c r="J6" s="711"/>
    </row>
    <row r="7" spans="1:10" ht="15.5">
      <c r="A7" s="712"/>
      <c r="B7" s="711" t="s">
        <v>2130</v>
      </c>
      <c r="C7" s="711"/>
      <c r="D7" s="713"/>
      <c r="E7" s="713"/>
      <c r="F7" s="711"/>
      <c r="G7" s="711"/>
      <c r="H7" s="711"/>
      <c r="I7" s="711"/>
      <c r="J7" s="711"/>
    </row>
    <row r="8" spans="1:10" ht="15.5">
      <c r="A8" s="712"/>
      <c r="B8" s="711"/>
      <c r="C8" s="711"/>
      <c r="D8" s="714"/>
      <c r="E8" s="713"/>
      <c r="F8" s="712"/>
      <c r="G8" s="711"/>
      <c r="H8" s="711"/>
      <c r="I8" s="715"/>
      <c r="J8" s="715"/>
    </row>
    <row r="9" spans="1:10" ht="15.5">
      <c r="A9" s="712"/>
      <c r="B9" s="711" t="s">
        <v>2131</v>
      </c>
      <c r="C9" s="711"/>
      <c r="D9" s="713"/>
      <c r="E9" s="713"/>
      <c r="F9" s="712"/>
      <c r="G9" s="711"/>
      <c r="H9" s="711"/>
      <c r="I9" s="714"/>
      <c r="J9" s="714"/>
    </row>
    <row r="10" spans="1:10" ht="15.5">
      <c r="A10" s="712"/>
      <c r="B10" s="711"/>
      <c r="C10" s="711"/>
      <c r="D10" s="714"/>
      <c r="E10" s="713"/>
      <c r="F10" s="712"/>
      <c r="G10" s="711"/>
      <c r="H10" s="711"/>
      <c r="I10" s="713"/>
      <c r="J10" s="713"/>
    </row>
    <row r="11" spans="1:10" ht="15.5">
      <c r="A11" s="712"/>
      <c r="B11" s="711" t="s">
        <v>2132</v>
      </c>
      <c r="C11" s="711"/>
      <c r="D11" s="713"/>
      <c r="E11" s="713"/>
      <c r="F11" s="712"/>
      <c r="G11" s="711"/>
      <c r="H11" s="711"/>
      <c r="I11" s="714"/>
      <c r="J11" s="714"/>
    </row>
    <row r="12" spans="1:10" ht="15.5">
      <c r="A12" s="712"/>
      <c r="B12" s="711"/>
      <c r="C12" s="711"/>
      <c r="D12" s="714"/>
      <c r="E12" s="713"/>
      <c r="F12" s="712"/>
      <c r="G12" s="711"/>
      <c r="H12" s="711"/>
      <c r="I12" s="714"/>
      <c r="J12" s="713"/>
    </row>
    <row r="13" spans="1:10" ht="15.5">
      <c r="A13" s="712"/>
      <c r="B13" s="711" t="s">
        <v>2133</v>
      </c>
      <c r="C13" s="711"/>
      <c r="D13" s="713"/>
      <c r="E13" s="713"/>
      <c r="F13" s="716"/>
      <c r="G13" s="711"/>
      <c r="H13" s="711"/>
      <c r="I13" s="717"/>
      <c r="J13" s="717"/>
    </row>
    <row r="14" spans="1:10" ht="15.5">
      <c r="A14" s="712"/>
      <c r="B14" s="711"/>
      <c r="C14" s="711"/>
      <c r="D14" s="714"/>
      <c r="E14" s="713"/>
      <c r="F14" s="716"/>
      <c r="G14" s="711"/>
      <c r="H14" s="711"/>
      <c r="I14" s="713"/>
      <c r="J14" s="713"/>
    </row>
    <row r="15" spans="1:10" ht="15.5">
      <c r="A15" s="712"/>
      <c r="B15" s="711" t="s">
        <v>2134</v>
      </c>
      <c r="C15" s="711"/>
      <c r="D15" s="713"/>
      <c r="E15" s="713"/>
      <c r="F15" s="718"/>
      <c r="G15" s="711"/>
      <c r="H15" s="711"/>
      <c r="I15" s="714"/>
      <c r="J15" s="713"/>
    </row>
    <row r="16" spans="1:10" ht="15.5">
      <c r="A16" s="712"/>
      <c r="B16" s="711"/>
      <c r="C16" s="711"/>
      <c r="D16" s="714"/>
      <c r="E16" s="713"/>
      <c r="F16" s="716"/>
      <c r="G16" s="711"/>
      <c r="H16" s="711"/>
      <c r="I16" s="713"/>
      <c r="J16" s="713"/>
    </row>
    <row r="17" spans="1:10" ht="15.5">
      <c r="A17" s="712"/>
      <c r="B17" s="711" t="s">
        <v>2135</v>
      </c>
      <c r="C17" s="711"/>
      <c r="D17" s="713"/>
      <c r="E17" s="713"/>
      <c r="F17" s="716"/>
      <c r="G17" s="711"/>
      <c r="H17" s="711"/>
      <c r="I17" s="719"/>
      <c r="J17" s="719"/>
    </row>
    <row r="18" spans="1:10" ht="15.5">
      <c r="A18" s="712"/>
      <c r="B18" s="711"/>
      <c r="C18" s="711"/>
      <c r="D18" s="714"/>
      <c r="E18" s="713"/>
      <c r="F18" s="716"/>
      <c r="G18" s="711"/>
      <c r="H18" s="711"/>
      <c r="I18" s="713"/>
      <c r="J18" s="713"/>
    </row>
    <row r="19" spans="1:10" ht="15.5">
      <c r="A19" s="712"/>
      <c r="B19" s="711"/>
      <c r="C19" s="711"/>
      <c r="D19" s="713"/>
      <c r="E19" s="713"/>
      <c r="F19" s="716"/>
      <c r="G19" s="711"/>
      <c r="H19" s="711"/>
      <c r="I19" s="713"/>
      <c r="J19" s="713"/>
    </row>
    <row r="20" spans="1:10" ht="15.5">
      <c r="A20" s="712"/>
      <c r="B20" s="1211" t="s">
        <v>1427</v>
      </c>
      <c r="C20" s="1211"/>
      <c r="D20" s="1211"/>
      <c r="E20" s="1211"/>
      <c r="F20" s="1211"/>
      <c r="G20" s="1211"/>
      <c r="H20" s="1211"/>
      <c r="I20" s="710"/>
      <c r="J20" s="710"/>
    </row>
    <row r="21" spans="1:10" ht="15.5">
      <c r="A21" s="712"/>
      <c r="B21" s="711"/>
      <c r="C21" s="711"/>
      <c r="D21" s="713"/>
      <c r="E21" s="713"/>
      <c r="F21" s="718"/>
      <c r="G21" s="711"/>
      <c r="H21" s="711"/>
      <c r="I21" s="714"/>
      <c r="J21" s="713"/>
    </row>
    <row r="22" spans="1:10" ht="15.5">
      <c r="A22" s="712"/>
      <c r="B22" s="711" t="s">
        <v>2136</v>
      </c>
      <c r="C22" s="711"/>
      <c r="D22" s="714"/>
      <c r="E22" s="713"/>
      <c r="F22" s="712"/>
      <c r="G22" s="711"/>
      <c r="H22" s="711"/>
      <c r="I22" s="713"/>
      <c r="J22" s="713"/>
    </row>
    <row r="23" spans="1:10" ht="15.5">
      <c r="A23" s="712"/>
      <c r="B23" s="711"/>
      <c r="C23" s="711"/>
      <c r="D23" s="713"/>
      <c r="E23" s="713"/>
      <c r="F23" s="712"/>
      <c r="G23" s="711"/>
      <c r="H23" s="711"/>
      <c r="I23" s="714"/>
      <c r="J23" s="713"/>
    </row>
    <row r="24" spans="1:10" ht="15.5">
      <c r="A24" s="712"/>
      <c r="B24" s="1206" t="s">
        <v>2137</v>
      </c>
      <c r="C24" s="1206"/>
      <c r="D24" s="1206"/>
      <c r="E24" s="1206"/>
      <c r="F24" s="1206"/>
      <c r="G24" s="1206"/>
      <c r="H24" s="1206"/>
      <c r="I24" s="713"/>
      <c r="J24" s="713"/>
    </row>
    <row r="25" spans="1:10" ht="15.5">
      <c r="A25" s="712"/>
      <c r="B25" s="711"/>
      <c r="C25" s="711"/>
      <c r="D25" s="713"/>
      <c r="E25" s="713"/>
      <c r="F25" s="712"/>
      <c r="G25" s="711"/>
      <c r="H25" s="711"/>
      <c r="I25" s="717"/>
      <c r="J25" s="717"/>
    </row>
    <row r="26" spans="1:10" ht="15.5">
      <c r="A26" s="712"/>
      <c r="B26" s="711" t="s">
        <v>2132</v>
      </c>
      <c r="C26" s="711"/>
      <c r="D26" s="713"/>
      <c r="E26" s="713"/>
      <c r="F26" s="716"/>
      <c r="G26" s="711"/>
      <c r="H26" s="711"/>
      <c r="I26" s="713"/>
      <c r="J26" s="713"/>
    </row>
    <row r="27" spans="1:10" ht="15.5">
      <c r="A27" s="720"/>
      <c r="B27" s="711"/>
      <c r="C27" s="711"/>
      <c r="D27" s="713"/>
      <c r="E27" s="713"/>
      <c r="F27" s="716"/>
      <c r="G27" s="711"/>
      <c r="H27" s="711"/>
      <c r="I27" s="713"/>
      <c r="J27" s="713"/>
    </row>
    <row r="28" spans="1:10" ht="15.5">
      <c r="A28" s="712"/>
      <c r="B28" s="711" t="s">
        <v>2134</v>
      </c>
      <c r="C28" s="711"/>
      <c r="D28" s="713"/>
      <c r="E28" s="713"/>
      <c r="F28" s="712"/>
      <c r="G28" s="711"/>
      <c r="H28" s="711"/>
      <c r="I28" s="713"/>
      <c r="J28" s="713"/>
    </row>
    <row r="29" spans="1:10" ht="15.5">
      <c r="A29" s="712"/>
      <c r="B29" s="711"/>
      <c r="C29" s="711"/>
      <c r="D29" s="713"/>
      <c r="E29" s="713"/>
      <c r="F29" s="716"/>
      <c r="G29" s="711"/>
      <c r="H29" s="711"/>
      <c r="I29" s="713"/>
      <c r="J29" s="713"/>
    </row>
    <row r="30" spans="1:10" ht="15.5">
      <c r="A30" s="712"/>
      <c r="B30" s="711" t="s">
        <v>2135</v>
      </c>
      <c r="C30" s="711"/>
      <c r="D30" s="713"/>
      <c r="E30" s="713"/>
      <c r="F30" s="712"/>
      <c r="G30" s="711"/>
      <c r="H30" s="711"/>
      <c r="I30" s="717"/>
      <c r="J30" s="717"/>
    </row>
    <row r="31" spans="1:10" ht="15.5">
      <c r="A31" s="712"/>
      <c r="B31" s="711"/>
      <c r="C31" s="711"/>
      <c r="D31" s="713"/>
      <c r="E31" s="713"/>
      <c r="F31" s="712"/>
      <c r="G31" s="711"/>
      <c r="H31" s="711"/>
      <c r="I31" s="713"/>
      <c r="J31" s="717"/>
    </row>
    <row r="32" spans="1:10" ht="15.5">
      <c r="A32" s="712"/>
      <c r="B32" s="711"/>
      <c r="C32" s="711"/>
      <c r="D32" s="713"/>
      <c r="E32" s="713"/>
      <c r="F32" s="712"/>
      <c r="G32" s="711"/>
      <c r="H32" s="711"/>
      <c r="I32" s="717"/>
      <c r="J32" s="717"/>
    </row>
    <row r="33" spans="1:10" ht="15.5">
      <c r="A33" s="712"/>
      <c r="B33" s="1207" t="s">
        <v>23</v>
      </c>
      <c r="C33" s="1207"/>
      <c r="D33" s="1207"/>
      <c r="E33" s="1207"/>
      <c r="F33" s="1207"/>
      <c r="G33" s="1207"/>
      <c r="H33" s="1207"/>
      <c r="I33" s="714"/>
      <c r="J33" s="714"/>
    </row>
    <row r="34" spans="1:10" ht="15.5">
      <c r="A34" s="712"/>
      <c r="B34" s="711"/>
      <c r="C34" s="711"/>
      <c r="D34" s="713"/>
      <c r="E34" s="713"/>
      <c r="F34" s="712"/>
      <c r="G34" s="711"/>
      <c r="H34" s="711"/>
      <c r="I34" s="713"/>
      <c r="J34" s="713"/>
    </row>
    <row r="35" spans="1:10" ht="15.5">
      <c r="A35" s="712"/>
      <c r="B35" s="1206" t="s">
        <v>2138</v>
      </c>
      <c r="C35" s="1206"/>
      <c r="D35" s="1206"/>
      <c r="E35" s="1206"/>
      <c r="F35" s="1206"/>
      <c r="G35" s="1206"/>
      <c r="H35" s="1206"/>
      <c r="I35" s="1206"/>
      <c r="J35" s="713"/>
    </row>
    <row r="36" spans="1:10" ht="15.5">
      <c r="A36" s="720"/>
      <c r="B36" s="711"/>
      <c r="C36" s="711"/>
      <c r="D36" s="714"/>
      <c r="E36" s="714"/>
      <c r="F36" s="712"/>
      <c r="G36" s="711"/>
      <c r="H36" s="711"/>
      <c r="I36" s="714"/>
      <c r="J36" s="714"/>
    </row>
    <row r="37" spans="1:10" ht="15.5">
      <c r="A37" s="711"/>
      <c r="B37" s="1206" t="s">
        <v>2139</v>
      </c>
      <c r="C37" s="1206"/>
      <c r="D37" s="1206"/>
      <c r="E37" s="1206"/>
      <c r="F37" s="1206"/>
      <c r="G37" s="1206"/>
      <c r="H37" s="1206"/>
      <c r="I37" s="1206"/>
      <c r="J37" s="711"/>
    </row>
  </sheetData>
  <mergeCells count="10">
    <mergeCell ref="B24:H24"/>
    <mergeCell ref="B33:H33"/>
    <mergeCell ref="B35:I35"/>
    <mergeCell ref="B37:I37"/>
    <mergeCell ref="A1:I1"/>
    <mergeCell ref="A2:I2"/>
    <mergeCell ref="A3:I3"/>
    <mergeCell ref="B5:H5"/>
    <mergeCell ref="I5:J5"/>
    <mergeCell ref="B20:H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J46"/>
  <sheetViews>
    <sheetView showGridLines="0" topLeftCell="A20" workbookViewId="0">
      <selection activeCell="B2" sqref="B1:B1048576"/>
    </sheetView>
  </sheetViews>
  <sheetFormatPr baseColWidth="10" defaultColWidth="11.453125" defaultRowHeight="14.5"/>
  <cols>
    <col min="2" max="2" width="13.81640625" customWidth="1"/>
    <col min="3" max="3" width="11.1796875" customWidth="1"/>
    <col min="4" max="5" width="4.54296875" customWidth="1"/>
    <col min="7" max="8" width="11.54296875" customWidth="1"/>
    <col min="9" max="10" width="4.54296875" customWidth="1"/>
  </cols>
  <sheetData>
    <row r="1" spans="1:10" ht="15" customHeight="1">
      <c r="A1" s="1217" t="s">
        <v>183</v>
      </c>
      <c r="B1" s="1217"/>
      <c r="C1" s="1217"/>
      <c r="D1" s="1217"/>
      <c r="E1" s="1217"/>
      <c r="F1" s="1217"/>
      <c r="G1" s="1217"/>
      <c r="H1" s="1217"/>
      <c r="I1" s="1217"/>
      <c r="J1" s="1217"/>
    </row>
    <row r="2" spans="1:10" ht="25" customHeight="1">
      <c r="A2" s="40"/>
      <c r="B2" s="40"/>
      <c r="C2" s="40"/>
      <c r="D2" s="40"/>
      <c r="E2" s="40"/>
      <c r="F2" s="40"/>
      <c r="H2" s="1218" t="s">
        <v>1661</v>
      </c>
      <c r="I2" s="1219"/>
      <c r="J2" s="1220"/>
    </row>
    <row r="3" spans="1:10">
      <c r="A3" s="7" t="s">
        <v>26</v>
      </c>
      <c r="B3" s="7"/>
      <c r="C3" s="1221">
        <f>GARDE!D22</f>
        <v>0</v>
      </c>
      <c r="D3" s="1221"/>
      <c r="E3" s="1221"/>
      <c r="F3" s="1221"/>
      <c r="G3" s="1221"/>
      <c r="H3" s="1221"/>
      <c r="I3" s="1221"/>
      <c r="J3" s="1221"/>
    </row>
    <row r="4" spans="1:10">
      <c r="A4" s="7" t="s">
        <v>27</v>
      </c>
      <c r="B4" s="1221">
        <f>GARDE!C28</f>
        <v>0</v>
      </c>
      <c r="C4" s="1221"/>
      <c r="D4" s="1221"/>
      <c r="E4" s="1221"/>
      <c r="F4" s="1221"/>
      <c r="G4" s="1221"/>
      <c r="H4" s="374" t="s">
        <v>1534</v>
      </c>
      <c r="I4" s="1214">
        <f>GARDE!C26</f>
        <v>0</v>
      </c>
      <c r="J4" s="1214"/>
    </row>
    <row r="5" spans="1:10">
      <c r="A5" s="1222" t="s">
        <v>2018</v>
      </c>
      <c r="B5" s="1222"/>
      <c r="C5" s="1223">
        <f>GARDE!D30</f>
        <v>0</v>
      </c>
      <c r="D5" s="1223"/>
      <c r="E5" s="1224" t="s">
        <v>30</v>
      </c>
      <c r="F5" s="1224"/>
      <c r="G5" s="365">
        <f>GARDE!E17</f>
        <v>0</v>
      </c>
      <c r="H5" s="7" t="s">
        <v>31</v>
      </c>
      <c r="I5" s="1215">
        <f>'FICHE R1'!U5</f>
        <v>0</v>
      </c>
      <c r="J5" s="1215"/>
    </row>
    <row r="6" spans="1:10">
      <c r="A6" s="268" t="s">
        <v>2024</v>
      </c>
      <c r="B6" s="268"/>
      <c r="C6" s="1216">
        <f>GARDE!D31</f>
        <v>0</v>
      </c>
      <c r="D6" s="1216"/>
      <c r="E6" s="1216"/>
      <c r="F6" s="269"/>
      <c r="G6" s="59"/>
      <c r="H6" s="59"/>
      <c r="I6" s="270"/>
      <c r="J6" s="44"/>
    </row>
    <row r="7" spans="1:10" ht="38.25" customHeight="1">
      <c r="A7" s="1212" t="s">
        <v>1535</v>
      </c>
      <c r="B7" s="1169"/>
      <c r="C7" s="1169"/>
      <c r="D7" s="1169"/>
      <c r="E7" s="1169"/>
      <c r="F7" s="1169"/>
      <c r="G7" s="1169"/>
      <c r="H7" s="1169"/>
      <c r="I7" s="1169"/>
      <c r="J7" s="1169"/>
    </row>
    <row r="8" spans="1:10" ht="3" customHeight="1">
      <c r="A8" s="436"/>
      <c r="B8" s="437"/>
      <c r="C8" s="437"/>
      <c r="D8" s="437"/>
      <c r="E8" s="437"/>
      <c r="F8" s="437"/>
      <c r="G8" s="437"/>
      <c r="H8" s="437"/>
      <c r="I8" s="437"/>
      <c r="J8" s="437"/>
    </row>
    <row r="9" spans="1:10" s="449" customFormat="1" ht="22.5" customHeight="1">
      <c r="A9" s="1213" t="s">
        <v>1541</v>
      </c>
      <c r="B9" s="1213"/>
      <c r="C9" s="1213"/>
      <c r="D9" s="1213"/>
      <c r="E9" s="1213"/>
      <c r="F9" s="1213" t="s">
        <v>1536</v>
      </c>
      <c r="G9" s="1213"/>
      <c r="H9" s="1213"/>
      <c r="I9" s="1213"/>
      <c r="J9" s="1213"/>
    </row>
    <row r="10" spans="1:10">
      <c r="A10" s="255"/>
      <c r="D10" s="322"/>
      <c r="E10" s="322"/>
      <c r="I10" s="322"/>
      <c r="J10" s="322"/>
    </row>
    <row r="11" spans="1:10">
      <c r="A11" s="257" t="s">
        <v>1430</v>
      </c>
      <c r="D11" s="326" t="s">
        <v>1385</v>
      </c>
      <c r="E11" s="326" t="s">
        <v>1385</v>
      </c>
      <c r="I11" s="323"/>
      <c r="J11" s="323"/>
    </row>
    <row r="12" spans="1:10">
      <c r="A12" s="257"/>
      <c r="D12" s="325"/>
      <c r="E12" s="326"/>
      <c r="F12" s="254" t="s">
        <v>1422</v>
      </c>
      <c r="I12" s="324"/>
      <c r="J12" s="324"/>
    </row>
    <row r="13" spans="1:10">
      <c r="A13" s="257" t="s">
        <v>1386</v>
      </c>
      <c r="D13" s="326" t="s">
        <v>1385</v>
      </c>
      <c r="E13" s="326" t="s">
        <v>1387</v>
      </c>
      <c r="F13" s="254"/>
      <c r="I13" s="325"/>
      <c r="J13" s="325"/>
    </row>
    <row r="14" spans="1:10">
      <c r="A14" s="257"/>
      <c r="D14" s="325"/>
      <c r="E14" s="326"/>
      <c r="F14" s="254" t="s">
        <v>1423</v>
      </c>
      <c r="I14" s="326"/>
      <c r="J14" s="326"/>
    </row>
    <row r="15" spans="1:10">
      <c r="A15" s="257" t="s">
        <v>1388</v>
      </c>
      <c r="D15" s="326" t="s">
        <v>1385</v>
      </c>
      <c r="E15" s="326" t="s">
        <v>1389</v>
      </c>
      <c r="F15" s="254"/>
      <c r="I15" s="325"/>
      <c r="J15" s="325"/>
    </row>
    <row r="16" spans="1:10">
      <c r="A16" s="257"/>
      <c r="D16" s="325"/>
      <c r="E16" s="326"/>
      <c r="F16" s="254" t="s">
        <v>1424</v>
      </c>
      <c r="I16" s="325"/>
      <c r="J16" s="326"/>
    </row>
    <row r="17" spans="1:10">
      <c r="A17" s="257" t="s">
        <v>1390</v>
      </c>
      <c r="D17" s="326" t="s">
        <v>1385</v>
      </c>
      <c r="E17" s="326" t="s">
        <v>198</v>
      </c>
      <c r="F17" s="258" t="s">
        <v>1391</v>
      </c>
      <c r="I17" s="327" t="s">
        <v>1389</v>
      </c>
      <c r="J17" s="327" t="s">
        <v>1385</v>
      </c>
    </row>
    <row r="18" spans="1:10">
      <c r="A18" s="257"/>
      <c r="D18" s="325"/>
      <c r="E18" s="326"/>
      <c r="F18" s="258" t="s">
        <v>1392</v>
      </c>
      <c r="I18" s="326" t="s">
        <v>1389</v>
      </c>
      <c r="J18" s="326" t="s">
        <v>1387</v>
      </c>
    </row>
    <row r="19" spans="1:10">
      <c r="A19" s="257" t="s">
        <v>1393</v>
      </c>
      <c r="D19" s="326" t="s">
        <v>1385</v>
      </c>
      <c r="E19" s="326" t="s">
        <v>1394</v>
      </c>
      <c r="F19" s="229"/>
      <c r="I19" s="325"/>
      <c r="J19" s="326"/>
    </row>
    <row r="20" spans="1:10">
      <c r="A20" s="257"/>
      <c r="D20" s="325"/>
      <c r="E20" s="326"/>
      <c r="F20" s="258" t="s">
        <v>1395</v>
      </c>
      <c r="I20" s="326" t="s">
        <v>1389</v>
      </c>
      <c r="J20" s="326" t="s">
        <v>1389</v>
      </c>
    </row>
    <row r="21" spans="1:10">
      <c r="A21" s="257" t="s">
        <v>1396</v>
      </c>
      <c r="D21" s="326" t="s">
        <v>1385</v>
      </c>
      <c r="E21" s="326" t="s">
        <v>1397</v>
      </c>
      <c r="F21" s="258"/>
      <c r="I21" s="328"/>
      <c r="J21" s="328"/>
    </row>
    <row r="22" spans="1:10">
      <c r="A22" s="257"/>
      <c r="D22" s="325"/>
      <c r="E22" s="326"/>
      <c r="F22" s="258" t="s">
        <v>1398</v>
      </c>
      <c r="I22" s="326" t="s">
        <v>1389</v>
      </c>
      <c r="J22" s="326" t="s">
        <v>198</v>
      </c>
    </row>
    <row r="23" spans="1:10">
      <c r="A23" s="257" t="s">
        <v>1399</v>
      </c>
      <c r="D23" s="326" t="s">
        <v>1385</v>
      </c>
      <c r="E23" s="326" t="s">
        <v>1400</v>
      </c>
      <c r="F23" s="258"/>
      <c r="I23" s="326"/>
      <c r="J23" s="326"/>
    </row>
    <row r="24" spans="1:10">
      <c r="A24" s="257"/>
      <c r="D24" s="325"/>
      <c r="E24" s="326"/>
      <c r="F24" s="258" t="s">
        <v>1401</v>
      </c>
      <c r="I24" s="326" t="s">
        <v>198</v>
      </c>
      <c r="J24" s="326" t="s">
        <v>1402</v>
      </c>
    </row>
    <row r="25" spans="1:10">
      <c r="A25" s="257" t="s">
        <v>1403</v>
      </c>
      <c r="D25" s="326" t="s">
        <v>1385</v>
      </c>
      <c r="E25" s="326" t="s">
        <v>1404</v>
      </c>
      <c r="F25" s="229"/>
      <c r="I25" s="325"/>
      <c r="J25" s="326"/>
    </row>
    <row r="26" spans="1:10">
      <c r="A26" s="257"/>
      <c r="D26" s="325"/>
      <c r="E26" s="326"/>
      <c r="F26" s="254" t="s">
        <v>1405</v>
      </c>
      <c r="I26" s="326" t="s">
        <v>1394</v>
      </c>
      <c r="J26" s="326" t="s">
        <v>1385</v>
      </c>
    </row>
    <row r="27" spans="1:10">
      <c r="A27" s="257" t="s">
        <v>1406</v>
      </c>
      <c r="D27" s="326" t="s">
        <v>1385</v>
      </c>
      <c r="E27" s="326" t="s">
        <v>1407</v>
      </c>
      <c r="F27" s="254"/>
      <c r="I27" s="325"/>
      <c r="J27" s="326"/>
    </row>
    <row r="28" spans="1:10">
      <c r="A28" s="257"/>
      <c r="D28" s="325"/>
      <c r="E28" s="326"/>
      <c r="F28" s="254" t="s">
        <v>1408</v>
      </c>
      <c r="I28" s="326" t="s">
        <v>1394</v>
      </c>
      <c r="J28" s="326" t="s">
        <v>1387</v>
      </c>
    </row>
    <row r="29" spans="1:10">
      <c r="A29" s="257" t="s">
        <v>1409</v>
      </c>
      <c r="D29" s="326" t="s">
        <v>1385</v>
      </c>
      <c r="E29" s="326" t="s">
        <v>1402</v>
      </c>
      <c r="F29" s="254" t="s">
        <v>1410</v>
      </c>
      <c r="I29" s="327" t="s">
        <v>1394</v>
      </c>
      <c r="J29" s="327" t="s">
        <v>198</v>
      </c>
    </row>
    <row r="30" spans="1:10">
      <c r="A30" s="257"/>
      <c r="D30" s="326"/>
      <c r="E30" s="326"/>
      <c r="F30" s="258" t="s">
        <v>1411</v>
      </c>
      <c r="I30" s="326" t="s">
        <v>1394</v>
      </c>
      <c r="J30" s="326" t="s">
        <v>1402</v>
      </c>
    </row>
    <row r="31" spans="1:10">
      <c r="A31" s="259" t="s">
        <v>1412</v>
      </c>
      <c r="D31" s="326"/>
      <c r="E31" s="326"/>
      <c r="F31" s="258"/>
      <c r="I31" s="326"/>
      <c r="J31" s="326"/>
    </row>
    <row r="32" spans="1:10">
      <c r="A32" s="257"/>
      <c r="D32" s="326"/>
      <c r="E32" s="326"/>
      <c r="F32" s="254" t="s">
        <v>1413</v>
      </c>
      <c r="I32" s="326" t="s">
        <v>1397</v>
      </c>
      <c r="J32" s="326" t="s">
        <v>1385</v>
      </c>
    </row>
    <row r="33" spans="1:10">
      <c r="A33" s="257" t="s">
        <v>1414</v>
      </c>
      <c r="D33" s="326"/>
      <c r="E33" s="326" t="s">
        <v>1387</v>
      </c>
      <c r="F33" s="258" t="s">
        <v>1415</v>
      </c>
      <c r="I33" s="326" t="s">
        <v>1397</v>
      </c>
      <c r="J33" s="326" t="s">
        <v>1389</v>
      </c>
    </row>
    <row r="34" spans="1:10">
      <c r="A34" s="257"/>
      <c r="D34" s="326"/>
      <c r="E34" s="326"/>
      <c r="F34" s="254" t="s">
        <v>1416</v>
      </c>
      <c r="I34" s="327" t="s">
        <v>1397</v>
      </c>
      <c r="J34" s="327" t="s">
        <v>198</v>
      </c>
    </row>
    <row r="35" spans="1:10">
      <c r="A35" s="257" t="s">
        <v>1417</v>
      </c>
      <c r="D35" s="326"/>
      <c r="E35" s="326" t="s">
        <v>1389</v>
      </c>
      <c r="F35" s="254" t="s">
        <v>1418</v>
      </c>
      <c r="I35" s="326" t="s">
        <v>1397</v>
      </c>
      <c r="J35" s="327" t="s">
        <v>1402</v>
      </c>
    </row>
    <row r="36" spans="1:10">
      <c r="A36" s="257"/>
      <c r="D36" s="326"/>
      <c r="E36" s="326"/>
      <c r="F36" s="254" t="s">
        <v>1419</v>
      </c>
      <c r="I36" s="327" t="s">
        <v>1400</v>
      </c>
      <c r="J36" s="327" t="s">
        <v>1385</v>
      </c>
    </row>
    <row r="37" spans="1:10">
      <c r="A37" s="257" t="s">
        <v>2123</v>
      </c>
      <c r="D37" s="326"/>
      <c r="E37" s="326" t="s">
        <v>198</v>
      </c>
      <c r="F37" s="229"/>
      <c r="I37" s="325"/>
      <c r="J37" s="325"/>
    </row>
    <row r="38" spans="1:10">
      <c r="A38" s="257"/>
      <c r="D38" s="326"/>
      <c r="E38" s="326"/>
      <c r="F38" s="254" t="s">
        <v>1420</v>
      </c>
      <c r="I38" s="326" t="s">
        <v>1402</v>
      </c>
      <c r="J38" s="326" t="s">
        <v>1402</v>
      </c>
    </row>
    <row r="39" spans="1:10">
      <c r="A39" s="257" t="s">
        <v>2124</v>
      </c>
      <c r="D39" s="326"/>
      <c r="E39" s="326" t="s">
        <v>1394</v>
      </c>
      <c r="F39" s="254"/>
      <c r="I39" s="326"/>
      <c r="J39" s="326"/>
    </row>
    <row r="40" spans="1:10">
      <c r="A40" s="343"/>
      <c r="B40" s="344"/>
      <c r="C40" s="344"/>
      <c r="D40" s="329"/>
      <c r="E40" s="329"/>
      <c r="F40" s="345" t="s">
        <v>1421</v>
      </c>
      <c r="G40" s="346"/>
      <c r="H40" s="347"/>
      <c r="I40" s="329"/>
      <c r="J40" s="329"/>
    </row>
    <row r="41" spans="1:10">
      <c r="A41" s="255"/>
      <c r="J41" s="256"/>
    </row>
    <row r="42" spans="1:10">
      <c r="A42" s="271" t="s">
        <v>1537</v>
      </c>
      <c r="B42" s="229"/>
      <c r="C42" s="229"/>
      <c r="D42" s="229"/>
      <c r="E42" s="229"/>
      <c r="F42" s="229"/>
      <c r="G42" s="229"/>
      <c r="H42" s="229"/>
      <c r="I42" s="229"/>
      <c r="J42" s="272"/>
    </row>
    <row r="43" spans="1:10">
      <c r="A43" s="271" t="s">
        <v>1538</v>
      </c>
      <c r="B43" s="229"/>
      <c r="C43" s="229"/>
      <c r="D43" s="229"/>
      <c r="E43" s="229"/>
      <c r="F43" s="229"/>
      <c r="G43" s="229"/>
      <c r="H43" s="229"/>
      <c r="I43" s="229"/>
      <c r="J43" s="272"/>
    </row>
    <row r="44" spans="1:10">
      <c r="A44" s="271" t="s">
        <v>1539</v>
      </c>
      <c r="B44" s="229"/>
      <c r="C44" s="229"/>
      <c r="D44" s="229"/>
      <c r="E44" s="229"/>
      <c r="F44" s="229"/>
      <c r="G44" s="229"/>
      <c r="H44" s="229"/>
      <c r="I44" s="229"/>
      <c r="J44" s="272"/>
    </row>
    <row r="45" spans="1:10">
      <c r="A45" s="271" t="s">
        <v>1540</v>
      </c>
      <c r="B45" s="229"/>
      <c r="C45" s="229"/>
      <c r="D45" s="229"/>
      <c r="E45" s="229"/>
      <c r="F45" s="229"/>
      <c r="G45" s="229"/>
      <c r="H45" s="229"/>
      <c r="I45" s="229"/>
      <c r="J45" s="272"/>
    </row>
    <row r="46" spans="1:10">
      <c r="A46" s="273"/>
      <c r="B46" s="274"/>
      <c r="C46" s="274"/>
      <c r="D46" s="274"/>
      <c r="E46" s="274"/>
      <c r="F46" s="274"/>
      <c r="G46" s="274"/>
      <c r="H46" s="274"/>
      <c r="I46" s="274"/>
      <c r="J46" s="275"/>
    </row>
  </sheetData>
  <sheetProtection selectLockedCells="1"/>
  <mergeCells count="13">
    <mergeCell ref="A1:J1"/>
    <mergeCell ref="H2:J2"/>
    <mergeCell ref="C3:J3"/>
    <mergeCell ref="B4:G4"/>
    <mergeCell ref="A5:B5"/>
    <mergeCell ref="C5:D5"/>
    <mergeCell ref="E5:F5"/>
    <mergeCell ref="A7:J7"/>
    <mergeCell ref="A9:E9"/>
    <mergeCell ref="F9:J9"/>
    <mergeCell ref="I4:J4"/>
    <mergeCell ref="I5:J5"/>
    <mergeCell ref="C6:E6"/>
  </mergeCells>
  <printOptions horizontalCentered="1"/>
  <pageMargins left="0.31496062992125984" right="0.31496062992125984" top="0.35433070866141736" bottom="0.35433070866141736"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6"/>
  <sheetViews>
    <sheetView topLeftCell="A38" zoomScale="150" zoomScaleNormal="150" workbookViewId="0">
      <selection activeCell="R15" sqref="R15"/>
    </sheetView>
  </sheetViews>
  <sheetFormatPr baseColWidth="10" defaultColWidth="8" defaultRowHeight="14.5"/>
  <cols>
    <col min="1" max="2" width="6.453125" style="729" customWidth="1"/>
    <col min="3" max="3" width="13.81640625" style="729" customWidth="1"/>
    <col min="4" max="6" width="3" style="729" customWidth="1"/>
    <col min="7" max="7" width="5" style="729" customWidth="1"/>
    <col min="8" max="8" width="13" style="729" customWidth="1"/>
    <col min="9" max="9" width="2.453125" style="729" customWidth="1"/>
    <col min="10" max="10" width="2.1796875" style="729" customWidth="1"/>
    <col min="11" max="13" width="6.453125" style="729" customWidth="1"/>
    <col min="14" max="14" width="4.81640625" style="729" customWidth="1"/>
    <col min="15" max="15" width="8" style="729"/>
    <col min="16" max="17" width="8" style="729" customWidth="1"/>
    <col min="18" max="16384" width="8" style="729"/>
  </cols>
  <sheetData>
    <row r="1" spans="1:14" ht="15" thickBot="1">
      <c r="A1" s="731" t="s">
        <v>2261</v>
      </c>
    </row>
    <row r="2" spans="1:14" ht="7" customHeight="1">
      <c r="A2" s="1233" t="s">
        <v>2260</v>
      </c>
      <c r="B2" s="1234"/>
      <c r="C2" s="1234"/>
      <c r="D2" s="1234"/>
      <c r="E2" s="1234"/>
      <c r="F2" s="1234"/>
      <c r="G2" s="1234"/>
      <c r="H2" s="1234"/>
      <c r="I2" s="1234"/>
      <c r="J2" s="1234"/>
      <c r="K2" s="1234"/>
      <c r="L2" s="1234"/>
      <c r="M2" s="1234"/>
      <c r="N2" s="1235"/>
    </row>
    <row r="3" spans="1:14" ht="7" customHeight="1" thickBot="1">
      <c r="A3" s="1236"/>
      <c r="B3" s="1237"/>
      <c r="C3" s="1237"/>
      <c r="D3" s="1237"/>
      <c r="E3" s="1237"/>
      <c r="F3" s="1237"/>
      <c r="G3" s="1237"/>
      <c r="H3" s="1237"/>
      <c r="I3" s="1237"/>
      <c r="J3" s="1237"/>
      <c r="K3" s="1237"/>
      <c r="L3" s="1237"/>
      <c r="M3" s="1237"/>
      <c r="N3" s="1238"/>
    </row>
    <row r="4" spans="1:14" ht="7" customHeight="1">
      <c r="A4" s="730"/>
      <c r="B4" s="730"/>
      <c r="C4" s="730"/>
      <c r="D4" s="730"/>
      <c r="E4" s="730"/>
      <c r="F4" s="730"/>
      <c r="G4" s="730"/>
      <c r="H4" s="730"/>
      <c r="I4" s="730"/>
      <c r="J4" s="730"/>
      <c r="K4" s="730"/>
      <c r="L4" s="730"/>
      <c r="M4" s="730"/>
      <c r="N4" s="730"/>
    </row>
    <row r="5" spans="1:14" ht="7" customHeight="1">
      <c r="A5" s="726"/>
      <c r="B5" s="726"/>
      <c r="C5" s="726"/>
      <c r="D5" s="726"/>
      <c r="E5" s="726"/>
      <c r="F5" s="726"/>
      <c r="G5" s="726"/>
      <c r="H5" s="726"/>
      <c r="I5" s="726"/>
      <c r="J5" s="726"/>
      <c r="K5" s="726"/>
      <c r="L5" s="726"/>
      <c r="M5" s="726"/>
      <c r="N5" s="726"/>
    </row>
    <row r="6" spans="1:14" ht="9" customHeight="1" thickBot="1">
      <c r="A6" s="1239" t="s">
        <v>2159</v>
      </c>
      <c r="B6" s="1240"/>
      <c r="C6" s="1240"/>
      <c r="D6" s="1240"/>
      <c r="E6" s="1240"/>
      <c r="F6" s="1240"/>
      <c r="G6" s="1240"/>
      <c r="H6" s="1240"/>
      <c r="I6" s="1240"/>
      <c r="J6" s="1240"/>
      <c r="K6" s="1240"/>
      <c r="L6" s="1240"/>
      <c r="M6" s="1240"/>
      <c r="N6" s="1241"/>
    </row>
    <row r="7" spans="1:14" ht="12.75" customHeight="1">
      <c r="A7" s="1242" t="s">
        <v>2160</v>
      </c>
      <c r="B7" s="1243"/>
      <c r="C7" s="772"/>
      <c r="D7" s="772"/>
      <c r="E7" s="772"/>
      <c r="F7" s="773"/>
      <c r="G7" s="1244"/>
      <c r="H7" s="1247" t="s">
        <v>2161</v>
      </c>
      <c r="I7" s="1247"/>
      <c r="J7" s="1247"/>
      <c r="K7" s="1243"/>
      <c r="L7" s="772"/>
      <c r="M7" s="772"/>
      <c r="N7" s="774"/>
    </row>
    <row r="8" spans="1:14" ht="12.75" customHeight="1">
      <c r="A8" s="1225" t="s">
        <v>2162</v>
      </c>
      <c r="B8" s="1227"/>
      <c r="C8" s="726"/>
      <c r="D8" s="726"/>
      <c r="E8" s="726"/>
      <c r="F8" s="727"/>
      <c r="G8" s="1245"/>
      <c r="H8" s="1226" t="s">
        <v>2163</v>
      </c>
      <c r="I8" s="1226"/>
      <c r="J8" s="1226"/>
      <c r="K8" s="1227"/>
      <c r="L8" s="726"/>
      <c r="M8" s="726"/>
      <c r="N8" s="775"/>
    </row>
    <row r="9" spans="1:14" ht="12.75" customHeight="1">
      <c r="A9" s="1225" t="s">
        <v>2164</v>
      </c>
      <c r="B9" s="1226"/>
      <c r="C9" s="1227"/>
      <c r="D9" s="726"/>
      <c r="E9" s="726"/>
      <c r="F9" s="727"/>
      <c r="G9" s="1245"/>
      <c r="H9" s="1226" t="s">
        <v>2165</v>
      </c>
      <c r="I9" s="1226"/>
      <c r="J9" s="1227"/>
      <c r="K9" s="726"/>
      <c r="L9" s="726"/>
      <c r="M9" s="726"/>
      <c r="N9" s="775"/>
    </row>
    <row r="10" spans="1:14" ht="12.75" customHeight="1">
      <c r="A10" s="776" t="s">
        <v>2166</v>
      </c>
      <c r="B10" s="732"/>
      <c r="C10" s="726"/>
      <c r="D10" s="726"/>
      <c r="E10" s="726"/>
      <c r="F10" s="727"/>
      <c r="G10" s="1245"/>
      <c r="H10" s="1226" t="s">
        <v>2167</v>
      </c>
      <c r="I10" s="1226"/>
      <c r="J10" s="1226"/>
      <c r="K10" s="1227"/>
      <c r="L10" s="726"/>
      <c r="M10" s="726"/>
      <c r="N10" s="775"/>
    </row>
    <row r="11" spans="1:14" ht="12.75" customHeight="1">
      <c r="A11" s="1225" t="s">
        <v>2168</v>
      </c>
      <c r="B11" s="1226"/>
      <c r="C11" s="1227"/>
      <c r="D11" s="726"/>
      <c r="E11" s="726"/>
      <c r="F11" s="727"/>
      <c r="G11" s="1245"/>
      <c r="H11" s="1226" t="s">
        <v>2169</v>
      </c>
      <c r="I11" s="1226"/>
      <c r="J11" s="1226"/>
      <c r="K11" s="1226"/>
      <c r="L11" s="1226"/>
      <c r="M11" s="1227"/>
      <c r="N11" s="775"/>
    </row>
    <row r="12" spans="1:14" ht="12.75" customHeight="1">
      <c r="A12" s="1225" t="s">
        <v>2170</v>
      </c>
      <c r="B12" s="1227"/>
      <c r="C12" s="726"/>
      <c r="D12" s="726"/>
      <c r="E12" s="726"/>
      <c r="F12" s="727"/>
      <c r="G12" s="1245"/>
      <c r="H12" s="728" t="s">
        <v>2171</v>
      </c>
      <c r="I12" s="726"/>
      <c r="J12" s="726"/>
      <c r="K12" s="726"/>
      <c r="L12" s="726"/>
      <c r="M12" s="726"/>
      <c r="N12" s="775"/>
    </row>
    <row r="13" spans="1:14" ht="12.75" customHeight="1">
      <c r="A13" s="776" t="s">
        <v>2172</v>
      </c>
      <c r="B13" s="733"/>
      <c r="C13" s="732"/>
      <c r="D13" s="726"/>
      <c r="E13" s="726"/>
      <c r="F13" s="727"/>
      <c r="G13" s="1245"/>
      <c r="H13" s="728" t="s">
        <v>2173</v>
      </c>
      <c r="I13" s="726"/>
      <c r="J13" s="726"/>
      <c r="K13" s="726"/>
      <c r="L13" s="726"/>
      <c r="M13" s="726"/>
      <c r="N13" s="775"/>
    </row>
    <row r="14" spans="1:14" ht="12.75" customHeight="1">
      <c r="A14" s="1225" t="s">
        <v>2174</v>
      </c>
      <c r="B14" s="1226"/>
      <c r="C14" s="1227"/>
      <c r="D14" s="726"/>
      <c r="E14" s="726"/>
      <c r="F14" s="727"/>
      <c r="G14" s="1245"/>
      <c r="H14" s="1226" t="s">
        <v>2175</v>
      </c>
      <c r="I14" s="1226"/>
      <c r="J14" s="1226"/>
      <c r="K14" s="1226"/>
      <c r="L14" s="1227"/>
      <c r="M14" s="726"/>
      <c r="N14" s="775"/>
    </row>
    <row r="15" spans="1:14" ht="12.75" customHeight="1">
      <c r="A15" s="1225" t="s">
        <v>2176</v>
      </c>
      <c r="B15" s="1226"/>
      <c r="C15" s="1227"/>
      <c r="D15" s="726"/>
      <c r="E15" s="726"/>
      <c r="F15" s="727"/>
      <c r="G15" s="1245"/>
      <c r="H15" s="1226" t="s">
        <v>2177</v>
      </c>
      <c r="I15" s="1226"/>
      <c r="J15" s="1226"/>
      <c r="K15" s="1226"/>
      <c r="L15" s="1227"/>
      <c r="M15" s="726"/>
      <c r="N15" s="775"/>
    </row>
    <row r="16" spans="1:14" ht="12.75" customHeight="1">
      <c r="A16" s="1225" t="s">
        <v>2178</v>
      </c>
      <c r="B16" s="1226"/>
      <c r="C16" s="1227"/>
      <c r="D16" s="726"/>
      <c r="E16" s="726"/>
      <c r="F16" s="727"/>
      <c r="G16" s="1245"/>
      <c r="H16" s="1226" t="s">
        <v>2179</v>
      </c>
      <c r="I16" s="1226"/>
      <c r="J16" s="1227"/>
      <c r="K16" s="726"/>
      <c r="L16" s="726"/>
      <c r="M16" s="726"/>
      <c r="N16" s="775"/>
    </row>
    <row r="17" spans="1:14" ht="12.75" customHeight="1">
      <c r="A17" s="1225" t="s">
        <v>2180</v>
      </c>
      <c r="B17" s="1226"/>
      <c r="C17" s="1227"/>
      <c r="D17" s="726"/>
      <c r="E17" s="726"/>
      <c r="F17" s="727"/>
      <c r="G17" s="1245"/>
      <c r="H17" s="728" t="s">
        <v>2181</v>
      </c>
      <c r="I17" s="726"/>
      <c r="J17" s="726"/>
      <c r="K17" s="726"/>
      <c r="L17" s="726"/>
      <c r="M17" s="726"/>
      <c r="N17" s="775"/>
    </row>
    <row r="18" spans="1:14" ht="12.75" customHeight="1">
      <c r="A18" s="1225" t="s">
        <v>2182</v>
      </c>
      <c r="B18" s="1227"/>
      <c r="C18" s="726"/>
      <c r="D18" s="726"/>
      <c r="E18" s="726"/>
      <c r="F18" s="727"/>
      <c r="G18" s="1245"/>
      <c r="H18" s="734" t="s">
        <v>2183</v>
      </c>
      <c r="I18" s="726"/>
      <c r="J18" s="726"/>
      <c r="K18" s="726"/>
      <c r="L18" s="726"/>
      <c r="M18" s="726"/>
      <c r="N18" s="775"/>
    </row>
    <row r="19" spans="1:14" ht="12.75" customHeight="1">
      <c r="A19" s="1225" t="s">
        <v>2184</v>
      </c>
      <c r="B19" s="1227"/>
      <c r="C19" s="726"/>
      <c r="D19" s="726"/>
      <c r="E19" s="726"/>
      <c r="F19" s="727"/>
      <c r="G19" s="1245"/>
      <c r="H19" s="1226" t="s">
        <v>2185</v>
      </c>
      <c r="I19" s="1226"/>
      <c r="J19" s="1226"/>
      <c r="K19" s="1226"/>
      <c r="L19" s="1226"/>
      <c r="M19" s="1227"/>
      <c r="N19" s="775"/>
    </row>
    <row r="20" spans="1:14" ht="12.75" customHeight="1">
      <c r="A20" s="1225" t="s">
        <v>2186</v>
      </c>
      <c r="B20" s="1227"/>
      <c r="C20" s="726"/>
      <c r="D20" s="726"/>
      <c r="E20" s="726"/>
      <c r="F20" s="727"/>
      <c r="G20" s="1245"/>
      <c r="H20" s="1226" t="s">
        <v>2187</v>
      </c>
      <c r="I20" s="1226"/>
      <c r="J20" s="1226"/>
      <c r="K20" s="1227"/>
      <c r="L20" s="726"/>
      <c r="M20" s="726"/>
      <c r="N20" s="775"/>
    </row>
    <row r="21" spans="1:14" ht="12.75" customHeight="1">
      <c r="A21" s="1225" t="s">
        <v>2188</v>
      </c>
      <c r="B21" s="1227"/>
      <c r="C21" s="726"/>
      <c r="D21" s="726"/>
      <c r="E21" s="726"/>
      <c r="F21" s="727"/>
      <c r="G21" s="1245"/>
      <c r="H21" s="1226" t="s">
        <v>2189</v>
      </c>
      <c r="I21" s="1226"/>
      <c r="J21" s="1226"/>
      <c r="K21" s="1227"/>
      <c r="L21" s="726"/>
      <c r="M21" s="726"/>
      <c r="N21" s="775"/>
    </row>
    <row r="22" spans="1:14" ht="12.75" customHeight="1">
      <c r="A22" s="1225" t="s">
        <v>2190</v>
      </c>
      <c r="B22" s="1227"/>
      <c r="C22" s="726"/>
      <c r="D22" s="726"/>
      <c r="E22" s="726"/>
      <c r="F22" s="727"/>
      <c r="G22" s="1245"/>
      <c r="H22" s="1226" t="s">
        <v>2191</v>
      </c>
      <c r="I22" s="1226"/>
      <c r="J22" s="1226"/>
      <c r="K22" s="1227"/>
      <c r="L22" s="726"/>
      <c r="M22" s="726"/>
      <c r="N22" s="775"/>
    </row>
    <row r="23" spans="1:14" ht="12.75" customHeight="1">
      <c r="A23" s="1225" t="s">
        <v>2192</v>
      </c>
      <c r="B23" s="1226"/>
      <c r="C23" s="1227"/>
      <c r="D23" s="726"/>
      <c r="E23" s="726"/>
      <c r="F23" s="727"/>
      <c r="G23" s="1245"/>
      <c r="H23" s="733" t="s">
        <v>2193</v>
      </c>
      <c r="I23" s="733"/>
      <c r="J23" s="733"/>
      <c r="K23" s="733"/>
      <c r="L23" s="733"/>
      <c r="M23" s="732"/>
      <c r="N23" s="775"/>
    </row>
    <row r="24" spans="1:14" ht="12.75" customHeight="1">
      <c r="A24" s="1225" t="s">
        <v>2194</v>
      </c>
      <c r="B24" s="1226"/>
      <c r="C24" s="1227"/>
      <c r="D24" s="726"/>
      <c r="E24" s="726"/>
      <c r="F24" s="727"/>
      <c r="G24" s="1245"/>
      <c r="H24" s="733" t="s">
        <v>2195</v>
      </c>
      <c r="I24" s="733"/>
      <c r="J24" s="733"/>
      <c r="K24" s="733"/>
      <c r="L24" s="732"/>
      <c r="M24" s="726"/>
      <c r="N24" s="775"/>
    </row>
    <row r="25" spans="1:14" ht="12.75" customHeight="1">
      <c r="A25" s="1225" t="s">
        <v>2196</v>
      </c>
      <c r="B25" s="1226"/>
      <c r="C25" s="1227"/>
      <c r="D25" s="726"/>
      <c r="E25" s="726"/>
      <c r="F25" s="727"/>
      <c r="G25" s="1245"/>
      <c r="H25" s="733" t="s">
        <v>2197</v>
      </c>
      <c r="I25" s="733"/>
      <c r="J25" s="733"/>
      <c r="K25" s="733"/>
      <c r="L25" s="733"/>
      <c r="M25" s="732"/>
      <c r="N25" s="775"/>
    </row>
    <row r="26" spans="1:14" ht="12.75" customHeight="1">
      <c r="A26" s="1225" t="s">
        <v>2198</v>
      </c>
      <c r="B26" s="1227"/>
      <c r="C26" s="726"/>
      <c r="D26" s="726"/>
      <c r="E26" s="726"/>
      <c r="F26" s="727"/>
      <c r="G26" s="1245"/>
      <c r="H26" s="1226" t="s">
        <v>2199</v>
      </c>
      <c r="I26" s="1226"/>
      <c r="J26" s="1226"/>
      <c r="K26" s="1226"/>
      <c r="L26" s="1226"/>
      <c r="M26" s="1227"/>
      <c r="N26" s="775"/>
    </row>
    <row r="27" spans="1:14" ht="12.75" customHeight="1">
      <c r="A27" s="1225" t="s">
        <v>2200</v>
      </c>
      <c r="B27" s="1227"/>
      <c r="C27" s="726"/>
      <c r="D27" s="726"/>
      <c r="E27" s="726"/>
      <c r="F27" s="727"/>
      <c r="G27" s="1245"/>
      <c r="H27" s="1226" t="s">
        <v>2201</v>
      </c>
      <c r="I27" s="1226"/>
      <c r="J27" s="1226"/>
      <c r="K27" s="1227"/>
      <c r="L27" s="726"/>
      <c r="M27" s="726"/>
      <c r="N27" s="775"/>
    </row>
    <row r="28" spans="1:14" ht="12.75" customHeight="1">
      <c r="A28" s="1225" t="s">
        <v>2202</v>
      </c>
      <c r="B28" s="1226"/>
      <c r="C28" s="1227"/>
      <c r="D28" s="726"/>
      <c r="E28" s="726"/>
      <c r="F28" s="727"/>
      <c r="G28" s="1245"/>
      <c r="H28" s="1226" t="s">
        <v>2203</v>
      </c>
      <c r="I28" s="1226"/>
      <c r="J28" s="1226"/>
      <c r="K28" s="1227"/>
      <c r="L28" s="726"/>
      <c r="M28" s="726"/>
      <c r="N28" s="775"/>
    </row>
    <row r="29" spans="1:14" ht="12.75" customHeight="1">
      <c r="A29" s="776" t="s">
        <v>2204</v>
      </c>
      <c r="B29" s="732"/>
      <c r="C29" s="726"/>
      <c r="D29" s="726"/>
      <c r="E29" s="726"/>
      <c r="F29" s="727"/>
      <c r="G29" s="1245"/>
      <c r="H29" s="733" t="s">
        <v>2205</v>
      </c>
      <c r="I29" s="733"/>
      <c r="J29" s="733"/>
      <c r="K29" s="732"/>
      <c r="L29" s="726"/>
      <c r="M29" s="726"/>
      <c r="N29" s="775"/>
    </row>
    <row r="30" spans="1:14" ht="12.75" customHeight="1">
      <c r="A30" s="1225" t="s">
        <v>2206</v>
      </c>
      <c r="B30" s="1227"/>
      <c r="C30" s="726"/>
      <c r="D30" s="726"/>
      <c r="E30" s="726"/>
      <c r="F30" s="727"/>
      <c r="G30" s="1245"/>
      <c r="H30" s="728" t="s">
        <v>2207</v>
      </c>
      <c r="I30" s="726"/>
      <c r="J30" s="726"/>
      <c r="K30" s="726"/>
      <c r="L30" s="726"/>
      <c r="M30" s="726"/>
      <c r="N30" s="775"/>
    </row>
    <row r="31" spans="1:14" ht="12.75" customHeight="1">
      <c r="A31" s="1225" t="s">
        <v>2208</v>
      </c>
      <c r="B31" s="1227"/>
      <c r="C31" s="726"/>
      <c r="D31" s="726"/>
      <c r="E31" s="726"/>
      <c r="F31" s="727"/>
      <c r="G31" s="1245"/>
      <c r="H31" s="1226" t="s">
        <v>2209</v>
      </c>
      <c r="I31" s="1227"/>
      <c r="J31" s="726"/>
      <c r="K31" s="726"/>
      <c r="L31" s="726"/>
      <c r="M31" s="726"/>
      <c r="N31" s="775"/>
    </row>
    <row r="32" spans="1:14" ht="12.75" customHeight="1">
      <c r="A32" s="1225" t="s">
        <v>2210</v>
      </c>
      <c r="B32" s="1226"/>
      <c r="C32" s="1227"/>
      <c r="D32" s="726"/>
      <c r="E32" s="726"/>
      <c r="F32" s="727"/>
      <c r="G32" s="1245"/>
      <c r="H32" s="734" t="s">
        <v>2211</v>
      </c>
      <c r="I32" s="726"/>
      <c r="J32" s="726"/>
      <c r="K32" s="726"/>
      <c r="L32" s="726"/>
      <c r="M32" s="726"/>
      <c r="N32" s="775"/>
    </row>
    <row r="33" spans="1:14" ht="12.75" customHeight="1">
      <c r="A33" s="1225" t="s">
        <v>2212</v>
      </c>
      <c r="B33" s="1227"/>
      <c r="C33" s="726"/>
      <c r="D33" s="726"/>
      <c r="E33" s="726"/>
      <c r="F33" s="727"/>
      <c r="G33" s="1245"/>
      <c r="H33" s="1226" t="s">
        <v>2213</v>
      </c>
      <c r="I33" s="1226"/>
      <c r="J33" s="1226"/>
      <c r="K33" s="1226"/>
      <c r="L33" s="1227"/>
      <c r="M33" s="726"/>
      <c r="N33" s="775"/>
    </row>
    <row r="34" spans="1:14" ht="12.75" customHeight="1">
      <c r="A34" s="1225" t="s">
        <v>2214</v>
      </c>
      <c r="B34" s="1226"/>
      <c r="C34" s="1227"/>
      <c r="D34" s="726"/>
      <c r="E34" s="726"/>
      <c r="F34" s="727"/>
      <c r="G34" s="1245"/>
      <c r="H34" s="1226" t="s">
        <v>2215</v>
      </c>
      <c r="I34" s="1226"/>
      <c r="J34" s="1226"/>
      <c r="K34" s="1226"/>
      <c r="L34" s="1227"/>
      <c r="M34" s="726"/>
      <c r="N34" s="775"/>
    </row>
    <row r="35" spans="1:14" ht="12.75" customHeight="1">
      <c r="A35" s="1225" t="s">
        <v>2216</v>
      </c>
      <c r="B35" s="1227"/>
      <c r="C35" s="726"/>
      <c r="D35" s="726"/>
      <c r="E35" s="726"/>
      <c r="F35" s="727"/>
      <c r="G35" s="1245"/>
      <c r="H35" s="1226" t="s">
        <v>2217</v>
      </c>
      <c r="I35" s="1226"/>
      <c r="J35" s="1226"/>
      <c r="K35" s="1227"/>
      <c r="L35" s="726"/>
      <c r="M35" s="726"/>
      <c r="N35" s="775"/>
    </row>
    <row r="36" spans="1:14" ht="12.75" customHeight="1">
      <c r="A36" s="776" t="s">
        <v>2218</v>
      </c>
      <c r="B36" s="732"/>
      <c r="C36" s="726"/>
      <c r="D36" s="726"/>
      <c r="E36" s="726"/>
      <c r="F36" s="727"/>
      <c r="G36" s="1245"/>
      <c r="H36" s="1226" t="s">
        <v>2219</v>
      </c>
      <c r="I36" s="1226"/>
      <c r="J36" s="1226"/>
      <c r="K36" s="1227"/>
      <c r="L36" s="726"/>
      <c r="M36" s="726"/>
      <c r="N36" s="775"/>
    </row>
    <row r="37" spans="1:14" ht="12.75" customHeight="1">
      <c r="A37" s="1225" t="s">
        <v>2220</v>
      </c>
      <c r="B37" s="1226"/>
      <c r="C37" s="1227"/>
      <c r="D37" s="726"/>
      <c r="E37" s="726"/>
      <c r="F37" s="727"/>
      <c r="G37" s="1245"/>
      <c r="H37" s="728" t="s">
        <v>2221</v>
      </c>
      <c r="I37" s="726"/>
      <c r="J37" s="726"/>
      <c r="K37" s="726"/>
      <c r="L37" s="726"/>
      <c r="M37" s="726"/>
      <c r="N37" s="775"/>
    </row>
    <row r="38" spans="1:14" ht="12.65" customHeight="1">
      <c r="A38" s="1225" t="s">
        <v>2222</v>
      </c>
      <c r="B38" s="1227"/>
      <c r="C38" s="726"/>
      <c r="D38" s="726"/>
      <c r="E38" s="726"/>
      <c r="F38" s="727"/>
      <c r="G38" s="1245"/>
      <c r="H38" s="1226" t="s">
        <v>2223</v>
      </c>
      <c r="I38" s="1226"/>
      <c r="J38" s="1226"/>
      <c r="K38" s="1226"/>
      <c r="L38" s="1226"/>
      <c r="M38" s="1226"/>
      <c r="N38" s="1232"/>
    </row>
    <row r="39" spans="1:14" ht="12.75" customHeight="1">
      <c r="A39" s="1225" t="s">
        <v>2224</v>
      </c>
      <c r="B39" s="1226"/>
      <c r="C39" s="1227"/>
      <c r="D39" s="726"/>
      <c r="E39" s="726"/>
      <c r="F39" s="727"/>
      <c r="G39" s="1245"/>
      <c r="H39" s="1226" t="s">
        <v>2225</v>
      </c>
      <c r="I39" s="1226"/>
      <c r="J39" s="1226"/>
      <c r="K39" s="1227"/>
      <c r="L39" s="726"/>
      <c r="M39" s="726"/>
      <c r="N39" s="775"/>
    </row>
    <row r="40" spans="1:14" ht="12.75" customHeight="1">
      <c r="A40" s="1225" t="s">
        <v>2226</v>
      </c>
      <c r="B40" s="1226"/>
      <c r="C40" s="1227"/>
      <c r="D40" s="726"/>
      <c r="E40" s="726"/>
      <c r="F40" s="727"/>
      <c r="G40" s="1245"/>
      <c r="H40" s="728" t="s">
        <v>2227</v>
      </c>
      <c r="I40" s="726"/>
      <c r="J40" s="726"/>
      <c r="K40" s="726"/>
      <c r="L40" s="726"/>
      <c r="M40" s="726"/>
      <c r="N40" s="775"/>
    </row>
    <row r="41" spans="1:14" ht="12.75" customHeight="1">
      <c r="A41" s="1225" t="s">
        <v>2228</v>
      </c>
      <c r="B41" s="1226"/>
      <c r="C41" s="1227"/>
      <c r="D41" s="726"/>
      <c r="E41" s="726"/>
      <c r="F41" s="727"/>
      <c r="G41" s="1245"/>
      <c r="H41" s="1226" t="s">
        <v>2229</v>
      </c>
      <c r="I41" s="1226"/>
      <c r="J41" s="1226"/>
      <c r="K41" s="1226"/>
      <c r="L41" s="1227"/>
      <c r="M41" s="726"/>
      <c r="N41" s="775"/>
    </row>
    <row r="42" spans="1:14" ht="12.75" customHeight="1">
      <c r="A42" s="1225" t="s">
        <v>2230</v>
      </c>
      <c r="B42" s="1226"/>
      <c r="C42" s="1226"/>
      <c r="D42" s="1227"/>
      <c r="E42" s="726"/>
      <c r="F42" s="727"/>
      <c r="G42" s="1245"/>
      <c r="H42" s="1226" t="s">
        <v>2231</v>
      </c>
      <c r="I42" s="1226"/>
      <c r="J42" s="1226"/>
      <c r="K42" s="1226"/>
      <c r="L42" s="1226"/>
      <c r="M42" s="1227"/>
      <c r="N42" s="775"/>
    </row>
    <row r="43" spans="1:14" ht="12.75" customHeight="1">
      <c r="A43" s="1225" t="s">
        <v>2232</v>
      </c>
      <c r="B43" s="1226"/>
      <c r="C43" s="1226"/>
      <c r="D43" s="1226"/>
      <c r="E43" s="1227"/>
      <c r="F43" s="727"/>
      <c r="G43" s="1245"/>
      <c r="H43" s="1230" t="s">
        <v>2233</v>
      </c>
      <c r="I43" s="1230"/>
      <c r="J43" s="1231"/>
      <c r="K43" s="726"/>
      <c r="L43" s="726"/>
      <c r="M43" s="726"/>
      <c r="N43" s="775"/>
    </row>
    <row r="44" spans="1:14" ht="12.75" customHeight="1">
      <c r="A44" s="776" t="s">
        <v>2234</v>
      </c>
      <c r="B44" s="733"/>
      <c r="C44" s="732"/>
      <c r="D44" s="726"/>
      <c r="E44" s="726"/>
      <c r="F44" s="727"/>
      <c r="G44" s="1245"/>
      <c r="H44" s="728" t="s">
        <v>2235</v>
      </c>
      <c r="I44" s="726"/>
      <c r="J44" s="726"/>
      <c r="K44" s="726"/>
      <c r="L44" s="726"/>
      <c r="M44" s="726"/>
      <c r="N44" s="775"/>
    </row>
    <row r="45" spans="1:14" ht="12.75" customHeight="1">
      <c r="A45" s="1225" t="s">
        <v>2236</v>
      </c>
      <c r="B45" s="1226"/>
      <c r="C45" s="1226"/>
      <c r="D45" s="1227"/>
      <c r="E45" s="726"/>
      <c r="F45" s="727"/>
      <c r="G45" s="1245"/>
      <c r="H45" s="1226" t="s">
        <v>2237</v>
      </c>
      <c r="I45" s="1226"/>
      <c r="J45" s="1226"/>
      <c r="K45" s="1226"/>
      <c r="L45" s="1227"/>
      <c r="M45" s="726"/>
      <c r="N45" s="775"/>
    </row>
    <row r="46" spans="1:14" ht="12.75" customHeight="1">
      <c r="A46" s="1225" t="s">
        <v>2238</v>
      </c>
      <c r="B46" s="1226"/>
      <c r="C46" s="1227"/>
      <c r="D46" s="726"/>
      <c r="E46" s="726"/>
      <c r="F46" s="727"/>
      <c r="G46" s="1245"/>
      <c r="H46" s="1226" t="s">
        <v>2239</v>
      </c>
      <c r="I46" s="1226"/>
      <c r="J46" s="1226"/>
      <c r="K46" s="1226"/>
      <c r="L46" s="1227"/>
      <c r="M46" s="726"/>
      <c r="N46" s="775"/>
    </row>
    <row r="47" spans="1:14" ht="12.75" customHeight="1">
      <c r="A47" s="1225" t="s">
        <v>2240</v>
      </c>
      <c r="B47" s="1226"/>
      <c r="C47" s="1227"/>
      <c r="D47" s="726"/>
      <c r="E47" s="726"/>
      <c r="F47" s="727"/>
      <c r="G47" s="1245"/>
      <c r="H47" s="728" t="s">
        <v>2241</v>
      </c>
      <c r="I47" s="726"/>
      <c r="J47" s="726"/>
      <c r="K47" s="726"/>
      <c r="L47" s="726"/>
      <c r="M47" s="726"/>
      <c r="N47" s="775"/>
    </row>
    <row r="48" spans="1:14" ht="12.75" customHeight="1">
      <c r="A48" s="1225" t="s">
        <v>2242</v>
      </c>
      <c r="B48" s="1226"/>
      <c r="C48" s="1227"/>
      <c r="D48" s="726"/>
      <c r="E48" s="726"/>
      <c r="F48" s="727"/>
      <c r="G48" s="1245"/>
      <c r="H48" s="728" t="s">
        <v>2243</v>
      </c>
      <c r="I48" s="726"/>
      <c r="J48" s="726"/>
      <c r="K48" s="726"/>
      <c r="L48" s="726"/>
      <c r="M48" s="726"/>
      <c r="N48" s="775"/>
    </row>
    <row r="49" spans="1:14" ht="12.75" customHeight="1">
      <c r="A49" s="776" t="s">
        <v>2244</v>
      </c>
      <c r="B49" s="732"/>
      <c r="C49" s="726"/>
      <c r="D49" s="726"/>
      <c r="E49" s="726"/>
      <c r="F49" s="727"/>
      <c r="G49" s="1245"/>
      <c r="H49" s="734" t="s">
        <v>2245</v>
      </c>
      <c r="I49" s="726"/>
      <c r="J49" s="726"/>
      <c r="K49" s="726"/>
      <c r="L49" s="726"/>
      <c r="M49" s="726"/>
      <c r="N49" s="777"/>
    </row>
    <row r="50" spans="1:14" ht="12.75" customHeight="1">
      <c r="A50" s="1225" t="s">
        <v>2246</v>
      </c>
      <c r="B50" s="1226"/>
      <c r="C50" s="1227"/>
      <c r="D50" s="726"/>
      <c r="E50" s="726"/>
      <c r="F50" s="727"/>
      <c r="G50" s="1245"/>
      <c r="H50" s="1226" t="s">
        <v>2247</v>
      </c>
      <c r="I50" s="1227"/>
      <c r="J50" s="726"/>
      <c r="K50" s="726"/>
      <c r="L50" s="726"/>
      <c r="M50" s="726"/>
      <c r="N50" s="775"/>
    </row>
    <row r="51" spans="1:14" ht="12.75" customHeight="1">
      <c r="A51" s="1225" t="s">
        <v>2248</v>
      </c>
      <c r="B51" s="1227"/>
      <c r="C51" s="726"/>
      <c r="D51" s="726"/>
      <c r="E51" s="726"/>
      <c r="F51" s="727"/>
      <c r="G51" s="1245"/>
      <c r="H51" s="1226" t="s">
        <v>2249</v>
      </c>
      <c r="I51" s="1227"/>
      <c r="J51" s="726"/>
      <c r="K51" s="726"/>
      <c r="L51" s="726"/>
      <c r="M51" s="726"/>
      <c r="N51" s="775"/>
    </row>
    <row r="52" spans="1:14" ht="12.75" customHeight="1">
      <c r="A52" s="1225" t="s">
        <v>2250</v>
      </c>
      <c r="B52" s="1226"/>
      <c r="C52" s="1227"/>
      <c r="D52" s="726"/>
      <c r="E52" s="726"/>
      <c r="F52" s="727"/>
      <c r="G52" s="1245"/>
      <c r="H52" s="733" t="s">
        <v>2251</v>
      </c>
      <c r="I52" s="733"/>
      <c r="J52" s="733"/>
      <c r="K52" s="732"/>
      <c r="L52" s="726"/>
      <c r="M52" s="726"/>
      <c r="N52" s="775"/>
    </row>
    <row r="53" spans="1:14" ht="12.75" customHeight="1">
      <c r="A53" s="1225" t="s">
        <v>2252</v>
      </c>
      <c r="B53" s="1226"/>
      <c r="C53" s="1227"/>
      <c r="D53" s="726"/>
      <c r="E53" s="726"/>
      <c r="F53" s="727"/>
      <c r="G53" s="1245"/>
      <c r="H53" s="728" t="s">
        <v>2253</v>
      </c>
      <c r="I53" s="726"/>
      <c r="J53" s="726"/>
      <c r="K53" s="726"/>
      <c r="L53" s="726"/>
      <c r="M53" s="726"/>
      <c r="N53" s="775"/>
    </row>
    <row r="54" spans="1:14" ht="12.75" customHeight="1">
      <c r="A54" s="1225" t="s">
        <v>2254</v>
      </c>
      <c r="B54" s="1226"/>
      <c r="C54" s="1227"/>
      <c r="D54" s="726"/>
      <c r="E54" s="726"/>
      <c r="F54" s="727"/>
      <c r="G54" s="1245"/>
      <c r="H54" s="728" t="s">
        <v>2255</v>
      </c>
      <c r="I54" s="726"/>
      <c r="J54" s="726"/>
      <c r="K54" s="726"/>
      <c r="L54" s="726"/>
      <c r="M54" s="726"/>
      <c r="N54" s="775"/>
    </row>
    <row r="55" spans="1:14" ht="12.75" customHeight="1">
      <c r="A55" s="1225" t="s">
        <v>2256</v>
      </c>
      <c r="B55" s="1227"/>
      <c r="C55" s="726"/>
      <c r="D55" s="726"/>
      <c r="E55" s="726"/>
      <c r="F55" s="727"/>
      <c r="G55" s="1245"/>
      <c r="H55" s="1226" t="s">
        <v>2257</v>
      </c>
      <c r="I55" s="1226"/>
      <c r="J55" s="1226"/>
      <c r="K55" s="1227"/>
      <c r="L55" s="726"/>
      <c r="M55" s="726"/>
      <c r="N55" s="775"/>
    </row>
    <row r="56" spans="1:14" ht="13.5" customHeight="1" thickBot="1">
      <c r="A56" s="778" t="s">
        <v>2258</v>
      </c>
      <c r="B56" s="779"/>
      <c r="C56" s="780"/>
      <c r="D56" s="781"/>
      <c r="E56" s="781"/>
      <c r="F56" s="782"/>
      <c r="G56" s="1246"/>
      <c r="H56" s="1228" t="s">
        <v>2259</v>
      </c>
      <c r="I56" s="1229"/>
      <c r="J56" s="781"/>
      <c r="K56" s="781"/>
      <c r="L56" s="781"/>
      <c r="M56" s="781"/>
      <c r="N56" s="783"/>
    </row>
  </sheetData>
  <mergeCells count="77">
    <mergeCell ref="A2:N3"/>
    <mergeCell ref="A6:N6"/>
    <mergeCell ref="A7:B7"/>
    <mergeCell ref="G7:G56"/>
    <mergeCell ref="H7:K7"/>
    <mergeCell ref="A8:B8"/>
    <mergeCell ref="H8:K8"/>
    <mergeCell ref="A9:C9"/>
    <mergeCell ref="H9:J9"/>
    <mergeCell ref="H10:K10"/>
    <mergeCell ref="A11:C11"/>
    <mergeCell ref="H11:M11"/>
    <mergeCell ref="A12:B12"/>
    <mergeCell ref="A14:C14"/>
    <mergeCell ref="H14:L14"/>
    <mergeCell ref="A15:C15"/>
    <mergeCell ref="H15:L15"/>
    <mergeCell ref="A16:C16"/>
    <mergeCell ref="H16:J16"/>
    <mergeCell ref="A17:C17"/>
    <mergeCell ref="A18:B18"/>
    <mergeCell ref="A19:B19"/>
    <mergeCell ref="H19:M19"/>
    <mergeCell ref="A20:B20"/>
    <mergeCell ref="H20:K20"/>
    <mergeCell ref="A21:B21"/>
    <mergeCell ref="H21:K21"/>
    <mergeCell ref="A22:B22"/>
    <mergeCell ref="H22:K22"/>
    <mergeCell ref="A23:C23"/>
    <mergeCell ref="A27:B27"/>
    <mergeCell ref="H27:K27"/>
    <mergeCell ref="A28:C28"/>
    <mergeCell ref="H28:K28"/>
    <mergeCell ref="A24:C24"/>
    <mergeCell ref="A25:C25"/>
    <mergeCell ref="A26:B26"/>
    <mergeCell ref="H26:M26"/>
    <mergeCell ref="A30:B30"/>
    <mergeCell ref="A31:B31"/>
    <mergeCell ref="H31:I31"/>
    <mergeCell ref="A32:C32"/>
    <mergeCell ref="A33:B33"/>
    <mergeCell ref="H33:L33"/>
    <mergeCell ref="A40:C40"/>
    <mergeCell ref="A34:C34"/>
    <mergeCell ref="H34:L34"/>
    <mergeCell ref="A35:B35"/>
    <mergeCell ref="H35:K35"/>
    <mergeCell ref="H36:K36"/>
    <mergeCell ref="A37:C37"/>
    <mergeCell ref="A38:B38"/>
    <mergeCell ref="H38:N38"/>
    <mergeCell ref="A39:C39"/>
    <mergeCell ref="H39:K39"/>
    <mergeCell ref="A48:C48"/>
    <mergeCell ref="A41:C41"/>
    <mergeCell ref="H41:L41"/>
    <mergeCell ref="A42:D42"/>
    <mergeCell ref="H42:M42"/>
    <mergeCell ref="A43:E43"/>
    <mergeCell ref="H43:J43"/>
    <mergeCell ref="A45:D45"/>
    <mergeCell ref="H45:L45"/>
    <mergeCell ref="A46:C46"/>
    <mergeCell ref="H46:L46"/>
    <mergeCell ref="A47:C47"/>
    <mergeCell ref="A50:C50"/>
    <mergeCell ref="H50:I50"/>
    <mergeCell ref="A51:B51"/>
    <mergeCell ref="H51:I51"/>
    <mergeCell ref="A52:C52"/>
    <mergeCell ref="A53:C53"/>
    <mergeCell ref="A54:C54"/>
    <mergeCell ref="A55:B55"/>
    <mergeCell ref="H55:K55"/>
    <mergeCell ref="H56:I5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V64"/>
  <sheetViews>
    <sheetView showGridLines="0" topLeftCell="A4" zoomScaleNormal="100" workbookViewId="0">
      <selection activeCell="X24" sqref="X24"/>
    </sheetView>
  </sheetViews>
  <sheetFormatPr baseColWidth="10" defaultColWidth="11.453125" defaultRowHeight="14"/>
  <cols>
    <col min="1" max="1" width="3.54296875" style="23" customWidth="1"/>
    <col min="2" max="2" width="1.1796875" style="23" customWidth="1"/>
    <col min="3" max="3" width="7" style="23" customWidth="1"/>
    <col min="4" max="4" width="18.54296875" style="23" customWidth="1"/>
    <col min="5" max="5" width="4.1796875" style="23" customWidth="1"/>
    <col min="6" max="6" width="5.453125" style="23" customWidth="1"/>
    <col min="7" max="7" width="8.54296875" style="23" customWidth="1"/>
    <col min="8" max="8" width="8.81640625" style="23" customWidth="1"/>
    <col min="9" max="9" width="5.81640625" style="23" customWidth="1"/>
    <col min="10" max="10" width="3.1796875" style="23" customWidth="1"/>
    <col min="11" max="11" width="1.453125" style="23" customWidth="1"/>
    <col min="12" max="12" width="1.1796875" style="23" customWidth="1"/>
    <col min="13" max="13" width="5.453125" style="23" customWidth="1"/>
    <col min="14" max="14" width="2.81640625" style="23" customWidth="1"/>
    <col min="15" max="15" width="3.54296875" style="23" customWidth="1"/>
    <col min="16" max="16" width="3.453125" style="23" customWidth="1"/>
    <col min="17" max="17" width="3.54296875" style="23" customWidth="1"/>
    <col min="18" max="19" width="3.453125" style="23" customWidth="1"/>
    <col min="20" max="20" width="4.1796875" style="23" customWidth="1"/>
    <col min="21" max="21" width="3.453125" style="23" customWidth="1"/>
    <col min="22" max="22" width="4.453125" style="23" customWidth="1"/>
    <col min="23" max="16384" width="11.453125" style="23"/>
  </cols>
  <sheetData>
    <row r="1" spans="1:22" ht="15" customHeight="1">
      <c r="A1" s="1217" t="s">
        <v>183</v>
      </c>
      <c r="B1" s="1217"/>
      <c r="C1" s="1217"/>
      <c r="D1" s="1217"/>
      <c r="E1" s="1217"/>
      <c r="F1" s="1217"/>
      <c r="G1" s="1217"/>
      <c r="H1" s="1217"/>
      <c r="I1" s="1217"/>
      <c r="J1" s="1217"/>
      <c r="K1" s="1217"/>
      <c r="L1" s="1217"/>
      <c r="M1" s="1217"/>
      <c r="N1" s="1217"/>
      <c r="O1" s="1217"/>
      <c r="P1" s="1217"/>
      <c r="Q1" s="1217"/>
      <c r="R1" s="1217"/>
      <c r="S1" s="1217"/>
      <c r="T1" s="1217"/>
      <c r="U1" s="1217"/>
      <c r="V1" s="1217"/>
    </row>
    <row r="2" spans="1:22" ht="20.149999999999999" customHeight="1">
      <c r="A2" s="25"/>
      <c r="B2" s="25"/>
      <c r="C2" s="26"/>
      <c r="D2" s="8"/>
      <c r="E2" s="27"/>
      <c r="F2" s="27"/>
      <c r="G2" s="27"/>
      <c r="H2" s="27"/>
      <c r="I2" s="27"/>
      <c r="J2" s="27"/>
      <c r="K2" s="27"/>
      <c r="L2" s="27"/>
      <c r="M2" s="28"/>
      <c r="O2" s="29"/>
      <c r="P2" s="29"/>
      <c r="R2" s="1279" t="s">
        <v>25</v>
      </c>
      <c r="S2" s="1280"/>
      <c r="T2" s="1280"/>
      <c r="U2" s="1280"/>
      <c r="V2" s="1281"/>
    </row>
    <row r="3" spans="1:22" s="8" customFormat="1" ht="15" customHeight="1">
      <c r="A3" s="8" t="s">
        <v>26</v>
      </c>
      <c r="D3" s="276"/>
      <c r="E3" s="1249">
        <f>GARDE!D22</f>
        <v>0</v>
      </c>
      <c r="F3" s="1249"/>
      <c r="G3" s="1249"/>
      <c r="H3" s="1249"/>
      <c r="I3" s="1249"/>
      <c r="J3" s="1249"/>
      <c r="K3" s="1249"/>
      <c r="L3" s="1249"/>
      <c r="M3" s="1249"/>
      <c r="N3" s="1249"/>
      <c r="O3" s="1249"/>
      <c r="P3" s="1249"/>
      <c r="Q3" s="1249"/>
      <c r="R3" s="1249"/>
      <c r="S3" s="1249"/>
      <c r="T3" s="1249"/>
      <c r="U3" s="1249"/>
      <c r="V3" s="1249"/>
    </row>
    <row r="4" spans="1:22" s="8" customFormat="1" ht="15" customHeight="1">
      <c r="A4" s="8" t="s">
        <v>27</v>
      </c>
      <c r="D4" s="1249">
        <f>GARDE!C28</f>
        <v>0</v>
      </c>
      <c r="E4" s="1249"/>
      <c r="F4" s="1249"/>
      <c r="G4" s="1249"/>
      <c r="H4" s="1249"/>
      <c r="I4" s="1249"/>
      <c r="J4" s="1249"/>
      <c r="K4" s="1249"/>
      <c r="L4" s="1249"/>
      <c r="M4" s="1249"/>
      <c r="N4" s="1249"/>
      <c r="O4" s="1249"/>
      <c r="P4" s="277" t="s">
        <v>28</v>
      </c>
      <c r="Q4" s="278"/>
      <c r="R4" s="278"/>
      <c r="S4" s="1250">
        <f>GARDE!C26</f>
        <v>0</v>
      </c>
      <c r="T4" s="1250"/>
      <c r="U4" s="1250"/>
      <c r="V4" s="1250"/>
    </row>
    <row r="5" spans="1:22" s="8" customFormat="1" ht="15" customHeight="1">
      <c r="A5" s="8" t="s">
        <v>2018</v>
      </c>
      <c r="D5" s="41"/>
      <c r="E5" s="1248">
        <f>GARDE!D30</f>
        <v>0</v>
      </c>
      <c r="F5" s="1248"/>
      <c r="G5" s="1248"/>
      <c r="H5" s="276" t="s">
        <v>30</v>
      </c>
      <c r="J5" s="1275"/>
      <c r="K5" s="1275"/>
      <c r="L5" s="1275"/>
      <c r="M5" s="1275"/>
      <c r="N5" s="1275"/>
      <c r="O5" s="1275"/>
      <c r="P5" s="1275"/>
      <c r="Q5" s="276" t="s">
        <v>31</v>
      </c>
      <c r="S5" s="41"/>
      <c r="U5" s="1250"/>
      <c r="V5" s="1250"/>
    </row>
    <row r="6" spans="1:22" s="8" customFormat="1" ht="15" customHeight="1">
      <c r="A6" s="8" t="s">
        <v>2025</v>
      </c>
      <c r="E6" s="1259">
        <f>GARDE!D31</f>
        <v>0</v>
      </c>
      <c r="F6" s="1259"/>
      <c r="G6" s="1259"/>
      <c r="H6" s="279"/>
      <c r="I6" s="279"/>
      <c r="J6" s="279"/>
      <c r="K6" s="279"/>
      <c r="L6" s="279"/>
      <c r="M6" s="279"/>
      <c r="N6" s="279"/>
      <c r="O6" s="279"/>
      <c r="P6" s="279"/>
      <c r="Q6" s="279"/>
      <c r="R6" s="279"/>
      <c r="S6" s="279"/>
      <c r="T6" s="279"/>
      <c r="U6" s="279"/>
      <c r="V6" s="279"/>
    </row>
    <row r="7" spans="1:22" ht="30" customHeight="1">
      <c r="A7" s="1169" t="s">
        <v>1512</v>
      </c>
      <c r="B7" s="1169"/>
      <c r="C7" s="1169"/>
      <c r="D7" s="1169"/>
      <c r="E7" s="1169"/>
      <c r="F7" s="1169"/>
      <c r="G7" s="1169"/>
      <c r="H7" s="1169"/>
      <c r="I7" s="1169"/>
      <c r="J7" s="1169"/>
      <c r="K7" s="1169"/>
      <c r="L7" s="1169"/>
      <c r="M7" s="1169"/>
      <c r="N7" s="1169"/>
      <c r="O7" s="1169"/>
      <c r="P7" s="1169"/>
      <c r="Q7" s="1169"/>
      <c r="R7" s="1169"/>
      <c r="S7" s="1169"/>
      <c r="T7" s="1169"/>
      <c r="U7" s="1169"/>
      <c r="V7" s="1169"/>
    </row>
    <row r="8" spans="1:22" s="2" customFormat="1" ht="18" customHeight="1">
      <c r="A8" s="348" t="s">
        <v>32</v>
      </c>
      <c r="B8" s="260"/>
      <c r="C8" s="35" t="s">
        <v>33</v>
      </c>
      <c r="D8" s="35"/>
      <c r="E8" s="35"/>
      <c r="F8" s="35"/>
      <c r="G8" s="35"/>
      <c r="H8" s="35"/>
      <c r="I8" s="35"/>
      <c r="J8" s="35"/>
      <c r="K8" s="35"/>
      <c r="L8" s="35"/>
      <c r="M8" s="261" t="s">
        <v>34</v>
      </c>
      <c r="N8" s="1286"/>
      <c r="O8" s="1287"/>
      <c r="P8" s="1287"/>
      <c r="Q8" s="1287"/>
      <c r="R8" s="35" t="s">
        <v>35</v>
      </c>
      <c r="S8" s="1286"/>
      <c r="T8" s="1287"/>
      <c r="U8" s="1287"/>
      <c r="V8" s="1288"/>
    </row>
    <row r="9" spans="1:22" s="2" customFormat="1" ht="5.25" customHeight="1">
      <c r="A9" s="31"/>
      <c r="V9" s="32"/>
    </row>
    <row r="10" spans="1:22" s="2" customFormat="1" ht="12.75" customHeight="1">
      <c r="A10" s="348" t="s">
        <v>36</v>
      </c>
      <c r="B10" s="30"/>
      <c r="C10" s="2" t="s">
        <v>37</v>
      </c>
      <c r="H10" s="1282"/>
      <c r="I10" s="1283"/>
      <c r="K10" s="193"/>
      <c r="T10" s="1253" t="s">
        <v>41</v>
      </c>
      <c r="V10" s="32"/>
    </row>
    <row r="11" spans="1:22" s="2" customFormat="1" ht="5.25" customHeight="1">
      <c r="A11" s="31"/>
      <c r="T11" s="1254"/>
      <c r="V11" s="32"/>
    </row>
    <row r="12" spans="1:22" s="2" customFormat="1" ht="12.75" customHeight="1">
      <c r="A12" s="348" t="s">
        <v>38</v>
      </c>
      <c r="B12" s="30"/>
      <c r="C12" s="2" t="s">
        <v>39</v>
      </c>
      <c r="H12" s="1282"/>
      <c r="I12" s="1283"/>
      <c r="K12" s="2" t="s">
        <v>40</v>
      </c>
      <c r="U12" s="1255"/>
      <c r="V12" s="1257"/>
    </row>
    <row r="13" spans="1:22" s="2" customFormat="1" ht="5.25" customHeight="1">
      <c r="A13" s="31"/>
      <c r="V13" s="32"/>
    </row>
    <row r="14" spans="1:22" s="2" customFormat="1" ht="12.75" customHeight="1">
      <c r="A14" s="348" t="s">
        <v>45</v>
      </c>
      <c r="C14" s="197"/>
      <c r="D14" s="1255"/>
      <c r="E14" s="1257"/>
      <c r="J14" s="348" t="s">
        <v>49</v>
      </c>
      <c r="K14" s="1255"/>
      <c r="L14" s="1256"/>
      <c r="M14" s="1256"/>
      <c r="N14" s="1256"/>
      <c r="O14" s="1256"/>
      <c r="P14" s="1256"/>
      <c r="Q14" s="1256"/>
      <c r="R14" s="1256"/>
      <c r="S14" s="1256"/>
      <c r="T14" s="1257"/>
      <c r="V14" s="32"/>
    </row>
    <row r="15" spans="1:22" s="2" customFormat="1" ht="12.75" customHeight="1">
      <c r="A15" s="31"/>
      <c r="C15" s="30" t="s">
        <v>42</v>
      </c>
      <c r="D15" s="1251" t="s">
        <v>43</v>
      </c>
      <c r="E15" s="1251"/>
      <c r="K15" s="1251" t="s">
        <v>44</v>
      </c>
      <c r="L15" s="1251"/>
      <c r="M15" s="1251"/>
      <c r="N15" s="1251"/>
      <c r="O15" s="1251"/>
      <c r="P15" s="1251"/>
      <c r="Q15" s="1251"/>
      <c r="R15" s="1251"/>
      <c r="S15" s="1251"/>
      <c r="T15" s="1251"/>
      <c r="V15" s="32"/>
    </row>
    <row r="16" spans="1:22" s="2" customFormat="1" ht="5.25" customHeight="1">
      <c r="A16" s="31"/>
      <c r="C16" s="30"/>
      <c r="D16" s="30"/>
      <c r="E16" s="30"/>
      <c r="K16" s="30"/>
      <c r="L16" s="30"/>
      <c r="M16" s="30"/>
      <c r="N16" s="30"/>
      <c r="O16" s="30"/>
      <c r="P16" s="30"/>
      <c r="Q16" s="30"/>
      <c r="R16" s="30"/>
      <c r="S16" s="30"/>
      <c r="T16" s="30"/>
      <c r="V16" s="32"/>
    </row>
    <row r="17" spans="1:22" s="2" customFormat="1" ht="12.75" customHeight="1">
      <c r="A17" s="348" t="s">
        <v>52</v>
      </c>
      <c r="C17" s="1276"/>
      <c r="D17" s="1257"/>
      <c r="E17" s="348" t="s">
        <v>57</v>
      </c>
      <c r="F17" s="1255"/>
      <c r="G17" s="1256"/>
      <c r="H17" s="1256"/>
      <c r="I17" s="1257"/>
      <c r="P17" s="348" t="s">
        <v>59</v>
      </c>
      <c r="Q17" s="1255"/>
      <c r="R17" s="1256"/>
      <c r="S17" s="1256"/>
      <c r="T17" s="1256"/>
      <c r="U17" s="1256"/>
      <c r="V17" s="1257"/>
    </row>
    <row r="18" spans="1:22" s="2" customFormat="1" ht="12.75" customHeight="1">
      <c r="A18" s="31"/>
      <c r="C18" s="1251" t="s">
        <v>46</v>
      </c>
      <c r="D18" s="1251"/>
      <c r="F18" s="1251" t="s">
        <v>47</v>
      </c>
      <c r="G18" s="1251"/>
      <c r="H18" s="1251"/>
      <c r="I18" s="1251"/>
      <c r="Q18" s="1251" t="s">
        <v>48</v>
      </c>
      <c r="R18" s="1251"/>
      <c r="S18" s="1251"/>
      <c r="T18" s="1251"/>
      <c r="U18" s="1251"/>
      <c r="V18" s="1252"/>
    </row>
    <row r="19" spans="1:22" s="2" customFormat="1" ht="5.25" customHeight="1">
      <c r="A19" s="31"/>
      <c r="C19" s="30"/>
      <c r="D19" s="30"/>
      <c r="F19" s="30"/>
      <c r="G19" s="30"/>
      <c r="H19" s="30"/>
      <c r="Q19" s="30"/>
      <c r="R19" s="30"/>
      <c r="S19" s="30"/>
      <c r="T19" s="30"/>
      <c r="U19" s="30"/>
      <c r="V19" s="192"/>
    </row>
    <row r="20" spans="1:22" s="2" customFormat="1" ht="12.75" customHeight="1">
      <c r="A20" s="348" t="s">
        <v>1377</v>
      </c>
      <c r="C20" s="1255"/>
      <c r="D20" s="1256"/>
      <c r="E20" s="1256"/>
      <c r="F20" s="1256"/>
      <c r="G20" s="1256"/>
      <c r="H20" s="1256"/>
      <c r="I20" s="1256"/>
      <c r="J20" s="1256"/>
      <c r="K20" s="1256"/>
      <c r="L20" s="1256"/>
      <c r="M20" s="1256"/>
      <c r="N20" s="1256"/>
      <c r="O20" s="1256"/>
      <c r="P20" s="1257"/>
      <c r="Q20" s="1255"/>
      <c r="R20" s="1256"/>
      <c r="S20" s="1256"/>
      <c r="T20" s="1256"/>
      <c r="U20" s="1256"/>
      <c r="V20" s="1257"/>
    </row>
    <row r="21" spans="1:22" s="2" customFormat="1" ht="12.75" customHeight="1">
      <c r="A21" s="31"/>
      <c r="C21" s="1251" t="s">
        <v>50</v>
      </c>
      <c r="D21" s="1251"/>
      <c r="E21" s="1251"/>
      <c r="F21" s="1251"/>
      <c r="G21" s="1251"/>
      <c r="H21" s="1251"/>
      <c r="I21" s="1251"/>
      <c r="J21" s="1251"/>
      <c r="K21" s="1251"/>
      <c r="L21" s="1251"/>
      <c r="M21" s="1251"/>
      <c r="N21" s="1251"/>
      <c r="O21" s="1251"/>
      <c r="P21" s="1251"/>
      <c r="Q21" s="1251" t="s">
        <v>51</v>
      </c>
      <c r="R21" s="1251"/>
      <c r="S21" s="1251"/>
      <c r="T21" s="1251"/>
      <c r="U21" s="1251"/>
      <c r="V21" s="1252"/>
    </row>
    <row r="22" spans="1:22" s="2" customFormat="1" ht="5.25" customHeight="1">
      <c r="A22" s="31"/>
      <c r="C22" s="30"/>
      <c r="D22" s="30"/>
      <c r="F22" s="30"/>
      <c r="G22" s="30"/>
      <c r="H22" s="30"/>
      <c r="Q22" s="30"/>
      <c r="R22" s="30"/>
      <c r="S22" s="30"/>
      <c r="T22" s="30"/>
      <c r="U22" s="30"/>
      <c r="V22" s="192"/>
    </row>
    <row r="23" spans="1:22" s="2" customFormat="1" ht="12.75" customHeight="1">
      <c r="A23" s="348" t="s">
        <v>74</v>
      </c>
      <c r="C23" s="1291"/>
      <c r="D23" s="1292"/>
      <c r="E23" s="1258"/>
      <c r="F23" s="1256"/>
      <c r="G23" s="1256"/>
      <c r="H23" s="1256"/>
      <c r="I23" s="1256"/>
      <c r="J23" s="1257"/>
      <c r="K23" s="1255"/>
      <c r="L23" s="1256"/>
      <c r="M23" s="1257"/>
      <c r="N23" s="1255"/>
      <c r="O23" s="1256"/>
      <c r="P23" s="1257"/>
      <c r="Q23" s="1255"/>
      <c r="R23" s="1256"/>
      <c r="S23" s="1256"/>
      <c r="T23" s="1256"/>
      <c r="U23" s="1256"/>
      <c r="V23" s="1257"/>
    </row>
    <row r="24" spans="1:22" s="2" customFormat="1" ht="12.75" customHeight="1">
      <c r="A24" s="31"/>
      <c r="C24" s="1251" t="s">
        <v>53</v>
      </c>
      <c r="D24" s="1251"/>
      <c r="E24" s="1251" t="s">
        <v>1432</v>
      </c>
      <c r="F24" s="1251"/>
      <c r="G24" s="1251"/>
      <c r="H24" s="1251"/>
      <c r="I24" s="1251"/>
      <c r="J24" s="1251"/>
      <c r="K24" s="1251" t="s">
        <v>54</v>
      </c>
      <c r="L24" s="1251"/>
      <c r="M24" s="1251"/>
      <c r="N24" s="1251" t="s">
        <v>55</v>
      </c>
      <c r="O24" s="1251"/>
      <c r="P24" s="1251"/>
      <c r="Q24" s="1251" t="s">
        <v>56</v>
      </c>
      <c r="R24" s="1251"/>
      <c r="S24" s="1251"/>
      <c r="T24" s="1251"/>
      <c r="U24" s="1251"/>
      <c r="V24" s="1252"/>
    </row>
    <row r="25" spans="1:22" s="2" customFormat="1" ht="5.25" customHeight="1">
      <c r="A25" s="31"/>
      <c r="C25" s="30"/>
      <c r="D25" s="30"/>
      <c r="F25" s="30"/>
      <c r="G25" s="30"/>
      <c r="H25" s="30"/>
      <c r="Q25" s="30"/>
      <c r="R25" s="30"/>
      <c r="S25" s="30"/>
      <c r="T25" s="30"/>
      <c r="U25" s="30"/>
      <c r="V25" s="192"/>
    </row>
    <row r="26" spans="1:22" s="2" customFormat="1" ht="12.75" customHeight="1">
      <c r="A26" s="348" t="s">
        <v>76</v>
      </c>
      <c r="C26" s="1255"/>
      <c r="D26" s="1256"/>
      <c r="E26" s="1256"/>
      <c r="F26" s="1256"/>
      <c r="G26" s="1256"/>
      <c r="H26" s="1256"/>
      <c r="I26" s="1256"/>
      <c r="J26" s="1256"/>
      <c r="K26" s="1256"/>
      <c r="L26" s="1256"/>
      <c r="M26" s="1256"/>
      <c r="N26" s="1256"/>
      <c r="O26" s="1256"/>
      <c r="P26" s="1256"/>
      <c r="Q26" s="1256"/>
      <c r="R26" s="1256"/>
      <c r="S26" s="1256"/>
      <c r="T26" s="1256"/>
      <c r="U26" s="1256"/>
      <c r="V26" s="1257"/>
    </row>
    <row r="27" spans="1:22" s="2" customFormat="1" ht="12.75" customHeight="1">
      <c r="A27" s="31"/>
      <c r="C27" s="1251" t="s">
        <v>58</v>
      </c>
      <c r="D27" s="1251"/>
      <c r="E27" s="1251"/>
      <c r="F27" s="1251"/>
      <c r="G27" s="1251"/>
      <c r="H27" s="1251"/>
      <c r="I27" s="1251"/>
      <c r="J27" s="1251"/>
      <c r="K27" s="1251"/>
      <c r="L27" s="1251"/>
      <c r="M27" s="1251"/>
      <c r="N27" s="1251"/>
      <c r="O27" s="1251"/>
      <c r="P27" s="1251"/>
      <c r="Q27" s="1251"/>
      <c r="R27" s="1251"/>
      <c r="S27" s="1251"/>
      <c r="T27" s="1251"/>
      <c r="U27" s="1251"/>
      <c r="V27" s="1252"/>
    </row>
    <row r="28" spans="1:22" s="2" customFormat="1" ht="9.75" customHeight="1">
      <c r="A28" s="31"/>
      <c r="C28" s="30"/>
      <c r="D28" s="30"/>
      <c r="F28" s="30"/>
      <c r="G28" s="30"/>
      <c r="H28" s="30"/>
      <c r="P28" s="348" t="s">
        <v>80</v>
      </c>
      <c r="Q28" s="30"/>
      <c r="R28" s="30"/>
      <c r="S28" s="30"/>
      <c r="T28" s="30"/>
      <c r="U28" s="30"/>
      <c r="V28" s="192"/>
    </row>
    <row r="29" spans="1:22" s="2" customFormat="1" ht="12.75" customHeight="1">
      <c r="A29" s="348" t="s">
        <v>78</v>
      </c>
      <c r="C29" s="1255"/>
      <c r="D29" s="1256"/>
      <c r="E29" s="1256"/>
      <c r="F29" s="1256"/>
      <c r="G29" s="1256"/>
      <c r="H29" s="1256"/>
      <c r="I29" s="1256"/>
      <c r="J29" s="1256"/>
      <c r="K29" s="1256"/>
      <c r="L29" s="1256"/>
      <c r="M29" s="1256"/>
      <c r="N29" s="1256"/>
      <c r="O29" s="1257"/>
      <c r="P29" s="1260"/>
      <c r="Q29" s="1256"/>
      <c r="R29" s="1256"/>
      <c r="S29" s="1256"/>
      <c r="T29" s="1256"/>
      <c r="U29" s="1256"/>
      <c r="V29" s="1257"/>
    </row>
    <row r="30" spans="1:22" s="2" customFormat="1" ht="12.75" customHeight="1">
      <c r="A30" s="31"/>
      <c r="C30" s="1251" t="s">
        <v>60</v>
      </c>
      <c r="D30" s="1251"/>
      <c r="E30" s="1251"/>
      <c r="F30" s="1251"/>
      <c r="G30" s="1251"/>
      <c r="H30" s="1251"/>
      <c r="I30" s="1251"/>
      <c r="J30" s="1251"/>
      <c r="K30" s="1251"/>
      <c r="L30" s="1251"/>
      <c r="M30" s="1251"/>
      <c r="N30" s="1251"/>
      <c r="O30" s="1251"/>
      <c r="P30" s="1270" t="s">
        <v>61</v>
      </c>
      <c r="Q30" s="1270"/>
      <c r="R30" s="1270"/>
      <c r="S30" s="1270"/>
      <c r="T30" s="1270"/>
      <c r="U30" s="1270"/>
      <c r="V30" s="1271"/>
    </row>
    <row r="31" spans="1:22" s="2" customFormat="1" ht="6" customHeight="1">
      <c r="A31" s="31"/>
      <c r="C31" s="30"/>
      <c r="D31" s="30"/>
      <c r="E31" s="30"/>
      <c r="F31" s="30"/>
      <c r="G31" s="30"/>
      <c r="H31" s="30"/>
      <c r="I31" s="30"/>
      <c r="J31" s="30"/>
      <c r="K31" s="30"/>
      <c r="L31" s="30"/>
      <c r="M31" s="30"/>
      <c r="N31" s="30"/>
      <c r="O31" s="30"/>
      <c r="P31" s="30"/>
      <c r="Q31" s="30"/>
      <c r="R31" s="30"/>
      <c r="S31" s="30"/>
      <c r="T31" s="30"/>
      <c r="U31" s="30"/>
      <c r="V31" s="192"/>
    </row>
    <row r="32" spans="1:22" s="2" customFormat="1" ht="12.75" customHeight="1">
      <c r="A32" s="348" t="s">
        <v>82</v>
      </c>
      <c r="C32" s="1255"/>
      <c r="D32" s="1256"/>
      <c r="E32" s="1256"/>
      <c r="F32" s="1256"/>
      <c r="G32" s="1256"/>
      <c r="H32" s="1256"/>
      <c r="I32" s="1256"/>
      <c r="J32" s="1256"/>
      <c r="K32" s="1256"/>
      <c r="L32" s="1256"/>
      <c r="M32" s="1256"/>
      <c r="N32" s="1256"/>
      <c r="O32" s="1256"/>
      <c r="P32" s="1256"/>
      <c r="Q32" s="1256"/>
      <c r="R32" s="1256"/>
      <c r="S32" s="1256"/>
      <c r="T32" s="1256"/>
      <c r="U32" s="1256"/>
      <c r="V32" s="1257"/>
    </row>
    <row r="33" spans="1:22" s="2" customFormat="1" ht="12.75" customHeight="1">
      <c r="A33" s="31"/>
      <c r="C33" s="1251" t="s">
        <v>1433</v>
      </c>
      <c r="D33" s="1251"/>
      <c r="E33" s="1251"/>
      <c r="F33" s="1251"/>
      <c r="G33" s="1251"/>
      <c r="H33" s="1251"/>
      <c r="I33" s="1251"/>
      <c r="J33" s="1251"/>
      <c r="K33" s="1251"/>
      <c r="L33" s="1251"/>
      <c r="M33" s="1251"/>
      <c r="N33" s="1251"/>
      <c r="O33" s="1251"/>
      <c r="P33" s="1251"/>
      <c r="Q33" s="1251"/>
      <c r="R33" s="1251"/>
      <c r="S33" s="1251"/>
      <c r="T33" s="1251"/>
      <c r="U33" s="1251"/>
      <c r="V33" s="1252"/>
    </row>
    <row r="34" spans="1:22" s="2" customFormat="1" ht="6" customHeight="1">
      <c r="A34" s="31"/>
      <c r="C34" s="30"/>
      <c r="D34" s="30"/>
      <c r="E34" s="30"/>
      <c r="F34" s="30"/>
      <c r="G34" s="30"/>
      <c r="H34" s="30"/>
      <c r="I34" s="30"/>
      <c r="J34" s="30"/>
      <c r="K34" s="30"/>
      <c r="L34" s="30"/>
      <c r="M34" s="30"/>
      <c r="N34" s="30"/>
      <c r="O34" s="30"/>
      <c r="P34" s="30"/>
      <c r="Q34" s="30"/>
      <c r="R34" s="30"/>
      <c r="S34" s="30"/>
      <c r="T34" s="30"/>
      <c r="U34" s="30"/>
      <c r="V34" s="192"/>
    </row>
    <row r="35" spans="1:22" s="2" customFormat="1" ht="12.75" customHeight="1">
      <c r="A35" s="348" t="s">
        <v>85</v>
      </c>
      <c r="C35" s="1255"/>
      <c r="D35" s="1256"/>
      <c r="E35" s="1256"/>
      <c r="F35" s="1256"/>
      <c r="G35" s="1256"/>
      <c r="H35" s="1256"/>
      <c r="I35" s="1256"/>
      <c r="J35" s="1256"/>
      <c r="K35" s="1256"/>
      <c r="L35" s="1256"/>
      <c r="M35" s="1256"/>
      <c r="N35" s="1256"/>
      <c r="O35" s="1256"/>
      <c r="P35" s="1256"/>
      <c r="Q35" s="1256"/>
      <c r="R35" s="1256"/>
      <c r="S35" s="1256"/>
      <c r="T35" s="1256"/>
      <c r="U35" s="1256"/>
      <c r="V35" s="1257"/>
    </row>
    <row r="36" spans="1:22" s="2" customFormat="1" ht="12.75" customHeight="1">
      <c r="A36" s="31"/>
      <c r="C36" s="1251" t="s">
        <v>1431</v>
      </c>
      <c r="D36" s="1251"/>
      <c r="E36" s="1251"/>
      <c r="F36" s="1251"/>
      <c r="G36" s="1251"/>
      <c r="H36" s="1251"/>
      <c r="I36" s="1251"/>
      <c r="J36" s="1251"/>
      <c r="K36" s="1251"/>
      <c r="L36" s="1251"/>
      <c r="M36" s="1251"/>
      <c r="N36" s="1251"/>
      <c r="O36" s="1251"/>
      <c r="P36" s="1251"/>
      <c r="Q36" s="1251"/>
      <c r="R36" s="1251"/>
      <c r="S36" s="1251"/>
      <c r="T36" s="1251"/>
      <c r="U36" s="1251"/>
      <c r="V36" s="1252"/>
    </row>
    <row r="37" spans="1:22" s="2" customFormat="1" ht="12.75" customHeight="1">
      <c r="A37" s="31"/>
      <c r="C37" s="1289" t="s">
        <v>1378</v>
      </c>
      <c r="D37" s="1289"/>
      <c r="E37" s="1289"/>
      <c r="F37" s="1289"/>
      <c r="G37" s="1289"/>
      <c r="H37" s="1289"/>
      <c r="I37" s="1289"/>
      <c r="J37" s="1289"/>
      <c r="K37" s="1289"/>
      <c r="L37" s="1289"/>
      <c r="M37" s="1289"/>
      <c r="N37" s="1289"/>
      <c r="O37" s="1289"/>
      <c r="P37" s="1289"/>
      <c r="Q37" s="1289"/>
      <c r="R37" s="1289"/>
      <c r="S37" s="1289"/>
      <c r="T37" s="1289"/>
      <c r="U37" s="1289"/>
      <c r="V37" s="1290"/>
    </row>
    <row r="38" spans="1:22" s="2" customFormat="1" ht="7.5" customHeight="1">
      <c r="A38" s="31"/>
      <c r="C38" s="1277"/>
      <c r="D38" s="1277"/>
      <c r="E38" s="1277"/>
      <c r="F38" s="1277"/>
      <c r="G38" s="1277"/>
      <c r="H38" s="1277"/>
      <c r="I38" s="1277"/>
      <c r="J38" s="1277"/>
      <c r="K38" s="1277"/>
      <c r="L38" s="1277"/>
      <c r="M38" s="1277"/>
      <c r="N38" s="1277"/>
      <c r="O38" s="1277"/>
      <c r="P38" s="1277"/>
      <c r="Q38" s="1277"/>
      <c r="R38" s="1277"/>
      <c r="S38" s="1277"/>
      <c r="T38" s="1277"/>
      <c r="U38" s="1277"/>
      <c r="V38" s="1278"/>
    </row>
    <row r="39" spans="1:22" s="2" customFormat="1" ht="12.75" customHeight="1">
      <c r="A39" s="348" t="s">
        <v>75</v>
      </c>
      <c r="C39" s="1255"/>
      <c r="D39" s="1256"/>
      <c r="E39" s="1256"/>
      <c r="F39" s="1256"/>
      <c r="G39" s="1256"/>
      <c r="H39" s="1256"/>
      <c r="I39" s="1256"/>
      <c r="J39" s="1256"/>
      <c r="K39" s="1256"/>
      <c r="L39" s="1256"/>
      <c r="M39" s="1256"/>
      <c r="N39" s="1256"/>
      <c r="O39" s="1256"/>
      <c r="P39" s="1256"/>
      <c r="Q39" s="1256"/>
      <c r="R39" s="1256"/>
      <c r="S39" s="1256"/>
      <c r="T39" s="1256"/>
      <c r="U39" s="1256"/>
      <c r="V39" s="1257"/>
    </row>
    <row r="40" spans="1:22" s="2" customFormat="1" ht="13.5" customHeight="1">
      <c r="A40" s="31"/>
      <c r="C40" s="1251"/>
      <c r="D40" s="1251"/>
      <c r="E40" s="1251"/>
      <c r="F40" s="1251"/>
      <c r="G40" s="1251"/>
      <c r="H40" s="1251"/>
      <c r="I40" s="1251"/>
      <c r="J40" s="1251"/>
      <c r="K40" s="1251"/>
      <c r="L40" s="1251"/>
      <c r="M40" s="1251"/>
      <c r="N40" s="1251"/>
      <c r="O40" s="1251"/>
      <c r="P40" s="1251"/>
      <c r="Q40" s="1251"/>
      <c r="R40" s="1251"/>
      <c r="S40" s="1251"/>
      <c r="T40" s="1251"/>
      <c r="U40" s="1251"/>
      <c r="V40" s="1252"/>
    </row>
    <row r="41" spans="1:22" s="2" customFormat="1" ht="11.25" customHeight="1">
      <c r="A41" s="31"/>
      <c r="C41" s="1270"/>
      <c r="D41" s="1270"/>
      <c r="E41" s="1270"/>
      <c r="F41" s="1270"/>
      <c r="G41" s="1270"/>
      <c r="H41" s="1270"/>
      <c r="I41" s="1270"/>
      <c r="J41" s="1270"/>
      <c r="K41" s="1270"/>
      <c r="L41" s="1270"/>
      <c r="M41" s="1270"/>
      <c r="N41" s="1270"/>
      <c r="O41" s="1270"/>
      <c r="P41" s="1270"/>
      <c r="Q41" s="1270"/>
      <c r="R41" s="1270"/>
      <c r="S41" s="1270"/>
      <c r="T41" s="1270"/>
      <c r="U41" s="1270"/>
      <c r="V41" s="1271"/>
    </row>
    <row r="42" spans="1:22" s="2" customFormat="1" ht="5.25" customHeight="1">
      <c r="A42" s="31"/>
      <c r="C42" s="30"/>
      <c r="D42" s="30"/>
      <c r="E42" s="30"/>
      <c r="F42" s="30"/>
      <c r="G42" s="30"/>
      <c r="H42" s="30"/>
      <c r="I42" s="30"/>
      <c r="J42" s="30"/>
      <c r="K42" s="30"/>
      <c r="L42" s="30"/>
      <c r="M42" s="30"/>
      <c r="N42" s="30"/>
      <c r="O42" s="30"/>
      <c r="P42" s="30"/>
      <c r="Q42" s="30"/>
      <c r="R42" s="30"/>
      <c r="S42" s="30"/>
      <c r="T42" s="30"/>
      <c r="U42" s="30"/>
      <c r="V42" s="192"/>
    </row>
    <row r="43" spans="1:22" s="2" customFormat="1" ht="12.75" customHeight="1">
      <c r="A43" s="348" t="s">
        <v>77</v>
      </c>
      <c r="C43" s="1255"/>
      <c r="D43" s="1256"/>
      <c r="E43" s="1256"/>
      <c r="F43" s="1256"/>
      <c r="G43" s="1256"/>
      <c r="H43" s="1256"/>
      <c r="I43" s="1256"/>
      <c r="J43" s="1256"/>
      <c r="K43" s="1256"/>
      <c r="L43" s="1256"/>
      <c r="M43" s="1256"/>
      <c r="N43" s="1256"/>
      <c r="O43" s="1256"/>
      <c r="P43" s="1256"/>
      <c r="Q43" s="1256"/>
      <c r="R43" s="1256"/>
      <c r="S43" s="1256"/>
      <c r="T43" s="1256"/>
      <c r="U43" s="1256"/>
      <c r="V43" s="1257"/>
    </row>
    <row r="44" spans="1:22" s="2" customFormat="1" ht="12.75" customHeight="1">
      <c r="A44" s="31"/>
      <c r="C44" s="1251" t="s">
        <v>1379</v>
      </c>
      <c r="D44" s="1251"/>
      <c r="E44" s="1251"/>
      <c r="F44" s="1251"/>
      <c r="G44" s="1251"/>
      <c r="H44" s="1251"/>
      <c r="I44" s="1251"/>
      <c r="J44" s="1251"/>
      <c r="K44" s="1251"/>
      <c r="L44" s="1251"/>
      <c r="M44" s="1251"/>
      <c r="N44" s="1251"/>
      <c r="O44" s="1251"/>
      <c r="P44" s="1251"/>
      <c r="Q44" s="1251"/>
      <c r="R44" s="1251"/>
      <c r="S44" s="1251"/>
      <c r="T44" s="1251"/>
      <c r="U44" s="1251"/>
      <c r="V44" s="1252"/>
    </row>
    <row r="45" spans="1:22" s="2" customFormat="1" ht="11.25" customHeight="1">
      <c r="A45" s="31"/>
      <c r="C45" s="1270" t="s">
        <v>1380</v>
      </c>
      <c r="D45" s="1270"/>
      <c r="E45" s="1270"/>
      <c r="F45" s="1270"/>
      <c r="G45" s="1270"/>
      <c r="H45" s="1270"/>
      <c r="I45" s="1270"/>
      <c r="J45" s="1270"/>
      <c r="K45" s="1270"/>
      <c r="L45" s="1270"/>
      <c r="M45" s="1270"/>
      <c r="N45" s="1270"/>
      <c r="O45" s="1270"/>
      <c r="P45" s="1270"/>
      <c r="Q45" s="1270"/>
      <c r="R45" s="1270"/>
      <c r="S45" s="1270"/>
      <c r="T45" s="1270"/>
      <c r="U45" s="1270"/>
      <c r="V45" s="1271"/>
    </row>
    <row r="46" spans="1:22" s="2" customFormat="1" ht="16.5" customHeight="1">
      <c r="A46" s="31"/>
      <c r="P46" s="194"/>
      <c r="R46" s="573"/>
      <c r="T46" s="194"/>
      <c r="V46" s="32"/>
    </row>
    <row r="47" spans="1:22" s="2" customFormat="1" ht="15" customHeight="1">
      <c r="A47" s="348" t="s">
        <v>79</v>
      </c>
      <c r="E47" s="7"/>
      <c r="O47" s="1270" t="s">
        <v>62</v>
      </c>
      <c r="P47" s="1270"/>
      <c r="Q47" s="1270"/>
      <c r="R47" s="30"/>
      <c r="S47" s="30"/>
      <c r="T47" s="30" t="s">
        <v>63</v>
      </c>
      <c r="U47" s="30"/>
      <c r="V47" s="32"/>
    </row>
    <row r="48" spans="1:22" s="2" customFormat="1" ht="22.5" customHeight="1">
      <c r="A48" s="31"/>
      <c r="N48" s="1284" t="s">
        <v>64</v>
      </c>
      <c r="O48" s="1284"/>
      <c r="P48" s="1284"/>
      <c r="Q48" s="1284"/>
      <c r="R48" s="1284"/>
      <c r="S48" s="1284"/>
      <c r="T48" s="1284"/>
      <c r="U48" s="1284"/>
      <c r="V48" s="1285"/>
    </row>
    <row r="49" spans="1:22" s="2" customFormat="1" ht="13.5" customHeight="1">
      <c r="A49" s="31"/>
      <c r="J49" s="348" t="s">
        <v>1384</v>
      </c>
      <c r="V49" s="32"/>
    </row>
    <row r="50" spans="1:22" s="2" customFormat="1" ht="15" customHeight="1">
      <c r="A50" s="348" t="s">
        <v>1381</v>
      </c>
      <c r="C50" s="1255"/>
      <c r="D50" s="1256"/>
      <c r="E50" s="1256"/>
      <c r="F50" s="1256"/>
      <c r="G50" s="1256"/>
      <c r="H50" s="1257"/>
      <c r="J50" s="1272" t="s">
        <v>65</v>
      </c>
      <c r="K50" s="1273"/>
      <c r="L50" s="1273"/>
      <c r="M50" s="1273"/>
      <c r="N50" s="1273"/>
      <c r="O50" s="1273"/>
      <c r="P50" s="1273"/>
      <c r="Q50" s="1273"/>
      <c r="R50" s="1273"/>
      <c r="S50" s="1273"/>
      <c r="T50" s="1273"/>
      <c r="U50" s="1273"/>
      <c r="V50" s="1274"/>
    </row>
    <row r="51" spans="1:22" s="2" customFormat="1" ht="12.75" customHeight="1">
      <c r="A51" s="31"/>
      <c r="C51" s="1251" t="s">
        <v>66</v>
      </c>
      <c r="D51" s="1251"/>
      <c r="E51" s="1251"/>
      <c r="F51" s="1251"/>
      <c r="G51" s="1251"/>
      <c r="H51" s="1251"/>
      <c r="J51" s="1267" t="s">
        <v>67</v>
      </c>
      <c r="K51" s="1268"/>
      <c r="L51" s="1268"/>
      <c r="M51" s="1268"/>
      <c r="N51" s="1268"/>
      <c r="O51" s="1268"/>
      <c r="P51" s="1269"/>
      <c r="Q51" s="1267" t="s">
        <v>68</v>
      </c>
      <c r="R51" s="1268"/>
      <c r="S51" s="1268"/>
      <c r="T51" s="1268"/>
      <c r="U51" s="1268"/>
      <c r="V51" s="1269"/>
    </row>
    <row r="52" spans="1:22" s="2" customFormat="1" ht="12.75" customHeight="1">
      <c r="A52" s="31"/>
      <c r="J52" s="1264"/>
      <c r="K52" s="1265"/>
      <c r="L52" s="1265"/>
      <c r="M52" s="1265"/>
      <c r="N52" s="1265"/>
      <c r="O52" s="1265"/>
      <c r="P52" s="1266"/>
      <c r="Q52" s="1261"/>
      <c r="R52" s="1262"/>
      <c r="S52" s="1262"/>
      <c r="T52" s="1262"/>
      <c r="U52" s="1262"/>
      <c r="V52" s="1263"/>
    </row>
    <row r="53" spans="1:22" s="2" customFormat="1" ht="12" customHeight="1">
      <c r="A53" s="348" t="s">
        <v>1382</v>
      </c>
      <c r="C53" s="1255"/>
      <c r="D53" s="1256"/>
      <c r="E53" s="1256"/>
      <c r="F53" s="1256"/>
      <c r="G53" s="1256"/>
      <c r="H53" s="1257"/>
      <c r="J53" s="1264"/>
      <c r="K53" s="1265"/>
      <c r="L53" s="1265"/>
      <c r="M53" s="1265"/>
      <c r="N53" s="1265"/>
      <c r="O53" s="1265"/>
      <c r="P53" s="1266"/>
      <c r="Q53" s="1261"/>
      <c r="R53" s="1262"/>
      <c r="S53" s="1262"/>
      <c r="T53" s="1262"/>
      <c r="U53" s="1262"/>
      <c r="V53" s="1263"/>
    </row>
    <row r="54" spans="1:22" s="2" customFormat="1" ht="12.75" customHeight="1">
      <c r="A54" s="31"/>
      <c r="C54" s="1251" t="s">
        <v>69</v>
      </c>
      <c r="D54" s="1251"/>
      <c r="E54" s="1251"/>
      <c r="F54" s="1251"/>
      <c r="G54" s="1251"/>
      <c r="H54" s="1251"/>
      <c r="J54" s="1264"/>
      <c r="K54" s="1265"/>
      <c r="L54" s="1265"/>
      <c r="M54" s="1265"/>
      <c r="N54" s="1265"/>
      <c r="O54" s="1265"/>
      <c r="P54" s="1266"/>
      <c r="Q54" s="1261"/>
      <c r="R54" s="1262"/>
      <c r="S54" s="1262"/>
      <c r="T54" s="1262"/>
      <c r="U54" s="1262"/>
      <c r="V54" s="1263"/>
    </row>
    <row r="55" spans="1:22" s="2" customFormat="1" ht="12.75" customHeight="1">
      <c r="A55" s="31"/>
      <c r="J55" s="1264"/>
      <c r="K55" s="1265"/>
      <c r="L55" s="1265"/>
      <c r="M55" s="1265"/>
      <c r="N55" s="1265"/>
      <c r="O55" s="1265"/>
      <c r="P55" s="1266"/>
      <c r="Q55" s="1261"/>
      <c r="R55" s="1262"/>
      <c r="S55" s="1262"/>
      <c r="T55" s="1262"/>
      <c r="U55" s="1262"/>
      <c r="V55" s="1263"/>
    </row>
    <row r="56" spans="1:22" s="2" customFormat="1" ht="12.75" customHeight="1">
      <c r="A56" s="348" t="s">
        <v>1383</v>
      </c>
      <c r="C56" s="1282"/>
      <c r="D56" s="1256"/>
      <c r="E56" s="1256"/>
      <c r="F56" s="1256"/>
      <c r="G56" s="1256"/>
      <c r="H56" s="1257"/>
      <c r="J56" s="1264"/>
      <c r="K56" s="1265"/>
      <c r="L56" s="1265"/>
      <c r="M56" s="1265"/>
      <c r="N56" s="1265"/>
      <c r="O56" s="1265"/>
      <c r="P56" s="1266"/>
      <c r="Q56" s="1261"/>
      <c r="R56" s="1262"/>
      <c r="S56" s="1262"/>
      <c r="T56" s="1262"/>
      <c r="U56" s="1262"/>
      <c r="V56" s="1263"/>
    </row>
    <row r="57" spans="1:22" s="2" customFormat="1" ht="12.75" customHeight="1">
      <c r="A57" s="31"/>
      <c r="C57" s="1251" t="s">
        <v>70</v>
      </c>
      <c r="D57" s="1251"/>
      <c r="E57" s="1251"/>
      <c r="F57" s="1251"/>
      <c r="G57" s="1251"/>
      <c r="H57" s="1251"/>
      <c r="J57" s="1264"/>
      <c r="K57" s="1265"/>
      <c r="L57" s="1265"/>
      <c r="M57" s="1265"/>
      <c r="N57" s="1265"/>
      <c r="O57" s="1265"/>
      <c r="P57" s="1266"/>
      <c r="Q57" s="1261"/>
      <c r="R57" s="1262"/>
      <c r="S57" s="1262"/>
      <c r="T57" s="1262"/>
      <c r="U57" s="1262"/>
      <c r="V57" s="1263"/>
    </row>
    <row r="58" spans="1:22" s="2" customFormat="1" ht="12.75" customHeight="1">
      <c r="A58" s="31"/>
      <c r="J58" s="1264"/>
      <c r="K58" s="1265"/>
      <c r="L58" s="1265"/>
      <c r="M58" s="1265"/>
      <c r="N58" s="1265"/>
      <c r="O58" s="1265"/>
      <c r="P58" s="1266"/>
      <c r="Q58" s="1261"/>
      <c r="R58" s="1262"/>
      <c r="S58" s="1262"/>
      <c r="T58" s="1262"/>
      <c r="U58" s="1262"/>
      <c r="V58" s="1263"/>
    </row>
    <row r="59" spans="1:22" s="2" customFormat="1" ht="12.75" customHeight="1">
      <c r="A59" s="31"/>
      <c r="C59" s="34"/>
      <c r="D59" s="35"/>
      <c r="E59" s="35"/>
      <c r="F59" s="35"/>
      <c r="G59" s="35"/>
      <c r="H59" s="36"/>
      <c r="J59" s="1264"/>
      <c r="K59" s="1265"/>
      <c r="L59" s="1265"/>
      <c r="M59" s="1265"/>
      <c r="N59" s="1265"/>
      <c r="O59" s="1265"/>
      <c r="P59" s="1266"/>
      <c r="Q59" s="1261"/>
      <c r="R59" s="1262"/>
      <c r="S59" s="1262"/>
      <c r="T59" s="1262"/>
      <c r="U59" s="1262"/>
      <c r="V59" s="1263"/>
    </row>
    <row r="60" spans="1:22" s="2" customFormat="1" ht="12.75" customHeight="1">
      <c r="A60" s="31"/>
      <c r="C60" s="31"/>
      <c r="H60" s="32"/>
      <c r="J60" s="1264"/>
      <c r="K60" s="1265"/>
      <c r="L60" s="1265"/>
      <c r="M60" s="1265"/>
      <c r="N60" s="1265"/>
      <c r="O60" s="1265"/>
      <c r="P60" s="1266"/>
      <c r="Q60" s="1261"/>
      <c r="R60" s="1262"/>
      <c r="S60" s="1262"/>
      <c r="T60" s="1262"/>
      <c r="U60" s="1262"/>
      <c r="V60" s="1263"/>
    </row>
    <row r="61" spans="1:22" s="2" customFormat="1" ht="12.75" customHeight="1">
      <c r="A61" s="31"/>
      <c r="C61" s="31"/>
      <c r="H61" s="32"/>
      <c r="J61" s="1264"/>
      <c r="K61" s="1265"/>
      <c r="L61" s="1265"/>
      <c r="M61" s="1265"/>
      <c r="N61" s="1265"/>
      <c r="O61" s="1265"/>
      <c r="P61" s="1266"/>
      <c r="Q61" s="1261"/>
      <c r="R61" s="1262"/>
      <c r="S61" s="1262"/>
      <c r="T61" s="1262"/>
      <c r="U61" s="1262"/>
      <c r="V61" s="1263"/>
    </row>
    <row r="62" spans="1:22" s="2" customFormat="1" ht="12.75" customHeight="1">
      <c r="A62" s="31"/>
      <c r="C62" s="37"/>
      <c r="D62" s="38"/>
      <c r="E62" s="38"/>
      <c r="F62" s="38"/>
      <c r="G62" s="38"/>
      <c r="H62" s="39"/>
      <c r="J62" s="1264"/>
      <c r="K62" s="1265"/>
      <c r="L62" s="1265"/>
      <c r="M62" s="1265"/>
      <c r="N62" s="1265"/>
      <c r="O62" s="1265"/>
      <c r="P62" s="1266"/>
      <c r="Q62" s="1261"/>
      <c r="R62" s="1262"/>
      <c r="S62" s="1262"/>
      <c r="T62" s="1262"/>
      <c r="U62" s="1262"/>
      <c r="V62" s="1263"/>
    </row>
    <row r="63" spans="1:22" s="2" customFormat="1" ht="12.75" customHeight="1">
      <c r="A63" s="31"/>
      <c r="C63" s="1251" t="s">
        <v>71</v>
      </c>
      <c r="D63" s="1251"/>
      <c r="E63" s="1251"/>
      <c r="F63" s="1251"/>
      <c r="G63" s="1251"/>
      <c r="H63" s="1251"/>
      <c r="V63" s="32"/>
    </row>
    <row r="64" spans="1:22" s="2" customFormat="1" ht="3" customHeight="1">
      <c r="A64" s="37"/>
      <c r="B64" s="38"/>
      <c r="C64" s="38"/>
      <c r="D64" s="38"/>
      <c r="E64" s="38"/>
      <c r="F64" s="38"/>
      <c r="G64" s="38"/>
      <c r="H64" s="38"/>
      <c r="I64" s="38"/>
      <c r="J64" s="38"/>
      <c r="K64" s="38"/>
      <c r="L64" s="38"/>
      <c r="M64" s="38"/>
      <c r="N64" s="38"/>
      <c r="O64" s="38"/>
      <c r="P64" s="38"/>
      <c r="Q64" s="38"/>
      <c r="R64" s="38"/>
      <c r="S64" s="38"/>
      <c r="T64" s="38"/>
      <c r="U64" s="38"/>
      <c r="V64" s="39"/>
    </row>
  </sheetData>
  <sheetProtection selectLockedCells="1"/>
  <mergeCells count="92">
    <mergeCell ref="A1:V1"/>
    <mergeCell ref="N48:V48"/>
    <mergeCell ref="C43:V43"/>
    <mergeCell ref="N8:Q8"/>
    <mergeCell ref="S8:V8"/>
    <mergeCell ref="Q17:V17"/>
    <mergeCell ref="Q18:V18"/>
    <mergeCell ref="C40:V40"/>
    <mergeCell ref="C37:V37"/>
    <mergeCell ref="Q24:V24"/>
    <mergeCell ref="C23:D23"/>
    <mergeCell ref="Q23:V23"/>
    <mergeCell ref="N23:P23"/>
    <mergeCell ref="N24:P24"/>
    <mergeCell ref="K23:M23"/>
    <mergeCell ref="C44:V44"/>
    <mergeCell ref="C38:V38"/>
    <mergeCell ref="C45:V45"/>
    <mergeCell ref="O47:Q47"/>
    <mergeCell ref="R2:V2"/>
    <mergeCell ref="C63:H63"/>
    <mergeCell ref="H10:I10"/>
    <mergeCell ref="H12:I12"/>
    <mergeCell ref="F17:I17"/>
    <mergeCell ref="F18:I18"/>
    <mergeCell ref="C50:H50"/>
    <mergeCell ref="C51:H51"/>
    <mergeCell ref="C53:H53"/>
    <mergeCell ref="C54:H54"/>
    <mergeCell ref="C56:H56"/>
    <mergeCell ref="C57:H57"/>
    <mergeCell ref="C39:V39"/>
    <mergeCell ref="C41:V41"/>
    <mergeCell ref="J50:V50"/>
    <mergeCell ref="Q52:V52"/>
    <mergeCell ref="Q56:V56"/>
    <mergeCell ref="U5:V5"/>
    <mergeCell ref="A7:V7"/>
    <mergeCell ref="J5:P5"/>
    <mergeCell ref="D15:E15"/>
    <mergeCell ref="C17:D17"/>
    <mergeCell ref="U12:V12"/>
    <mergeCell ref="Q53:V53"/>
    <mergeCell ref="E24:J24"/>
    <mergeCell ref="C24:D24"/>
    <mergeCell ref="C27:V27"/>
    <mergeCell ref="C26:V26"/>
    <mergeCell ref="P30:V30"/>
    <mergeCell ref="Q62:V62"/>
    <mergeCell ref="J51:P51"/>
    <mergeCell ref="J52:P52"/>
    <mergeCell ref="J53:P53"/>
    <mergeCell ref="J54:P54"/>
    <mergeCell ref="J55:P55"/>
    <mergeCell ref="J56:P56"/>
    <mergeCell ref="J57:P57"/>
    <mergeCell ref="J58:P58"/>
    <mergeCell ref="J59:P59"/>
    <mergeCell ref="Q51:V51"/>
    <mergeCell ref="Q58:V58"/>
    <mergeCell ref="Q57:V57"/>
    <mergeCell ref="Q54:V54"/>
    <mergeCell ref="Q55:V55"/>
    <mergeCell ref="J62:P62"/>
    <mergeCell ref="Q59:V59"/>
    <mergeCell ref="Q60:V60"/>
    <mergeCell ref="J60:P60"/>
    <mergeCell ref="J61:P61"/>
    <mergeCell ref="Q61:V61"/>
    <mergeCell ref="C35:V35"/>
    <mergeCell ref="C36:V36"/>
    <mergeCell ref="K24:M24"/>
    <mergeCell ref="E23:J23"/>
    <mergeCell ref="E6:G6"/>
    <mergeCell ref="P29:V29"/>
    <mergeCell ref="C29:O29"/>
    <mergeCell ref="C30:O30"/>
    <mergeCell ref="C32:V32"/>
    <mergeCell ref="C33:V33"/>
    <mergeCell ref="E5:G5"/>
    <mergeCell ref="E3:V3"/>
    <mergeCell ref="S4:V4"/>
    <mergeCell ref="D4:O4"/>
    <mergeCell ref="Q21:V21"/>
    <mergeCell ref="C18:D18"/>
    <mergeCell ref="T10:T11"/>
    <mergeCell ref="C21:P21"/>
    <mergeCell ref="C20:P20"/>
    <mergeCell ref="Q20:V20"/>
    <mergeCell ref="D14:E14"/>
    <mergeCell ref="K14:T14"/>
    <mergeCell ref="K15:T15"/>
  </mergeCells>
  <printOptions horizontalCentered="1"/>
  <pageMargins left="0.39370078740157483" right="0.31496062992125984" top="0.35433070866141736" bottom="0.35433070866141736" header="0.11811023622047245" footer="0.11811023622047245"/>
  <pageSetup paperSize="9"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AL60"/>
  <sheetViews>
    <sheetView showGridLines="0" workbookViewId="0">
      <selection activeCell="Z54" sqref="Z54:AF55"/>
    </sheetView>
  </sheetViews>
  <sheetFormatPr baseColWidth="10" defaultRowHeight="14.5"/>
  <cols>
    <col min="1" max="1" width="3.453125" customWidth="1"/>
    <col min="2" max="2" width="0.81640625" customWidth="1"/>
    <col min="3" max="3" width="1.1796875" customWidth="1"/>
    <col min="4" max="7" width="2.54296875" customWidth="1"/>
    <col min="8" max="8" width="13.54296875" customWidth="1"/>
    <col min="9" max="10" width="2.54296875" customWidth="1"/>
    <col min="11" max="11" width="1.81640625" customWidth="1"/>
    <col min="12" max="14" width="2.54296875" customWidth="1"/>
    <col min="15" max="15" width="2.1796875" customWidth="1"/>
    <col min="16" max="16" width="1.453125" customWidth="1"/>
    <col min="17" max="22" width="2.54296875" customWidth="1"/>
    <col min="23" max="23" width="2.453125" customWidth="1"/>
    <col min="24" max="25" width="1.453125" customWidth="1"/>
    <col min="26" max="26" width="2.453125" customWidth="1"/>
    <col min="27" max="27" width="4" customWidth="1"/>
    <col min="28" max="28" width="3.453125" customWidth="1"/>
    <col min="29" max="29" width="2.54296875" customWidth="1"/>
    <col min="30" max="30" width="2.81640625" customWidth="1"/>
    <col min="31" max="31" width="2.54296875" customWidth="1"/>
    <col min="32" max="32" width="2.453125" customWidth="1"/>
    <col min="33" max="33" width="2.1796875" customWidth="1"/>
    <col min="34" max="34" width="1.54296875" customWidth="1"/>
    <col min="35" max="35" width="2.453125" customWidth="1"/>
    <col min="36" max="36" width="2.1796875" customWidth="1"/>
    <col min="37" max="37" width="4" customWidth="1"/>
    <col min="38" max="38" width="2.1796875" customWidth="1"/>
  </cols>
  <sheetData>
    <row r="1" spans="1:38" ht="15" customHeight="1">
      <c r="A1" s="1217" t="s">
        <v>183</v>
      </c>
      <c r="B1" s="1217"/>
      <c r="C1" s="1217"/>
      <c r="D1" s="1217"/>
      <c r="E1" s="1217"/>
      <c r="F1" s="1217"/>
      <c r="G1" s="1217"/>
      <c r="H1" s="1217"/>
      <c r="I1" s="1217"/>
      <c r="J1" s="1217"/>
      <c r="K1" s="1217"/>
      <c r="L1" s="1217"/>
      <c r="M1" s="1217"/>
      <c r="N1" s="1217"/>
      <c r="O1" s="1217"/>
      <c r="P1" s="1217"/>
      <c r="Q1" s="1217"/>
      <c r="R1" s="1217"/>
      <c r="S1" s="1217"/>
      <c r="T1" s="1217"/>
      <c r="U1" s="1217"/>
      <c r="V1" s="1217"/>
      <c r="W1" s="1217"/>
      <c r="X1" s="1217"/>
      <c r="Y1" s="1217"/>
      <c r="Z1" s="1217"/>
      <c r="AA1" s="1217"/>
      <c r="AB1" s="1217"/>
      <c r="AC1" s="1217"/>
      <c r="AD1" s="1217"/>
      <c r="AE1" s="1217"/>
      <c r="AF1" s="1217"/>
      <c r="AG1" s="1217"/>
      <c r="AH1" s="1217"/>
      <c r="AI1" s="1217"/>
      <c r="AJ1" s="1217"/>
      <c r="AK1" s="1217"/>
      <c r="AL1" s="1217"/>
    </row>
    <row r="2" spans="1:38" ht="20.149999999999999" customHeight="1">
      <c r="B2" s="187"/>
      <c r="C2" s="187"/>
      <c r="D2" s="187"/>
      <c r="E2" s="187"/>
      <c r="F2" s="187"/>
      <c r="G2" s="187"/>
      <c r="H2" s="187"/>
      <c r="I2" s="187"/>
      <c r="J2" s="187"/>
      <c r="K2" s="187"/>
      <c r="L2" s="187"/>
      <c r="M2" s="187"/>
      <c r="N2" s="187"/>
      <c r="O2" s="187"/>
      <c r="P2" s="187"/>
      <c r="Q2" s="187"/>
      <c r="R2" s="292"/>
      <c r="S2" s="292"/>
      <c r="T2" s="292"/>
      <c r="U2" s="292"/>
      <c r="V2" s="187"/>
      <c r="W2" s="187"/>
      <c r="X2" s="187"/>
      <c r="Y2" s="187"/>
      <c r="Z2" s="187"/>
      <c r="AA2" s="187"/>
      <c r="AB2" s="187"/>
      <c r="AC2" s="187"/>
      <c r="AD2" s="187"/>
      <c r="AE2" s="187"/>
      <c r="AF2" s="187"/>
      <c r="AG2" s="1293" t="s">
        <v>73</v>
      </c>
      <c r="AH2" s="1294"/>
      <c r="AI2" s="1294"/>
      <c r="AJ2" s="1294"/>
      <c r="AK2" s="1294"/>
      <c r="AL2" s="1295"/>
    </row>
    <row r="3" spans="1:38" s="132" customFormat="1" ht="15" customHeight="1">
      <c r="A3" s="280" t="s">
        <v>26</v>
      </c>
      <c r="B3" s="280"/>
      <c r="C3" s="280"/>
      <c r="D3" s="209"/>
      <c r="E3" s="209"/>
      <c r="F3" s="209"/>
      <c r="G3" s="209"/>
      <c r="H3" s="209"/>
      <c r="I3" s="1298">
        <f>'FICHE R1'!E3</f>
        <v>0</v>
      </c>
      <c r="J3" s="1298"/>
      <c r="K3" s="1298"/>
      <c r="L3" s="1298"/>
      <c r="M3" s="1298"/>
      <c r="N3" s="1298"/>
      <c r="O3" s="1298"/>
      <c r="P3" s="1298"/>
      <c r="Q3" s="1298"/>
      <c r="R3" s="1298"/>
      <c r="S3" s="1298"/>
      <c r="T3" s="1298"/>
      <c r="U3" s="1298"/>
      <c r="V3" s="1298"/>
      <c r="W3" s="1298"/>
      <c r="X3" s="1298"/>
      <c r="Y3" s="1298"/>
      <c r="Z3" s="1298"/>
      <c r="AA3" s="1298"/>
      <c r="AB3" s="1298"/>
      <c r="AC3" s="1298"/>
      <c r="AD3" s="1298"/>
      <c r="AE3" s="1298"/>
      <c r="AF3" s="1298"/>
      <c r="AG3" s="1298"/>
      <c r="AH3" s="1298"/>
      <c r="AI3" s="1298"/>
      <c r="AJ3" s="1298"/>
      <c r="AK3" s="1298"/>
      <c r="AL3" s="1298"/>
    </row>
    <row r="4" spans="1:38" s="132" customFormat="1" ht="15" customHeight="1">
      <c r="A4" s="209" t="s">
        <v>27</v>
      </c>
      <c r="B4" s="209"/>
      <c r="C4" s="209"/>
      <c r="D4" s="280"/>
      <c r="E4" s="1297">
        <f>'FICHE R1'!D4</f>
        <v>0</v>
      </c>
      <c r="F4" s="1297"/>
      <c r="G4" s="1297"/>
      <c r="H4" s="1297"/>
      <c r="I4" s="1297"/>
      <c r="J4" s="1297"/>
      <c r="K4" s="1297"/>
      <c r="L4" s="1297"/>
      <c r="M4" s="1297"/>
      <c r="N4" s="1297"/>
      <c r="O4" s="1297"/>
      <c r="P4" s="1297"/>
      <c r="Q4" s="1297"/>
      <c r="R4" s="1297"/>
      <c r="S4" s="1297"/>
      <c r="T4" s="1297"/>
      <c r="U4" s="1297"/>
      <c r="V4" s="1297"/>
      <c r="W4" s="1297"/>
      <c r="X4" s="1297"/>
      <c r="Y4" s="1297"/>
      <c r="Z4" s="1297"/>
      <c r="AA4" s="1297"/>
      <c r="AB4" s="281"/>
      <c r="AC4" s="284" t="s">
        <v>28</v>
      </c>
      <c r="AD4" s="285"/>
      <c r="AE4" s="285"/>
      <c r="AF4" s="286"/>
      <c r="AG4" s="283"/>
      <c r="AH4" s="283"/>
      <c r="AI4" s="1302">
        <f>'FICHE R1'!S4</f>
        <v>0</v>
      </c>
      <c r="AJ4" s="1302"/>
      <c r="AK4" s="1302"/>
      <c r="AL4" s="1302"/>
    </row>
    <row r="5" spans="1:38" s="132" customFormat="1" ht="15" customHeight="1">
      <c r="A5" s="280" t="s">
        <v>2019</v>
      </c>
      <c r="B5" s="280"/>
      <c r="C5" s="209"/>
      <c r="D5" s="209"/>
      <c r="E5" s="209"/>
      <c r="F5" s="209"/>
      <c r="G5" s="209"/>
      <c r="H5" s="280"/>
      <c r="I5" s="1297">
        <f>'FICHE R1'!E5</f>
        <v>0</v>
      </c>
      <c r="J5" s="1297"/>
      <c r="K5" s="1297"/>
      <c r="L5" s="1297"/>
      <c r="M5" s="1297"/>
      <c r="N5" s="1297"/>
      <c r="O5" s="1297"/>
      <c r="P5" s="1297"/>
      <c r="Q5" s="1300" t="s">
        <v>30</v>
      </c>
      <c r="R5" s="1300"/>
      <c r="S5" s="1300"/>
      <c r="T5" s="1300"/>
      <c r="U5" s="1300"/>
      <c r="V5" s="1300"/>
      <c r="W5" s="1299">
        <f>'FICHE R1'!J5</f>
        <v>0</v>
      </c>
      <c r="X5" s="1299"/>
      <c r="Y5" s="1299"/>
      <c r="Z5" s="1299"/>
      <c r="AA5" s="1299"/>
      <c r="AB5" s="1299"/>
      <c r="AC5" s="280" t="s">
        <v>31</v>
      </c>
      <c r="AE5" s="282"/>
      <c r="AF5" s="282"/>
      <c r="AG5" s="282"/>
      <c r="AH5" s="282"/>
      <c r="AI5" s="1301">
        <f>'FICHE R1'!U5</f>
        <v>0</v>
      </c>
      <c r="AJ5" s="1301"/>
      <c r="AK5" s="1301"/>
      <c r="AL5" s="1301"/>
    </row>
    <row r="6" spans="1:38" s="132" customFormat="1" ht="15" customHeight="1">
      <c r="A6" s="280" t="s">
        <v>2025</v>
      </c>
      <c r="I6" s="1296">
        <f>'FICHE R1'!E6</f>
        <v>0</v>
      </c>
      <c r="J6" s="1296"/>
      <c r="K6" s="1296"/>
      <c r="L6" s="1296"/>
      <c r="M6" s="1296"/>
      <c r="N6" s="1296"/>
      <c r="O6" s="1296"/>
      <c r="P6" s="1296"/>
      <c r="Q6" s="267"/>
      <c r="R6" s="267"/>
      <c r="S6" s="267"/>
      <c r="T6" s="267"/>
      <c r="U6" s="267"/>
      <c r="V6" s="267"/>
      <c r="W6" s="267"/>
      <c r="X6" s="267"/>
      <c r="Y6" s="267"/>
      <c r="Z6" s="267"/>
      <c r="AA6" s="267"/>
      <c r="AB6" s="267"/>
      <c r="AC6" s="267"/>
      <c r="AD6" s="267"/>
      <c r="AE6" s="267"/>
      <c r="AF6" s="267"/>
      <c r="AG6" s="267"/>
      <c r="AH6" s="267"/>
      <c r="AI6" s="267"/>
      <c r="AJ6" s="267"/>
      <c r="AK6" s="267"/>
      <c r="AL6" s="267"/>
    </row>
    <row r="7" spans="1:38" s="3" customFormat="1" ht="28.5" customHeight="1">
      <c r="A7" s="1305" t="s">
        <v>1513</v>
      </c>
      <c r="B7" s="1305"/>
      <c r="C7" s="1305"/>
      <c r="D7" s="1305"/>
      <c r="E7" s="1305"/>
      <c r="F7" s="1305"/>
      <c r="G7" s="1305"/>
      <c r="H7" s="1305"/>
      <c r="I7" s="1305"/>
      <c r="J7" s="1305"/>
      <c r="K7" s="1305"/>
      <c r="L7" s="1305"/>
      <c r="M7" s="1305"/>
      <c r="N7" s="1305"/>
      <c r="O7" s="1305"/>
      <c r="P7" s="1305"/>
      <c r="Q7" s="1305"/>
      <c r="R7" s="1305"/>
      <c r="S7" s="1305"/>
      <c r="T7" s="1305"/>
      <c r="U7" s="1305"/>
      <c r="V7" s="1305"/>
      <c r="W7" s="1305"/>
      <c r="X7" s="1305"/>
      <c r="Y7" s="1305"/>
      <c r="Z7" s="1305"/>
      <c r="AA7" s="1305"/>
      <c r="AB7" s="1305"/>
      <c r="AC7" s="1305"/>
      <c r="AD7" s="1305"/>
      <c r="AE7" s="1305"/>
      <c r="AF7" s="1305"/>
      <c r="AG7" s="1305"/>
      <c r="AH7" s="1305"/>
      <c r="AI7" s="1305"/>
      <c r="AJ7" s="1305"/>
      <c r="AK7" s="1305"/>
      <c r="AL7" s="1305"/>
    </row>
    <row r="8" spans="1:38" s="3" customFormat="1" ht="16.5" customHeight="1">
      <c r="A8" s="198"/>
      <c r="B8" s="199"/>
      <c r="C8" s="199"/>
      <c r="D8" s="199"/>
      <c r="E8" s="199"/>
      <c r="F8" s="199"/>
      <c r="G8" s="199"/>
      <c r="H8" s="199"/>
      <c r="I8" s="199"/>
      <c r="J8" s="199"/>
      <c r="K8" s="199"/>
      <c r="L8" s="199"/>
      <c r="M8" s="199"/>
      <c r="N8" s="199"/>
      <c r="O8" s="199"/>
      <c r="P8" s="199"/>
      <c r="Q8" s="199"/>
      <c r="R8" s="199"/>
      <c r="S8" s="200"/>
      <c r="T8" s="201"/>
      <c r="U8" s="202"/>
      <c r="V8" s="1294" t="s">
        <v>1443</v>
      </c>
      <c r="W8" s="1294"/>
      <c r="X8" s="1294"/>
      <c r="Y8" s="1294"/>
      <c r="Z8" s="1294"/>
      <c r="AA8" s="1294"/>
      <c r="AB8" s="1294"/>
      <c r="AC8" s="1294"/>
      <c r="AD8" s="1294"/>
      <c r="AE8" s="1294"/>
      <c r="AF8" s="1294"/>
      <c r="AG8" s="1294"/>
      <c r="AH8" s="1294"/>
      <c r="AI8" s="1294"/>
      <c r="AJ8" s="1294"/>
      <c r="AK8" s="1309"/>
      <c r="AL8" s="1295"/>
    </row>
    <row r="9" spans="1:38" s="3" customFormat="1" ht="15.75" customHeight="1">
      <c r="A9" s="1303" t="s">
        <v>1434</v>
      </c>
      <c r="B9" s="1304"/>
      <c r="D9" s="203" t="s">
        <v>1113</v>
      </c>
      <c r="E9" s="204"/>
      <c r="F9" s="204"/>
      <c r="G9" s="204"/>
      <c r="H9" s="204"/>
      <c r="I9" s="204"/>
      <c r="J9" s="204"/>
      <c r="K9" s="204"/>
      <c r="L9" s="204"/>
      <c r="M9" s="205"/>
      <c r="N9" s="206"/>
      <c r="O9" s="206"/>
      <c r="P9" s="206"/>
      <c r="Q9" s="233"/>
      <c r="R9" s="233"/>
      <c r="S9" s="207"/>
      <c r="T9" s="206"/>
      <c r="U9" s="208"/>
      <c r="V9" s="1311" t="s">
        <v>1440</v>
      </c>
      <c r="W9" s="1312"/>
      <c r="X9" s="209" t="s">
        <v>1444</v>
      </c>
      <c r="Y9" s="209"/>
      <c r="Z9" s="209"/>
      <c r="AA9" s="209"/>
      <c r="AB9" s="209"/>
      <c r="AC9" s="209"/>
      <c r="AD9" s="206"/>
      <c r="AE9" s="206"/>
      <c r="AF9" s="206"/>
      <c r="AG9" s="206"/>
      <c r="AH9" s="206"/>
      <c r="AI9" s="206"/>
      <c r="AJ9" s="210"/>
      <c r="AK9" s="234"/>
      <c r="AL9" s="208"/>
    </row>
    <row r="10" spans="1:38" s="3" customFormat="1" ht="6" customHeight="1">
      <c r="A10" s="211"/>
      <c r="B10" s="205"/>
      <c r="C10" s="205"/>
      <c r="D10" s="204"/>
      <c r="E10" s="204"/>
      <c r="F10" s="204"/>
      <c r="G10" s="204"/>
      <c r="H10" s="204"/>
      <c r="I10" s="204"/>
      <c r="J10" s="204"/>
      <c r="K10" s="204"/>
      <c r="L10" s="204"/>
      <c r="M10" s="205"/>
      <c r="N10" s="206"/>
      <c r="O10" s="206"/>
      <c r="P10" s="206"/>
      <c r="Q10" s="212"/>
      <c r="R10" s="212"/>
      <c r="S10" s="207"/>
      <c r="T10" s="206"/>
      <c r="U10" s="208"/>
      <c r="V10" s="206"/>
      <c r="W10" s="206"/>
      <c r="X10" s="209"/>
      <c r="Y10" s="209"/>
      <c r="Z10" s="209"/>
      <c r="AA10" s="209"/>
      <c r="AB10" s="209"/>
      <c r="AC10" s="209"/>
      <c r="AD10" s="206"/>
      <c r="AE10" s="206"/>
      <c r="AF10" s="206"/>
      <c r="AG10" s="206"/>
      <c r="AH10" s="206"/>
      <c r="AI10" s="206"/>
      <c r="AJ10" s="213"/>
      <c r="AK10" s="207"/>
      <c r="AL10" s="208"/>
    </row>
    <row r="11" spans="1:38" s="3" customFormat="1" ht="15.75" customHeight="1">
      <c r="A11" s="1303" t="s">
        <v>1435</v>
      </c>
      <c r="B11" s="1304"/>
      <c r="D11" s="203" t="s">
        <v>1114</v>
      </c>
      <c r="E11" s="204"/>
      <c r="F11" s="204"/>
      <c r="G11" s="204"/>
      <c r="H11" s="204"/>
      <c r="I11" s="204"/>
      <c r="J11" s="204"/>
      <c r="K11" s="204"/>
      <c r="L11" s="204"/>
      <c r="M11" s="205"/>
      <c r="N11" s="206"/>
      <c r="O11" s="206"/>
      <c r="P11" s="206"/>
      <c r="Q11" s="233"/>
      <c r="R11" s="214"/>
      <c r="S11" s="207"/>
      <c r="T11" s="206"/>
      <c r="U11" s="208"/>
      <c r="V11" s="1313" t="s">
        <v>1441</v>
      </c>
      <c r="W11" s="1304"/>
      <c r="X11" s="209" t="s">
        <v>1445</v>
      </c>
      <c r="Y11" s="209"/>
      <c r="Z11" s="209"/>
      <c r="AA11" s="209"/>
      <c r="AB11" s="209"/>
      <c r="AC11" s="209"/>
      <c r="AD11" s="206"/>
      <c r="AE11" s="206"/>
      <c r="AF11" s="206"/>
      <c r="AG11" s="206"/>
      <c r="AH11" s="206"/>
      <c r="AI11" s="206"/>
      <c r="AJ11" s="213"/>
      <c r="AK11" s="234"/>
      <c r="AL11" s="208"/>
    </row>
    <row r="12" spans="1:38" s="3" customFormat="1" ht="6" customHeight="1">
      <c r="A12" s="211"/>
      <c r="B12" s="205"/>
      <c r="C12" s="205"/>
      <c r="D12" s="204"/>
      <c r="E12" s="204"/>
      <c r="F12" s="204"/>
      <c r="G12" s="204"/>
      <c r="H12" s="204"/>
      <c r="I12" s="204"/>
      <c r="J12" s="204"/>
      <c r="K12" s="204"/>
      <c r="L12" s="204"/>
      <c r="M12" s="205"/>
      <c r="N12" s="206"/>
      <c r="O12" s="206"/>
      <c r="P12" s="206"/>
      <c r="Q12" s="212"/>
      <c r="R12" s="212"/>
      <c r="S12" s="207"/>
      <c r="T12" s="206"/>
      <c r="U12" s="208"/>
      <c r="V12" s="206"/>
      <c r="W12" s="206"/>
      <c r="X12" s="209"/>
      <c r="Y12" s="209"/>
      <c r="Z12" s="209"/>
      <c r="AA12" s="209"/>
      <c r="AB12" s="209"/>
      <c r="AC12" s="209"/>
      <c r="AD12" s="206"/>
      <c r="AE12" s="206"/>
      <c r="AF12" s="206"/>
      <c r="AG12" s="206"/>
      <c r="AH12" s="206"/>
      <c r="AI12" s="206"/>
      <c r="AJ12" s="213"/>
      <c r="AK12" s="207"/>
      <c r="AL12" s="208"/>
    </row>
    <row r="13" spans="1:38" s="3" customFormat="1" ht="15.75" customHeight="1">
      <c r="A13" s="1303" t="s">
        <v>1436</v>
      </c>
      <c r="B13" s="1304"/>
      <c r="D13" s="203" t="s">
        <v>1115</v>
      </c>
      <c r="E13" s="204"/>
      <c r="F13" s="204"/>
      <c r="G13" s="204"/>
      <c r="H13" s="204"/>
      <c r="I13" s="204"/>
      <c r="J13" s="204"/>
      <c r="K13" s="204"/>
      <c r="L13" s="204"/>
      <c r="M13" s="205"/>
      <c r="N13" s="206"/>
      <c r="O13" s="206"/>
      <c r="P13" s="206"/>
      <c r="Q13" s="233"/>
      <c r="R13" s="233"/>
      <c r="S13" s="207"/>
      <c r="T13" s="206"/>
      <c r="U13" s="208"/>
      <c r="V13" s="1313" t="s">
        <v>1442</v>
      </c>
      <c r="W13" s="1304"/>
      <c r="X13" s="209" t="s">
        <v>1446</v>
      </c>
      <c r="Y13" s="209"/>
      <c r="Z13" s="209"/>
      <c r="AA13" s="209"/>
      <c r="AB13" s="209"/>
      <c r="AC13" s="209"/>
      <c r="AD13" s="206"/>
      <c r="AE13" s="206"/>
      <c r="AF13" s="206"/>
      <c r="AG13" s="206"/>
      <c r="AH13" s="206"/>
      <c r="AI13" s="206"/>
      <c r="AJ13" s="213"/>
      <c r="AK13" s="234"/>
      <c r="AL13" s="208"/>
    </row>
    <row r="14" spans="1:38" s="3" customFormat="1" ht="6" customHeight="1">
      <c r="A14" s="211"/>
      <c r="B14" s="205"/>
      <c r="C14" s="205"/>
      <c r="D14" s="204"/>
      <c r="E14" s="204"/>
      <c r="F14" s="204"/>
      <c r="G14" s="204"/>
      <c r="H14" s="204"/>
      <c r="I14" s="204"/>
      <c r="J14" s="204"/>
      <c r="K14" s="204"/>
      <c r="L14" s="204"/>
      <c r="M14" s="205"/>
      <c r="N14" s="206"/>
      <c r="O14" s="206"/>
      <c r="P14" s="206"/>
      <c r="Q14" s="212"/>
      <c r="R14" s="212"/>
      <c r="S14" s="207"/>
      <c r="T14" s="206"/>
      <c r="U14" s="208"/>
      <c r="V14" s="206"/>
      <c r="W14" s="206"/>
      <c r="X14" s="206"/>
      <c r="Y14" s="206"/>
      <c r="Z14" s="206"/>
      <c r="AA14" s="206"/>
      <c r="AB14" s="206"/>
      <c r="AC14" s="206"/>
      <c r="AD14" s="206"/>
      <c r="AE14" s="206"/>
      <c r="AF14" s="206"/>
      <c r="AG14" s="206"/>
      <c r="AH14" s="206"/>
      <c r="AI14" s="206"/>
      <c r="AJ14" s="213"/>
      <c r="AK14" s="206"/>
      <c r="AL14" s="208"/>
    </row>
    <row r="15" spans="1:38" s="3" customFormat="1" ht="15.75" customHeight="1">
      <c r="A15" s="1303" t="s">
        <v>1437</v>
      </c>
      <c r="B15" s="1304"/>
      <c r="D15" s="203" t="s">
        <v>81</v>
      </c>
      <c r="E15" s="204"/>
      <c r="F15" s="204"/>
      <c r="G15" s="204"/>
      <c r="H15" s="204"/>
      <c r="I15" s="204"/>
      <c r="J15" s="204"/>
      <c r="K15" s="204"/>
      <c r="L15" s="204"/>
      <c r="M15" s="205"/>
      <c r="N15" s="206"/>
      <c r="O15" s="206"/>
      <c r="P15" s="206"/>
      <c r="Q15" s="233"/>
      <c r="R15" s="233"/>
      <c r="S15" s="207"/>
      <c r="T15" s="206"/>
      <c r="U15" s="208"/>
      <c r="V15" s="206"/>
      <c r="W15" s="206"/>
      <c r="X15" s="206"/>
      <c r="Y15" s="206"/>
      <c r="Z15" s="206"/>
      <c r="AA15" s="206"/>
      <c r="AB15" s="206"/>
      <c r="AC15" s="206"/>
      <c r="AD15" s="206"/>
      <c r="AE15" s="206"/>
      <c r="AF15" s="206"/>
      <c r="AG15" s="206"/>
      <c r="AH15" s="206"/>
      <c r="AI15" s="206"/>
      <c r="AJ15" s="213"/>
      <c r="AK15" s="206"/>
      <c r="AL15" s="208"/>
    </row>
    <row r="16" spans="1:38" s="3" customFormat="1" ht="6" customHeight="1">
      <c r="A16" s="211"/>
      <c r="B16" s="205"/>
      <c r="C16" s="205"/>
      <c r="D16" s="204"/>
      <c r="E16" s="204"/>
      <c r="F16" s="204"/>
      <c r="G16" s="204"/>
      <c r="H16" s="204"/>
      <c r="I16" s="204"/>
      <c r="J16" s="204"/>
      <c r="K16" s="204"/>
      <c r="L16" s="204"/>
      <c r="M16" s="205"/>
      <c r="N16" s="206"/>
      <c r="O16" s="206"/>
      <c r="P16" s="206"/>
      <c r="Q16" s="212"/>
      <c r="R16" s="212"/>
      <c r="S16" s="207"/>
      <c r="T16" s="206"/>
      <c r="U16" s="208"/>
      <c r="V16" s="206"/>
      <c r="W16" s="206"/>
      <c r="X16" s="206"/>
      <c r="Y16" s="206"/>
      <c r="Z16" s="206"/>
      <c r="AA16" s="206"/>
      <c r="AB16" s="206"/>
      <c r="AC16" s="206"/>
      <c r="AD16" s="206"/>
      <c r="AE16" s="206"/>
      <c r="AF16" s="206"/>
      <c r="AG16" s="206"/>
      <c r="AH16" s="206"/>
      <c r="AI16" s="206"/>
      <c r="AJ16" s="213"/>
      <c r="AK16" s="206"/>
      <c r="AL16" s="208"/>
    </row>
    <row r="17" spans="1:38" s="3" customFormat="1" ht="15.75" customHeight="1">
      <c r="A17" s="1303" t="s">
        <v>1438</v>
      </c>
      <c r="B17" s="1304"/>
      <c r="D17" s="203" t="s">
        <v>83</v>
      </c>
      <c r="E17" s="204"/>
      <c r="F17" s="204"/>
      <c r="G17" s="204"/>
      <c r="H17" s="204"/>
      <c r="I17" s="204"/>
      <c r="J17" s="204"/>
      <c r="K17" s="204"/>
      <c r="L17" s="204"/>
      <c r="M17" s="205"/>
      <c r="N17" s="206"/>
      <c r="O17" s="206"/>
      <c r="P17" s="206"/>
      <c r="Q17" s="233"/>
      <c r="R17" s="233"/>
      <c r="S17" s="207"/>
      <c r="T17" s="206"/>
      <c r="U17" s="208"/>
      <c r="V17" s="206"/>
      <c r="W17" s="206"/>
      <c r="X17" s="206"/>
      <c r="Y17" s="206"/>
      <c r="Z17" s="206"/>
      <c r="AA17" s="206"/>
      <c r="AB17" s="206"/>
      <c r="AC17" s="206"/>
      <c r="AD17" s="206"/>
      <c r="AE17" s="206"/>
      <c r="AF17" s="206"/>
      <c r="AG17" s="206"/>
      <c r="AH17" s="206"/>
      <c r="AI17" s="206"/>
      <c r="AJ17" s="213"/>
      <c r="AK17" s="206"/>
      <c r="AL17" s="208"/>
    </row>
    <row r="18" spans="1:38" s="3" customFormat="1" ht="11.5">
      <c r="A18" s="213"/>
      <c r="B18" s="205"/>
      <c r="D18" s="203" t="s">
        <v>84</v>
      </c>
      <c r="E18" s="204"/>
      <c r="F18" s="204"/>
      <c r="G18" s="204"/>
      <c r="H18" s="204"/>
      <c r="I18" s="204"/>
      <c r="J18" s="204"/>
      <c r="K18" s="204"/>
      <c r="L18" s="204"/>
      <c r="M18" s="205"/>
      <c r="N18" s="206"/>
      <c r="O18" s="206"/>
      <c r="P18" s="206"/>
      <c r="Q18" s="205"/>
      <c r="R18" s="205"/>
      <c r="S18" s="206"/>
      <c r="T18" s="206"/>
      <c r="U18" s="208"/>
      <c r="V18" s="206"/>
      <c r="W18" s="206"/>
      <c r="X18" s="206"/>
      <c r="Y18" s="206"/>
      <c r="Z18" s="206"/>
      <c r="AA18" s="206"/>
      <c r="AB18" s="206"/>
      <c r="AC18" s="206"/>
      <c r="AD18" s="206"/>
      <c r="AE18" s="206"/>
      <c r="AF18" s="206"/>
      <c r="AG18" s="206"/>
      <c r="AH18" s="206"/>
      <c r="AI18" s="206"/>
      <c r="AJ18" s="213"/>
      <c r="AK18" s="206"/>
      <c r="AL18" s="208"/>
    </row>
    <row r="19" spans="1:38" s="3" customFormat="1" ht="6" customHeight="1">
      <c r="A19" s="211"/>
      <c r="B19" s="205"/>
      <c r="C19" s="205"/>
      <c r="D19" s="204"/>
      <c r="E19" s="204"/>
      <c r="F19" s="204"/>
      <c r="G19" s="204"/>
      <c r="H19" s="204"/>
      <c r="I19" s="204"/>
      <c r="J19" s="204"/>
      <c r="K19" s="204"/>
      <c r="L19" s="204"/>
      <c r="M19" s="205"/>
      <c r="N19" s="206"/>
      <c r="O19" s="206"/>
      <c r="P19" s="206"/>
      <c r="Q19" s="205"/>
      <c r="R19" s="205"/>
      <c r="S19" s="206"/>
      <c r="T19" s="206"/>
      <c r="U19" s="208"/>
      <c r="V19" s="206"/>
      <c r="W19" s="206"/>
      <c r="X19" s="206"/>
      <c r="Y19" s="206"/>
      <c r="Z19" s="206"/>
      <c r="AA19" s="206"/>
      <c r="AB19" s="206"/>
      <c r="AC19" s="206"/>
      <c r="AD19" s="206"/>
      <c r="AE19" s="206"/>
      <c r="AF19" s="206"/>
      <c r="AG19" s="206"/>
      <c r="AH19" s="206"/>
      <c r="AI19" s="206"/>
      <c r="AJ19" s="213"/>
      <c r="AK19" s="206"/>
      <c r="AL19" s="208"/>
    </row>
    <row r="20" spans="1:38" s="3" customFormat="1" ht="15.75" customHeight="1">
      <c r="A20" s="1303" t="s">
        <v>1439</v>
      </c>
      <c r="B20" s="1304"/>
      <c r="D20" s="203" t="s">
        <v>86</v>
      </c>
      <c r="E20" s="204"/>
      <c r="F20" s="204"/>
      <c r="G20" s="204"/>
      <c r="H20" s="204"/>
      <c r="I20" s="204"/>
      <c r="J20" s="204"/>
      <c r="K20" s="204"/>
      <c r="L20" s="204"/>
      <c r="M20" s="205"/>
      <c r="N20" s="206"/>
      <c r="O20" s="206"/>
      <c r="P20" s="206"/>
      <c r="Q20" s="233"/>
      <c r="R20" s="233"/>
      <c r="S20" s="233"/>
      <c r="T20" s="233"/>
      <c r="U20" s="208"/>
      <c r="V20" s="206"/>
      <c r="W20" s="206"/>
      <c r="X20" s="206"/>
      <c r="Y20" s="206"/>
      <c r="Z20" s="206"/>
      <c r="AA20" s="206"/>
      <c r="AB20" s="206"/>
      <c r="AC20" s="206"/>
      <c r="AD20" s="206"/>
      <c r="AE20" s="206"/>
      <c r="AF20" s="206"/>
      <c r="AG20" s="206"/>
      <c r="AH20" s="206"/>
      <c r="AI20" s="206"/>
      <c r="AJ20" s="213"/>
      <c r="AK20" s="206"/>
      <c r="AL20" s="208"/>
    </row>
    <row r="21" spans="1:38" s="3" customFormat="1" ht="10.5">
      <c r="A21" s="215"/>
      <c r="B21" s="216"/>
      <c r="C21" s="216"/>
      <c r="D21" s="216"/>
      <c r="E21" s="216"/>
      <c r="F21" s="216"/>
      <c r="G21" s="216"/>
      <c r="H21" s="216"/>
      <c r="I21" s="216"/>
      <c r="J21" s="216"/>
      <c r="K21" s="216"/>
      <c r="L21" s="216"/>
      <c r="M21" s="216"/>
      <c r="N21" s="217"/>
      <c r="O21" s="217"/>
      <c r="P21" s="217"/>
      <c r="Q21" s="217"/>
      <c r="R21" s="217"/>
      <c r="S21" s="217"/>
      <c r="T21" s="217"/>
      <c r="U21" s="218"/>
      <c r="V21" s="217"/>
      <c r="W21" s="217"/>
      <c r="X21" s="217"/>
      <c r="Y21" s="217"/>
      <c r="Z21" s="217"/>
      <c r="AA21" s="217"/>
      <c r="AB21" s="217"/>
      <c r="AC21" s="217"/>
      <c r="AD21" s="217"/>
      <c r="AE21" s="217"/>
      <c r="AF21" s="217"/>
      <c r="AG21" s="217"/>
      <c r="AH21" s="217"/>
      <c r="AI21" s="217"/>
      <c r="AJ21" s="219"/>
      <c r="AK21" s="217"/>
      <c r="AL21" s="218"/>
    </row>
    <row r="22" spans="1:38" s="3" customFormat="1" ht="5.25" customHeight="1">
      <c r="A22" s="220"/>
      <c r="B22" s="220"/>
      <c r="C22" s="220"/>
      <c r="D22" s="220"/>
      <c r="E22" s="220"/>
      <c r="F22" s="220"/>
      <c r="G22" s="220"/>
      <c r="H22" s="220"/>
      <c r="I22" s="220"/>
      <c r="J22" s="221"/>
      <c r="K22" s="221"/>
      <c r="L22" s="221"/>
      <c r="M22" s="221"/>
      <c r="N22" s="221"/>
      <c r="O22" s="221"/>
      <c r="P22" s="221"/>
      <c r="Q22" s="221"/>
      <c r="R22" s="221"/>
      <c r="S22" s="221"/>
      <c r="T22" s="221"/>
      <c r="U22" s="221"/>
      <c r="V22" s="221"/>
      <c r="W22" s="221"/>
      <c r="X22" s="221"/>
      <c r="Y22" s="221"/>
      <c r="Z22" s="221"/>
      <c r="AA22" s="221"/>
      <c r="AB22" s="221"/>
      <c r="AC22" s="221"/>
      <c r="AD22" s="221"/>
      <c r="AE22" s="221"/>
      <c r="AF22" s="221"/>
      <c r="AG22" s="221"/>
      <c r="AH22" s="221"/>
      <c r="AI22" s="221"/>
      <c r="AJ22" s="221"/>
      <c r="AK22" s="221"/>
      <c r="AL22" s="221"/>
    </row>
    <row r="23" spans="1:38" s="3" customFormat="1" ht="13">
      <c r="A23" s="1310" t="s">
        <v>1447</v>
      </c>
      <c r="B23" s="1310"/>
      <c r="C23" s="1310"/>
      <c r="D23" s="1310"/>
      <c r="E23" s="1310"/>
      <c r="F23" s="1310"/>
      <c r="G23" s="1310"/>
      <c r="H23" s="1310"/>
      <c r="I23" s="1310"/>
      <c r="J23" s="1310"/>
      <c r="K23" s="1310"/>
      <c r="L23" s="1310"/>
      <c r="M23" s="1310"/>
      <c r="N23" s="1310"/>
      <c r="O23" s="1310"/>
      <c r="P23" s="1310"/>
      <c r="Q23" s="1310"/>
      <c r="R23" s="1310"/>
      <c r="S23" s="1310"/>
      <c r="T23" s="1310"/>
      <c r="U23" s="1310"/>
      <c r="V23" s="1310"/>
      <c r="W23" s="1310"/>
      <c r="X23" s="1310"/>
      <c r="Y23" s="1310"/>
      <c r="Z23" s="1310"/>
      <c r="AA23" s="1310"/>
      <c r="AB23" s="1310"/>
      <c r="AC23" s="1310"/>
      <c r="AD23" s="1310"/>
      <c r="AE23" s="1310"/>
      <c r="AF23" s="1310"/>
      <c r="AG23" s="1310"/>
      <c r="AH23" s="1310"/>
      <c r="AI23" s="1310"/>
      <c r="AJ23" s="1310"/>
      <c r="AK23" s="1310"/>
      <c r="AL23" s="1310"/>
    </row>
    <row r="24" spans="1:38" s="3" customFormat="1" ht="5.25" customHeight="1">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row>
    <row r="25" spans="1:38" s="3" customFormat="1" ht="11.25" customHeight="1">
      <c r="A25" s="1314" t="s">
        <v>1722</v>
      </c>
      <c r="B25" s="1314"/>
      <c r="C25" s="1314"/>
      <c r="D25" s="1314"/>
      <c r="E25" s="1314"/>
      <c r="F25" s="1314"/>
      <c r="G25" s="1314"/>
      <c r="H25" s="1314"/>
      <c r="I25" s="1314"/>
      <c r="J25" s="1314"/>
      <c r="K25" s="1314"/>
      <c r="L25" s="1314"/>
      <c r="M25" s="1314"/>
      <c r="N25" s="1314"/>
      <c r="O25" s="1314"/>
      <c r="P25" s="1325" t="s">
        <v>1721</v>
      </c>
      <c r="Q25" s="1326"/>
      <c r="R25" s="1326"/>
      <c r="S25" s="1326"/>
      <c r="T25" s="1326"/>
      <c r="U25" s="1326"/>
      <c r="V25" s="1326"/>
      <c r="W25" s="1326"/>
      <c r="X25" s="1327"/>
      <c r="Y25" s="1317" t="s">
        <v>1720</v>
      </c>
      <c r="Z25" s="1317"/>
      <c r="AA25" s="1317"/>
      <c r="AB25" s="1317"/>
      <c r="AC25" s="1317"/>
      <c r="AD25" s="1317"/>
      <c r="AE25" s="1317"/>
      <c r="AF25" s="1317"/>
      <c r="AG25" s="1317"/>
      <c r="AH25" s="223"/>
      <c r="AI25" s="1320" t="s">
        <v>1723</v>
      </c>
      <c r="AJ25" s="1317"/>
      <c r="AK25" s="1317"/>
      <c r="AL25" s="1317"/>
    </row>
    <row r="26" spans="1:38" s="3" customFormat="1" ht="11.5">
      <c r="A26" s="1315"/>
      <c r="B26" s="1315"/>
      <c r="C26" s="1315"/>
      <c r="D26" s="1315"/>
      <c r="E26" s="1315"/>
      <c r="F26" s="1315"/>
      <c r="G26" s="1315"/>
      <c r="H26" s="1315"/>
      <c r="I26" s="1315"/>
      <c r="J26" s="1315"/>
      <c r="K26" s="1315"/>
      <c r="L26" s="1315"/>
      <c r="M26" s="1315"/>
      <c r="N26" s="1315"/>
      <c r="O26" s="1315"/>
      <c r="P26" s="1328"/>
      <c r="Q26" s="1329"/>
      <c r="R26" s="1329"/>
      <c r="S26" s="1329"/>
      <c r="T26" s="1329"/>
      <c r="U26" s="1329"/>
      <c r="V26" s="1329"/>
      <c r="W26" s="1329"/>
      <c r="X26" s="1330"/>
      <c r="Y26" s="1318"/>
      <c r="Z26" s="1318"/>
      <c r="AA26" s="1318"/>
      <c r="AB26" s="1318"/>
      <c r="AC26" s="1318"/>
      <c r="AD26" s="1318"/>
      <c r="AE26" s="1318"/>
      <c r="AF26" s="1318"/>
      <c r="AG26" s="1318"/>
      <c r="AH26" s="224"/>
      <c r="AI26" s="1321"/>
      <c r="AJ26" s="1318"/>
      <c r="AK26" s="1318"/>
      <c r="AL26" s="1318"/>
    </row>
    <row r="27" spans="1:38" s="3" customFormat="1" ht="20.25" customHeight="1">
      <c r="A27" s="1316"/>
      <c r="B27" s="1316"/>
      <c r="C27" s="1316"/>
      <c r="D27" s="1316"/>
      <c r="E27" s="1316"/>
      <c r="F27" s="1316"/>
      <c r="G27" s="1316"/>
      <c r="H27" s="1316"/>
      <c r="I27" s="1316"/>
      <c r="J27" s="1316"/>
      <c r="K27" s="1316"/>
      <c r="L27" s="1316"/>
      <c r="M27" s="1316"/>
      <c r="N27" s="1316"/>
      <c r="O27" s="1316"/>
      <c r="P27" s="1331"/>
      <c r="Q27" s="1332"/>
      <c r="R27" s="1332"/>
      <c r="S27" s="1332"/>
      <c r="T27" s="1332"/>
      <c r="U27" s="1332"/>
      <c r="V27" s="1332"/>
      <c r="W27" s="1332"/>
      <c r="X27" s="1333"/>
      <c r="Y27" s="1319"/>
      <c r="Z27" s="1319"/>
      <c r="AA27" s="1319"/>
      <c r="AB27" s="1319"/>
      <c r="AC27" s="1319"/>
      <c r="AD27" s="1319"/>
      <c r="AE27" s="1319"/>
      <c r="AF27" s="1319"/>
      <c r="AG27" s="1319"/>
      <c r="AH27" s="225"/>
      <c r="AI27" s="1322"/>
      <c r="AJ27" s="1319"/>
      <c r="AK27" s="1319"/>
      <c r="AL27" s="1319"/>
    </row>
    <row r="28" spans="1:38" s="3" customFormat="1" ht="5.25" customHeight="1">
      <c r="A28" s="226"/>
      <c r="B28" s="222"/>
      <c r="C28" s="222"/>
      <c r="D28" s="222"/>
      <c r="E28" s="222"/>
      <c r="F28" s="222"/>
      <c r="G28" s="222"/>
      <c r="H28" s="222"/>
      <c r="I28" s="222"/>
      <c r="J28" s="222"/>
      <c r="K28" s="222"/>
      <c r="L28" s="222"/>
      <c r="M28" s="222"/>
      <c r="N28" s="222"/>
      <c r="O28" s="227"/>
      <c r="P28" s="222"/>
      <c r="Q28" s="222"/>
      <c r="R28" s="222"/>
      <c r="S28" s="222"/>
      <c r="T28" s="222"/>
      <c r="U28" s="222"/>
      <c r="V28" s="222"/>
      <c r="W28" s="222"/>
      <c r="X28" s="222"/>
      <c r="Y28" s="226"/>
      <c r="Z28" s="222"/>
      <c r="AA28" s="222"/>
      <c r="AB28" s="222"/>
      <c r="AC28" s="222"/>
      <c r="AD28" s="222"/>
      <c r="AE28" s="222"/>
      <c r="AF28" s="222"/>
      <c r="AG28" s="227"/>
      <c r="AH28" s="222"/>
      <c r="AI28" s="228"/>
      <c r="AJ28" s="222"/>
      <c r="AK28" s="222"/>
      <c r="AL28" s="227"/>
    </row>
    <row r="29" spans="1:38" s="313" customFormat="1" ht="19" customHeight="1">
      <c r="A29" s="521"/>
      <c r="B29" s="1307"/>
      <c r="C29" s="1307"/>
      <c r="D29" s="1307"/>
      <c r="E29" s="1307"/>
      <c r="F29" s="1307"/>
      <c r="G29" s="1307"/>
      <c r="H29" s="1307"/>
      <c r="I29" s="1307"/>
      <c r="J29" s="1307"/>
      <c r="K29" s="1307"/>
      <c r="L29" s="1307"/>
      <c r="M29" s="1307"/>
      <c r="N29" s="1307"/>
      <c r="O29" s="1308"/>
      <c r="P29" s="522"/>
      <c r="Q29" s="546"/>
      <c r="R29" s="546"/>
      <c r="S29" s="546"/>
      <c r="T29" s="546"/>
      <c r="U29" s="546"/>
      <c r="V29" s="546"/>
      <c r="W29" s="546"/>
      <c r="X29" s="523"/>
      <c r="Y29" s="524"/>
      <c r="Z29" s="1342"/>
      <c r="AA29" s="1342"/>
      <c r="AB29" s="1342"/>
      <c r="AC29" s="1342"/>
      <c r="AD29" s="1342"/>
      <c r="AE29" s="1342"/>
      <c r="AF29" s="1342"/>
      <c r="AG29" s="525"/>
      <c r="AH29" s="526"/>
      <c r="AI29" s="1306"/>
      <c r="AJ29" s="1306"/>
      <c r="AK29" s="1306"/>
      <c r="AL29" s="525"/>
    </row>
    <row r="30" spans="1:38" s="313" customFormat="1" ht="5.25" customHeight="1">
      <c r="A30" s="527"/>
      <c r="B30" s="549"/>
      <c r="C30" s="549"/>
      <c r="D30" s="549"/>
      <c r="E30" s="549"/>
      <c r="F30" s="549"/>
      <c r="G30" s="549"/>
      <c r="H30" s="549"/>
      <c r="I30" s="549"/>
      <c r="J30" s="549"/>
      <c r="K30" s="549"/>
      <c r="L30" s="549"/>
      <c r="M30" s="549"/>
      <c r="N30" s="549"/>
      <c r="O30" s="550"/>
      <c r="P30" s="522"/>
      <c r="Q30" s="522"/>
      <c r="R30" s="522"/>
      <c r="S30" s="522"/>
      <c r="T30" s="522"/>
      <c r="U30" s="522"/>
      <c r="V30" s="522"/>
      <c r="W30" s="522"/>
      <c r="X30" s="522"/>
      <c r="Y30" s="524"/>
      <c r="Z30" s="522"/>
      <c r="AA30" s="522"/>
      <c r="AB30" s="522"/>
      <c r="AC30" s="522"/>
      <c r="AD30" s="522"/>
      <c r="AE30" s="522"/>
      <c r="AF30" s="522"/>
      <c r="AG30" s="525"/>
      <c r="AH30" s="526"/>
      <c r="AI30" s="526"/>
      <c r="AJ30" s="526"/>
      <c r="AK30" s="526"/>
      <c r="AL30" s="525"/>
    </row>
    <row r="31" spans="1:38" s="313" customFormat="1" ht="5.25" customHeight="1">
      <c r="A31" s="528"/>
      <c r="B31" s="551"/>
      <c r="C31" s="551"/>
      <c r="D31" s="551"/>
      <c r="E31" s="551"/>
      <c r="F31" s="551"/>
      <c r="G31" s="551"/>
      <c r="H31" s="551"/>
      <c r="I31" s="551"/>
      <c r="J31" s="551"/>
      <c r="K31" s="551"/>
      <c r="L31" s="551"/>
      <c r="M31" s="551"/>
      <c r="N31" s="551"/>
      <c r="O31" s="552"/>
      <c r="P31" s="529"/>
      <c r="Q31" s="529"/>
      <c r="R31" s="529"/>
      <c r="S31" s="529"/>
      <c r="T31" s="529"/>
      <c r="U31" s="529"/>
      <c r="V31" s="529"/>
      <c r="W31" s="529"/>
      <c r="X31" s="529"/>
      <c r="Y31" s="530"/>
      <c r="Z31" s="529"/>
      <c r="AA31" s="529"/>
      <c r="AB31" s="529"/>
      <c r="AC31" s="529"/>
      <c r="AD31" s="529"/>
      <c r="AE31" s="529"/>
      <c r="AF31" s="529"/>
      <c r="AG31" s="531"/>
      <c r="AH31" s="532"/>
      <c r="AI31" s="532"/>
      <c r="AJ31" s="532"/>
      <c r="AK31" s="532"/>
      <c r="AL31" s="531"/>
    </row>
    <row r="32" spans="1:38" s="313" customFormat="1" ht="19" customHeight="1">
      <c r="A32" s="521"/>
      <c r="B32" s="1343"/>
      <c r="C32" s="1343"/>
      <c r="D32" s="1343"/>
      <c r="E32" s="1343"/>
      <c r="F32" s="1343"/>
      <c r="G32" s="1343"/>
      <c r="H32" s="1343"/>
      <c r="I32" s="1343"/>
      <c r="J32" s="1343"/>
      <c r="K32" s="1343"/>
      <c r="L32" s="1343"/>
      <c r="M32" s="1343"/>
      <c r="N32" s="1343"/>
      <c r="O32" s="1344"/>
      <c r="P32" s="522"/>
      <c r="Q32" s="546"/>
      <c r="R32" s="546"/>
      <c r="S32" s="546"/>
      <c r="T32" s="546"/>
      <c r="U32" s="546"/>
      <c r="V32" s="546"/>
      <c r="W32" s="546"/>
      <c r="X32" s="522"/>
      <c r="Y32" s="524"/>
      <c r="Z32" s="1342"/>
      <c r="AA32" s="1342"/>
      <c r="AB32" s="1342"/>
      <c r="AC32" s="1342"/>
      <c r="AD32" s="1342"/>
      <c r="AE32" s="1342"/>
      <c r="AF32" s="1342"/>
      <c r="AG32" s="525"/>
      <c r="AH32" s="526"/>
      <c r="AI32" s="1306"/>
      <c r="AJ32" s="1306"/>
      <c r="AK32" s="1306"/>
      <c r="AL32" s="525"/>
    </row>
    <row r="33" spans="1:38" s="313" customFormat="1" ht="5.25" customHeight="1">
      <c r="A33" s="527"/>
      <c r="B33" s="549"/>
      <c r="C33" s="549"/>
      <c r="D33" s="549"/>
      <c r="E33" s="549"/>
      <c r="F33" s="549"/>
      <c r="G33" s="549"/>
      <c r="H33" s="549"/>
      <c r="I33" s="549"/>
      <c r="J33" s="549"/>
      <c r="K33" s="549"/>
      <c r="L33" s="549"/>
      <c r="M33" s="549"/>
      <c r="N33" s="549"/>
      <c r="O33" s="550"/>
      <c r="P33" s="522"/>
      <c r="Q33" s="522"/>
      <c r="R33" s="522"/>
      <c r="S33" s="522"/>
      <c r="T33" s="522"/>
      <c r="U33" s="522"/>
      <c r="V33" s="522"/>
      <c r="W33" s="522"/>
      <c r="X33" s="522"/>
      <c r="Y33" s="524"/>
      <c r="Z33" s="522"/>
      <c r="AA33" s="522"/>
      <c r="AB33" s="522"/>
      <c r="AC33" s="522"/>
      <c r="AD33" s="522"/>
      <c r="AE33" s="522"/>
      <c r="AF33" s="522"/>
      <c r="AG33" s="525"/>
      <c r="AH33" s="526"/>
      <c r="AI33" s="526"/>
      <c r="AJ33" s="526"/>
      <c r="AK33" s="526"/>
      <c r="AL33" s="525"/>
    </row>
    <row r="34" spans="1:38" s="313" customFormat="1" ht="5.25" customHeight="1">
      <c r="A34" s="528"/>
      <c r="B34" s="551"/>
      <c r="C34" s="551"/>
      <c r="D34" s="551"/>
      <c r="E34" s="551"/>
      <c r="F34" s="551"/>
      <c r="G34" s="551"/>
      <c r="H34" s="551"/>
      <c r="I34" s="551"/>
      <c r="J34" s="551"/>
      <c r="K34" s="551"/>
      <c r="L34" s="551"/>
      <c r="M34" s="551"/>
      <c r="N34" s="551"/>
      <c r="O34" s="552"/>
      <c r="P34" s="529"/>
      <c r="Q34" s="529"/>
      <c r="R34" s="529"/>
      <c r="S34" s="529"/>
      <c r="T34" s="529"/>
      <c r="U34" s="529"/>
      <c r="V34" s="529"/>
      <c r="W34" s="529"/>
      <c r="X34" s="529"/>
      <c r="Y34" s="530"/>
      <c r="Z34" s="529"/>
      <c r="AA34" s="529"/>
      <c r="AB34" s="529"/>
      <c r="AC34" s="529"/>
      <c r="AD34" s="529"/>
      <c r="AE34" s="529"/>
      <c r="AF34" s="529"/>
      <c r="AG34" s="531"/>
      <c r="AH34" s="532"/>
      <c r="AI34" s="532"/>
      <c r="AJ34" s="532"/>
      <c r="AK34" s="532"/>
      <c r="AL34" s="531"/>
    </row>
    <row r="35" spans="1:38" s="313" customFormat="1" ht="19" customHeight="1">
      <c r="A35" s="521"/>
      <c r="B35" s="1343"/>
      <c r="C35" s="1343"/>
      <c r="D35" s="1343"/>
      <c r="E35" s="1343"/>
      <c r="F35" s="1343"/>
      <c r="G35" s="1343"/>
      <c r="H35" s="1343"/>
      <c r="I35" s="1343"/>
      <c r="J35" s="1343"/>
      <c r="K35" s="1343"/>
      <c r="L35" s="1343"/>
      <c r="M35" s="1343"/>
      <c r="N35" s="1343"/>
      <c r="O35" s="1344"/>
      <c r="P35" s="522"/>
      <c r="Q35" s="546"/>
      <c r="R35" s="546"/>
      <c r="S35" s="546"/>
      <c r="T35" s="546"/>
      <c r="U35" s="546"/>
      <c r="V35" s="546"/>
      <c r="W35" s="546"/>
      <c r="X35" s="522"/>
      <c r="Y35" s="524"/>
      <c r="Z35" s="1342"/>
      <c r="AA35" s="1342"/>
      <c r="AB35" s="1342"/>
      <c r="AC35" s="1342"/>
      <c r="AD35" s="1342"/>
      <c r="AE35" s="1342"/>
      <c r="AF35" s="1342"/>
      <c r="AG35" s="525"/>
      <c r="AH35" s="526"/>
      <c r="AI35" s="1306"/>
      <c r="AJ35" s="1306">
        <v>0</v>
      </c>
      <c r="AK35" s="1306"/>
      <c r="AL35" s="525"/>
    </row>
    <row r="36" spans="1:38" s="313" customFormat="1" ht="5.25" customHeight="1">
      <c r="A36" s="527"/>
      <c r="B36" s="549"/>
      <c r="C36" s="549"/>
      <c r="D36" s="549"/>
      <c r="E36" s="549"/>
      <c r="F36" s="549"/>
      <c r="G36" s="549"/>
      <c r="H36" s="549"/>
      <c r="I36" s="549"/>
      <c r="J36" s="549"/>
      <c r="K36" s="549"/>
      <c r="L36" s="549"/>
      <c r="M36" s="549"/>
      <c r="N36" s="549"/>
      <c r="O36" s="550"/>
      <c r="P36" s="522"/>
      <c r="Q36" s="522"/>
      <c r="R36" s="522"/>
      <c r="S36" s="522"/>
      <c r="T36" s="522"/>
      <c r="U36" s="522"/>
      <c r="V36" s="522"/>
      <c r="W36" s="522"/>
      <c r="X36" s="522"/>
      <c r="Y36" s="524"/>
      <c r="Z36" s="522"/>
      <c r="AA36" s="522"/>
      <c r="AB36" s="522"/>
      <c r="AC36" s="522"/>
      <c r="AD36" s="522"/>
      <c r="AE36" s="522"/>
      <c r="AF36" s="522"/>
      <c r="AG36" s="525"/>
      <c r="AH36" s="526"/>
      <c r="AI36" s="526"/>
      <c r="AJ36" s="526"/>
      <c r="AK36" s="526"/>
      <c r="AL36" s="525"/>
    </row>
    <row r="37" spans="1:38" s="313" customFormat="1" ht="5.25" customHeight="1">
      <c r="A37" s="528"/>
      <c r="B37" s="551"/>
      <c r="C37" s="551"/>
      <c r="D37" s="551"/>
      <c r="E37" s="551"/>
      <c r="F37" s="551"/>
      <c r="G37" s="551"/>
      <c r="H37" s="551"/>
      <c r="I37" s="551"/>
      <c r="J37" s="551"/>
      <c r="K37" s="551"/>
      <c r="L37" s="551"/>
      <c r="M37" s="551"/>
      <c r="N37" s="551"/>
      <c r="O37" s="552"/>
      <c r="P37" s="529"/>
      <c r="Q37" s="529"/>
      <c r="R37" s="529"/>
      <c r="S37" s="529"/>
      <c r="T37" s="529"/>
      <c r="U37" s="529"/>
      <c r="V37" s="529"/>
      <c r="W37" s="529"/>
      <c r="X37" s="529"/>
      <c r="Y37" s="530"/>
      <c r="Z37" s="529"/>
      <c r="AA37" s="529"/>
      <c r="AB37" s="529"/>
      <c r="AC37" s="529"/>
      <c r="AD37" s="529"/>
      <c r="AE37" s="529"/>
      <c r="AF37" s="529"/>
      <c r="AG37" s="531"/>
      <c r="AH37" s="532"/>
      <c r="AI37" s="532"/>
      <c r="AJ37" s="532"/>
      <c r="AK37" s="532"/>
      <c r="AL37" s="531"/>
    </row>
    <row r="38" spans="1:38" s="313" customFormat="1" ht="19" customHeight="1">
      <c r="A38" s="521"/>
      <c r="B38" s="1343"/>
      <c r="C38" s="1343"/>
      <c r="D38" s="1343"/>
      <c r="E38" s="1343"/>
      <c r="F38" s="1343"/>
      <c r="G38" s="1343"/>
      <c r="H38" s="1343"/>
      <c r="I38" s="1343"/>
      <c r="J38" s="1343"/>
      <c r="K38" s="1343"/>
      <c r="L38" s="1343"/>
      <c r="M38" s="1343"/>
      <c r="N38" s="1343"/>
      <c r="O38" s="1344"/>
      <c r="P38" s="522"/>
      <c r="Q38" s="546"/>
      <c r="R38" s="546"/>
      <c r="S38" s="546"/>
      <c r="T38" s="546"/>
      <c r="U38" s="546"/>
      <c r="V38" s="546"/>
      <c r="W38" s="546"/>
      <c r="X38" s="522"/>
      <c r="Y38" s="524"/>
      <c r="Z38" s="1342"/>
      <c r="AA38" s="1342"/>
      <c r="AB38" s="1342"/>
      <c r="AC38" s="1342"/>
      <c r="AD38" s="1342"/>
      <c r="AE38" s="1342"/>
      <c r="AF38" s="1342"/>
      <c r="AG38" s="525"/>
      <c r="AH38" s="526"/>
      <c r="AI38" s="1306"/>
      <c r="AJ38" s="1306">
        <v>0</v>
      </c>
      <c r="AK38" s="1306"/>
      <c r="AL38" s="525"/>
    </row>
    <row r="39" spans="1:38" s="313" customFormat="1" ht="5.25" customHeight="1">
      <c r="A39" s="527"/>
      <c r="B39" s="549"/>
      <c r="C39" s="549"/>
      <c r="D39" s="549"/>
      <c r="E39" s="549"/>
      <c r="F39" s="549"/>
      <c r="G39" s="549"/>
      <c r="H39" s="549"/>
      <c r="I39" s="549"/>
      <c r="J39" s="549"/>
      <c r="K39" s="549"/>
      <c r="L39" s="549"/>
      <c r="M39" s="549"/>
      <c r="N39" s="549"/>
      <c r="O39" s="550"/>
      <c r="P39" s="522"/>
      <c r="Q39" s="522"/>
      <c r="R39" s="522"/>
      <c r="S39" s="522"/>
      <c r="T39" s="522"/>
      <c r="U39" s="522"/>
      <c r="V39" s="522"/>
      <c r="W39" s="522"/>
      <c r="X39" s="522"/>
      <c r="Y39" s="524"/>
      <c r="Z39" s="522"/>
      <c r="AA39" s="522"/>
      <c r="AB39" s="522"/>
      <c r="AC39" s="522"/>
      <c r="AD39" s="522"/>
      <c r="AE39" s="522"/>
      <c r="AF39" s="522"/>
      <c r="AG39" s="525"/>
      <c r="AH39" s="526"/>
      <c r="AI39" s="526"/>
      <c r="AJ39" s="526"/>
      <c r="AK39" s="526"/>
      <c r="AL39" s="525"/>
    </row>
    <row r="40" spans="1:38" s="313" customFormat="1" ht="5.25" customHeight="1">
      <c r="A40" s="528"/>
      <c r="B40" s="551"/>
      <c r="C40" s="551"/>
      <c r="D40" s="551"/>
      <c r="E40" s="551"/>
      <c r="F40" s="551"/>
      <c r="G40" s="551"/>
      <c r="H40" s="551"/>
      <c r="I40" s="551"/>
      <c r="J40" s="551"/>
      <c r="K40" s="551"/>
      <c r="L40" s="551"/>
      <c r="M40" s="551"/>
      <c r="N40" s="551"/>
      <c r="O40" s="552"/>
      <c r="P40" s="529"/>
      <c r="Q40" s="529"/>
      <c r="R40" s="529"/>
      <c r="S40" s="529"/>
      <c r="T40" s="529"/>
      <c r="U40" s="529"/>
      <c r="V40" s="529"/>
      <c r="W40" s="529"/>
      <c r="X40" s="529"/>
      <c r="Y40" s="530"/>
      <c r="Z40" s="529"/>
      <c r="AA40" s="529"/>
      <c r="AB40" s="529"/>
      <c r="AC40" s="529"/>
      <c r="AD40" s="529"/>
      <c r="AE40" s="529"/>
      <c r="AF40" s="529"/>
      <c r="AG40" s="531"/>
      <c r="AH40" s="532"/>
      <c r="AI40" s="532"/>
      <c r="AJ40" s="532"/>
      <c r="AK40" s="532"/>
      <c r="AL40" s="531"/>
    </row>
    <row r="41" spans="1:38" s="313" customFormat="1" ht="19" customHeight="1">
      <c r="A41" s="521"/>
      <c r="B41" s="1343"/>
      <c r="C41" s="1343"/>
      <c r="D41" s="1343"/>
      <c r="E41" s="1343"/>
      <c r="F41" s="1343"/>
      <c r="G41" s="1343"/>
      <c r="H41" s="1343"/>
      <c r="I41" s="1343"/>
      <c r="J41" s="1343"/>
      <c r="K41" s="1343"/>
      <c r="L41" s="1343"/>
      <c r="M41" s="1343"/>
      <c r="N41" s="1343"/>
      <c r="O41" s="1344"/>
      <c r="P41" s="522"/>
      <c r="Q41" s="546"/>
      <c r="R41" s="546"/>
      <c r="S41" s="546"/>
      <c r="T41" s="546"/>
      <c r="U41" s="546"/>
      <c r="V41" s="546"/>
      <c r="W41" s="546"/>
      <c r="X41" s="522"/>
      <c r="Y41" s="524"/>
      <c r="Z41" s="1342"/>
      <c r="AA41" s="1342"/>
      <c r="AB41" s="1342"/>
      <c r="AC41" s="1342"/>
      <c r="AD41" s="1342"/>
      <c r="AE41" s="1342"/>
      <c r="AF41" s="1342"/>
      <c r="AG41" s="525"/>
      <c r="AH41" s="526"/>
      <c r="AI41" s="1306"/>
      <c r="AJ41" s="1306">
        <v>0</v>
      </c>
      <c r="AK41" s="1306"/>
      <c r="AL41" s="525"/>
    </row>
    <row r="42" spans="1:38" s="313" customFormat="1" ht="5.25" customHeight="1">
      <c r="A42" s="527"/>
      <c r="B42" s="549"/>
      <c r="C42" s="549"/>
      <c r="D42" s="549"/>
      <c r="E42" s="549"/>
      <c r="F42" s="549"/>
      <c r="G42" s="549"/>
      <c r="H42" s="549"/>
      <c r="I42" s="549"/>
      <c r="J42" s="549"/>
      <c r="K42" s="549"/>
      <c r="L42" s="549"/>
      <c r="M42" s="549"/>
      <c r="N42" s="549"/>
      <c r="O42" s="550"/>
      <c r="P42" s="522"/>
      <c r="Q42" s="522"/>
      <c r="R42" s="522"/>
      <c r="S42" s="522"/>
      <c r="T42" s="522"/>
      <c r="U42" s="522"/>
      <c r="V42" s="522"/>
      <c r="W42" s="522"/>
      <c r="X42" s="522"/>
      <c r="Y42" s="524"/>
      <c r="Z42" s="522"/>
      <c r="AA42" s="522"/>
      <c r="AB42" s="522"/>
      <c r="AC42" s="522"/>
      <c r="AD42" s="522"/>
      <c r="AE42" s="522"/>
      <c r="AF42" s="522"/>
      <c r="AG42" s="525"/>
      <c r="AH42" s="526"/>
      <c r="AI42" s="526"/>
      <c r="AJ42" s="526"/>
      <c r="AK42" s="526"/>
      <c r="AL42" s="525"/>
    </row>
    <row r="43" spans="1:38" s="313" customFormat="1" ht="5.25" customHeight="1">
      <c r="A43" s="528"/>
      <c r="B43" s="551"/>
      <c r="C43" s="551"/>
      <c r="D43" s="551"/>
      <c r="E43" s="551"/>
      <c r="F43" s="551"/>
      <c r="G43" s="551"/>
      <c r="H43" s="551"/>
      <c r="I43" s="551"/>
      <c r="J43" s="551"/>
      <c r="K43" s="551"/>
      <c r="L43" s="551"/>
      <c r="M43" s="551"/>
      <c r="N43" s="551"/>
      <c r="O43" s="552"/>
      <c r="P43" s="529"/>
      <c r="Q43" s="529"/>
      <c r="R43" s="529"/>
      <c r="S43" s="529"/>
      <c r="T43" s="529"/>
      <c r="U43" s="529"/>
      <c r="V43" s="529"/>
      <c r="W43" s="529"/>
      <c r="X43" s="529"/>
      <c r="Y43" s="530"/>
      <c r="Z43" s="529"/>
      <c r="AA43" s="529"/>
      <c r="AB43" s="529"/>
      <c r="AC43" s="529"/>
      <c r="AD43" s="529"/>
      <c r="AE43" s="529"/>
      <c r="AF43" s="529"/>
      <c r="AG43" s="531"/>
      <c r="AH43" s="532"/>
      <c r="AI43" s="532"/>
      <c r="AJ43" s="532"/>
      <c r="AK43" s="532"/>
      <c r="AL43" s="531"/>
    </row>
    <row r="44" spans="1:38" s="313" customFormat="1" ht="19" customHeight="1">
      <c r="A44" s="521"/>
      <c r="B44" s="1343"/>
      <c r="C44" s="1343"/>
      <c r="D44" s="1343"/>
      <c r="E44" s="1343"/>
      <c r="F44" s="1343"/>
      <c r="G44" s="1343"/>
      <c r="H44" s="1343"/>
      <c r="I44" s="1343"/>
      <c r="J44" s="1343"/>
      <c r="K44" s="1343"/>
      <c r="L44" s="1343"/>
      <c r="M44" s="1343"/>
      <c r="N44" s="1343"/>
      <c r="O44" s="1344"/>
      <c r="P44" s="522"/>
      <c r="Q44" s="546"/>
      <c r="R44" s="546"/>
      <c r="S44" s="546"/>
      <c r="T44" s="546"/>
      <c r="U44" s="546"/>
      <c r="V44" s="546"/>
      <c r="W44" s="546"/>
      <c r="X44" s="522"/>
      <c r="Y44" s="524"/>
      <c r="Z44" s="1342"/>
      <c r="AA44" s="1342"/>
      <c r="AB44" s="1342"/>
      <c r="AC44" s="1342"/>
      <c r="AD44" s="1342"/>
      <c r="AE44" s="1342"/>
      <c r="AF44" s="1342"/>
      <c r="AG44" s="525"/>
      <c r="AH44" s="526"/>
      <c r="AI44" s="1306"/>
      <c r="AJ44" s="1306">
        <v>0</v>
      </c>
      <c r="AK44" s="1306"/>
      <c r="AL44" s="525"/>
    </row>
    <row r="45" spans="1:38" s="313" customFormat="1" ht="5.25" customHeight="1">
      <c r="A45" s="527"/>
      <c r="B45" s="549"/>
      <c r="C45" s="549"/>
      <c r="D45" s="549"/>
      <c r="E45" s="549"/>
      <c r="F45" s="549"/>
      <c r="G45" s="549"/>
      <c r="H45" s="549"/>
      <c r="I45" s="549"/>
      <c r="J45" s="549"/>
      <c r="K45" s="549"/>
      <c r="L45" s="549"/>
      <c r="M45" s="549"/>
      <c r="N45" s="549"/>
      <c r="O45" s="550"/>
      <c r="P45" s="522"/>
      <c r="Q45" s="522"/>
      <c r="R45" s="522"/>
      <c r="S45" s="522"/>
      <c r="T45" s="522"/>
      <c r="U45" s="522"/>
      <c r="V45" s="522"/>
      <c r="W45" s="522"/>
      <c r="X45" s="522"/>
      <c r="Y45" s="524"/>
      <c r="Z45" s="522"/>
      <c r="AA45" s="522"/>
      <c r="AB45" s="522"/>
      <c r="AC45" s="522"/>
      <c r="AD45" s="522"/>
      <c r="AE45" s="522"/>
      <c r="AF45" s="522"/>
      <c r="AG45" s="525"/>
      <c r="AH45" s="526"/>
      <c r="AI45" s="526"/>
      <c r="AJ45" s="526"/>
      <c r="AK45" s="526"/>
      <c r="AL45" s="525"/>
    </row>
    <row r="46" spans="1:38" s="313" customFormat="1" ht="5.25" customHeight="1">
      <c r="A46" s="528"/>
      <c r="B46" s="551"/>
      <c r="C46" s="551"/>
      <c r="D46" s="551"/>
      <c r="E46" s="551"/>
      <c r="F46" s="551"/>
      <c r="G46" s="551"/>
      <c r="H46" s="551"/>
      <c r="I46" s="551"/>
      <c r="J46" s="551"/>
      <c r="K46" s="551"/>
      <c r="L46" s="551"/>
      <c r="M46" s="551"/>
      <c r="N46" s="551"/>
      <c r="O46" s="552"/>
      <c r="P46" s="529"/>
      <c r="Q46" s="529"/>
      <c r="R46" s="529"/>
      <c r="S46" s="529"/>
      <c r="T46" s="529"/>
      <c r="U46" s="529"/>
      <c r="V46" s="529"/>
      <c r="W46" s="529"/>
      <c r="X46" s="529"/>
      <c r="Y46" s="530"/>
      <c r="Z46" s="529"/>
      <c r="AA46" s="529"/>
      <c r="AB46" s="529"/>
      <c r="AC46" s="529"/>
      <c r="AD46" s="529"/>
      <c r="AE46" s="529"/>
      <c r="AF46" s="529"/>
      <c r="AG46" s="531"/>
      <c r="AH46" s="532"/>
      <c r="AI46" s="532"/>
      <c r="AJ46" s="532"/>
      <c r="AK46" s="532"/>
      <c r="AL46" s="531"/>
    </row>
    <row r="47" spans="1:38" s="313" customFormat="1" ht="19" customHeight="1">
      <c r="A47" s="521"/>
      <c r="B47" s="1343"/>
      <c r="C47" s="1343"/>
      <c r="D47" s="1343"/>
      <c r="E47" s="1343"/>
      <c r="F47" s="1343"/>
      <c r="G47" s="1343"/>
      <c r="H47" s="1343"/>
      <c r="I47" s="1343"/>
      <c r="J47" s="1343"/>
      <c r="K47" s="1343"/>
      <c r="L47" s="1343"/>
      <c r="M47" s="1343"/>
      <c r="N47" s="1343"/>
      <c r="O47" s="1344"/>
      <c r="P47" s="522"/>
      <c r="Q47" s="546"/>
      <c r="R47" s="546"/>
      <c r="S47" s="546"/>
      <c r="T47" s="546"/>
      <c r="U47" s="546"/>
      <c r="V47" s="546"/>
      <c r="W47" s="546"/>
      <c r="X47" s="522"/>
      <c r="Y47" s="524"/>
      <c r="Z47" s="1342"/>
      <c r="AA47" s="1342"/>
      <c r="AB47" s="1342"/>
      <c r="AC47" s="1342"/>
      <c r="AD47" s="1342"/>
      <c r="AE47" s="1342"/>
      <c r="AF47" s="1342"/>
      <c r="AG47" s="525"/>
      <c r="AH47" s="526"/>
      <c r="AI47" s="1306"/>
      <c r="AJ47" s="1306">
        <v>0</v>
      </c>
      <c r="AK47" s="1306"/>
      <c r="AL47" s="525"/>
    </row>
    <row r="48" spans="1:38" s="313" customFormat="1" ht="5.25" customHeight="1">
      <c r="A48" s="527"/>
      <c r="B48" s="549"/>
      <c r="C48" s="549"/>
      <c r="D48" s="549"/>
      <c r="E48" s="549"/>
      <c r="F48" s="549"/>
      <c r="G48" s="549"/>
      <c r="H48" s="549"/>
      <c r="I48" s="549"/>
      <c r="J48" s="549"/>
      <c r="K48" s="549"/>
      <c r="L48" s="549"/>
      <c r="M48" s="549"/>
      <c r="N48" s="549"/>
      <c r="O48" s="550"/>
      <c r="P48" s="522"/>
      <c r="Q48" s="522"/>
      <c r="R48" s="522"/>
      <c r="S48" s="522"/>
      <c r="T48" s="522"/>
      <c r="U48" s="522"/>
      <c r="V48" s="522"/>
      <c r="W48" s="522"/>
      <c r="X48" s="522"/>
      <c r="Y48" s="524"/>
      <c r="Z48" s="522"/>
      <c r="AA48" s="522"/>
      <c r="AB48" s="522"/>
      <c r="AC48" s="522"/>
      <c r="AD48" s="522"/>
      <c r="AE48" s="522"/>
      <c r="AF48" s="522"/>
      <c r="AG48" s="525"/>
      <c r="AH48" s="526"/>
      <c r="AI48" s="526"/>
      <c r="AJ48" s="526"/>
      <c r="AK48" s="526"/>
      <c r="AL48" s="525"/>
    </row>
    <row r="49" spans="1:38" s="313" customFormat="1" ht="5.25" customHeight="1">
      <c r="A49" s="528"/>
      <c r="B49" s="551"/>
      <c r="C49" s="551"/>
      <c r="D49" s="551"/>
      <c r="E49" s="551"/>
      <c r="F49" s="551"/>
      <c r="G49" s="551"/>
      <c r="H49" s="551"/>
      <c r="I49" s="551"/>
      <c r="J49" s="551"/>
      <c r="K49" s="551"/>
      <c r="L49" s="551"/>
      <c r="M49" s="551"/>
      <c r="N49" s="551"/>
      <c r="O49" s="552"/>
      <c r="P49" s="529"/>
      <c r="Q49" s="529"/>
      <c r="R49" s="529"/>
      <c r="S49" s="529"/>
      <c r="T49" s="529"/>
      <c r="U49" s="529"/>
      <c r="V49" s="529"/>
      <c r="W49" s="529"/>
      <c r="X49" s="529"/>
      <c r="Y49" s="530"/>
      <c r="Z49" s="529"/>
      <c r="AA49" s="529"/>
      <c r="AB49" s="529"/>
      <c r="AC49" s="529"/>
      <c r="AD49" s="529"/>
      <c r="AE49" s="529"/>
      <c r="AF49" s="529"/>
      <c r="AG49" s="531"/>
      <c r="AH49" s="532"/>
      <c r="AI49" s="532"/>
      <c r="AJ49" s="532"/>
      <c r="AK49" s="532"/>
      <c r="AL49" s="531"/>
    </row>
    <row r="50" spans="1:38" s="313" customFormat="1" ht="19" customHeight="1">
      <c r="A50" s="521"/>
      <c r="B50" s="1343"/>
      <c r="C50" s="1343"/>
      <c r="D50" s="1343"/>
      <c r="E50" s="1343"/>
      <c r="F50" s="1343"/>
      <c r="G50" s="1343"/>
      <c r="H50" s="1343"/>
      <c r="I50" s="1343"/>
      <c r="J50" s="1343"/>
      <c r="K50" s="1343"/>
      <c r="L50" s="1343"/>
      <c r="M50" s="1343"/>
      <c r="N50" s="1343"/>
      <c r="O50" s="1344"/>
      <c r="P50" s="522"/>
      <c r="Q50" s="546"/>
      <c r="R50" s="546"/>
      <c r="S50" s="546"/>
      <c r="T50" s="546"/>
      <c r="U50" s="546"/>
      <c r="V50" s="546"/>
      <c r="W50" s="546"/>
      <c r="X50" s="522"/>
      <c r="Y50" s="524"/>
      <c r="Z50" s="1342"/>
      <c r="AA50" s="1342"/>
      <c r="AB50" s="1342"/>
      <c r="AC50" s="1342"/>
      <c r="AD50" s="1342"/>
      <c r="AE50" s="1342"/>
      <c r="AF50" s="1342"/>
      <c r="AG50" s="525"/>
      <c r="AH50" s="526"/>
      <c r="AI50" s="1306"/>
      <c r="AJ50" s="1306">
        <v>0</v>
      </c>
      <c r="AK50" s="1306"/>
      <c r="AL50" s="525"/>
    </row>
    <row r="51" spans="1:38" s="313" customFormat="1" ht="5.25" customHeight="1">
      <c r="A51" s="527"/>
      <c r="B51" s="526"/>
      <c r="C51" s="526"/>
      <c r="D51" s="526"/>
      <c r="E51" s="526"/>
      <c r="F51" s="526"/>
      <c r="G51" s="526"/>
      <c r="H51" s="526"/>
      <c r="I51" s="526"/>
      <c r="J51" s="526"/>
      <c r="K51" s="526"/>
      <c r="L51" s="526"/>
      <c r="M51" s="526"/>
      <c r="N51" s="526"/>
      <c r="O51" s="525"/>
      <c r="P51" s="526"/>
      <c r="Q51" s="526"/>
      <c r="R51" s="526"/>
      <c r="S51" s="526"/>
      <c r="T51" s="526"/>
      <c r="U51" s="526"/>
      <c r="V51" s="526"/>
      <c r="W51" s="526"/>
      <c r="X51" s="526"/>
      <c r="Y51" s="527"/>
      <c r="Z51" s="533"/>
      <c r="AA51" s="533"/>
      <c r="AB51" s="533"/>
      <c r="AC51" s="533"/>
      <c r="AD51" s="533"/>
      <c r="AE51" s="533"/>
      <c r="AF51" s="533"/>
      <c r="AG51" s="525"/>
      <c r="AH51" s="526"/>
      <c r="AI51" s="526"/>
      <c r="AJ51" s="526"/>
      <c r="AK51" s="526"/>
      <c r="AL51" s="525"/>
    </row>
    <row r="52" spans="1:38" s="313" customFormat="1" ht="17.25" customHeight="1">
      <c r="A52" s="534" t="s">
        <v>1448</v>
      </c>
      <c r="B52" s="535"/>
      <c r="C52" s="535"/>
      <c r="D52" s="535"/>
      <c r="E52" s="535"/>
      <c r="F52" s="535"/>
      <c r="G52" s="535"/>
      <c r="H52" s="535"/>
      <c r="I52" s="535"/>
      <c r="J52" s="535"/>
      <c r="K52" s="535"/>
      <c r="L52" s="535"/>
      <c r="M52" s="535"/>
      <c r="N52" s="535"/>
      <c r="O52" s="536"/>
      <c r="P52" s="1334"/>
      <c r="Q52" s="1335"/>
      <c r="R52" s="1335"/>
      <c r="S52" s="1335"/>
      <c r="T52" s="1335"/>
      <c r="U52" s="1335"/>
      <c r="V52" s="1335"/>
      <c r="W52" s="1335"/>
      <c r="X52" s="1336"/>
      <c r="Y52" s="528"/>
      <c r="Z52" s="1340"/>
      <c r="AA52" s="1340"/>
      <c r="AB52" s="1340"/>
      <c r="AC52" s="1340"/>
      <c r="AD52" s="1340"/>
      <c r="AE52" s="1340"/>
      <c r="AF52" s="1340"/>
      <c r="AG52" s="531"/>
      <c r="AH52" s="532"/>
      <c r="AI52" s="1341"/>
      <c r="AJ52" s="1341"/>
      <c r="AK52" s="1341"/>
      <c r="AL52" s="531"/>
    </row>
    <row r="53" spans="1:38" s="1" customFormat="1">
      <c r="A53" s="537"/>
      <c r="B53" s="538"/>
      <c r="C53" s="539"/>
      <c r="D53" s="539"/>
      <c r="E53" s="539"/>
      <c r="F53" s="539"/>
      <c r="G53" s="539"/>
      <c r="H53" s="539"/>
      <c r="I53" s="539"/>
      <c r="J53" s="539"/>
      <c r="K53" s="539"/>
      <c r="L53" s="539"/>
      <c r="M53" s="539"/>
      <c r="N53" s="539"/>
      <c r="O53" s="540"/>
      <c r="P53" s="1337"/>
      <c r="Q53" s="1338"/>
      <c r="R53" s="1338"/>
      <c r="S53" s="1338"/>
      <c r="T53" s="1338"/>
      <c r="U53" s="1338"/>
      <c r="V53" s="1338"/>
      <c r="W53" s="1338"/>
      <c r="X53" s="1339"/>
      <c r="Y53" s="541"/>
      <c r="Z53" s="526"/>
      <c r="AA53" s="526"/>
      <c r="AB53" s="526"/>
      <c r="AC53" s="526"/>
      <c r="AD53" s="526"/>
      <c r="AE53" s="526"/>
      <c r="AF53" s="526"/>
      <c r="AG53" s="525"/>
      <c r="AH53" s="526"/>
      <c r="AI53" s="526"/>
      <c r="AJ53" s="526"/>
      <c r="AK53" s="526"/>
      <c r="AL53" s="542"/>
    </row>
    <row r="54" spans="1:38" s="1" customFormat="1">
      <c r="A54" s="541"/>
      <c r="B54" s="539"/>
      <c r="C54" s="543"/>
      <c r="D54" s="543"/>
      <c r="E54" s="543"/>
      <c r="F54" s="543"/>
      <c r="G54" s="543"/>
      <c r="H54" s="543"/>
      <c r="I54" s="543"/>
      <c r="J54" s="543"/>
      <c r="K54" s="543"/>
      <c r="L54" s="543"/>
      <c r="M54" s="543"/>
      <c r="N54" s="543"/>
      <c r="O54" s="544"/>
      <c r="P54" s="1345" t="s">
        <v>87</v>
      </c>
      <c r="Q54" s="1345"/>
      <c r="R54" s="1345"/>
      <c r="S54" s="1345"/>
      <c r="T54" s="1345"/>
      <c r="U54" s="1345"/>
      <c r="V54" s="1345"/>
      <c r="W54" s="1345"/>
      <c r="X54" s="1345"/>
      <c r="Y54" s="545"/>
      <c r="Z54" s="1347">
        <f>Z29+Z32+Z35+Z38+Z41+Z44+Z47+Z50+Z52</f>
        <v>0</v>
      </c>
      <c r="AA54" s="1347"/>
      <c r="AB54" s="1347"/>
      <c r="AC54" s="1347"/>
      <c r="AD54" s="1347"/>
      <c r="AE54" s="1347"/>
      <c r="AF54" s="1347"/>
      <c r="AG54" s="531"/>
      <c r="AH54" s="532"/>
      <c r="AI54" s="1323">
        <f>AI29+AI32+AI35+AI38+AI41+AI44+AI47+AI50+AI52</f>
        <v>0</v>
      </c>
      <c r="AJ54" s="1323"/>
      <c r="AK54" s="1323"/>
      <c r="AL54" s="540"/>
    </row>
    <row r="55" spans="1:38" s="1" customFormat="1">
      <c r="A55" s="541"/>
      <c r="B55" s="539"/>
      <c r="C55" s="538"/>
      <c r="D55" s="538"/>
      <c r="E55" s="538"/>
      <c r="F55" s="538"/>
      <c r="G55" s="538"/>
      <c r="H55" s="538"/>
      <c r="I55" s="538"/>
      <c r="J55" s="538"/>
      <c r="K55" s="538"/>
      <c r="L55" s="538"/>
      <c r="M55" s="538"/>
      <c r="N55" s="538"/>
      <c r="O55" s="542"/>
      <c r="P55" s="1346"/>
      <c r="Q55" s="1346"/>
      <c r="R55" s="1346"/>
      <c r="S55" s="1346"/>
      <c r="T55" s="1346"/>
      <c r="U55" s="1346"/>
      <c r="V55" s="1346"/>
      <c r="W55" s="1346"/>
      <c r="X55" s="1346"/>
      <c r="Y55" s="537"/>
      <c r="Z55" s="1348"/>
      <c r="AA55" s="1348"/>
      <c r="AB55" s="1348"/>
      <c r="AC55" s="1348"/>
      <c r="AD55" s="1348"/>
      <c r="AE55" s="1348"/>
      <c r="AF55" s="1348"/>
      <c r="AG55" s="547"/>
      <c r="AH55" s="548"/>
      <c r="AI55" s="1324"/>
      <c r="AJ55" s="1324"/>
      <c r="AK55" s="1324"/>
      <c r="AL55" s="542"/>
    </row>
    <row r="56" spans="1:38">
      <c r="A56" s="231"/>
      <c r="B56" s="232"/>
      <c r="C56" s="232"/>
      <c r="D56" s="232"/>
      <c r="E56" s="232"/>
      <c r="F56" s="232"/>
      <c r="G56" s="232"/>
      <c r="H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90"/>
      <c r="AH56" s="290"/>
      <c r="AI56" s="290"/>
      <c r="AJ56" s="290"/>
      <c r="AK56" s="290"/>
      <c r="AL56" s="291"/>
    </row>
    <row r="57" spans="1:38">
      <c r="A57" s="1349" t="s">
        <v>1724</v>
      </c>
      <c r="B57" s="1350"/>
      <c r="C57" s="1350"/>
      <c r="D57" s="1350"/>
      <c r="E57" s="1350"/>
      <c r="F57" s="1350"/>
      <c r="G57" s="1350"/>
      <c r="H57" s="1350"/>
      <c r="I57" s="1350"/>
      <c r="J57" s="1350"/>
      <c r="K57" s="1350"/>
      <c r="L57" s="1350"/>
      <c r="M57" s="1350"/>
      <c r="N57" s="1350"/>
      <c r="O57" s="1350"/>
      <c r="P57" s="1350"/>
      <c r="Q57" s="1350"/>
      <c r="R57" s="1350"/>
      <c r="S57" s="1350"/>
      <c r="T57" s="1350"/>
      <c r="U57" s="1350"/>
      <c r="V57" s="1350"/>
      <c r="W57" s="1350"/>
      <c r="X57" s="1350"/>
      <c r="Y57" s="1350"/>
      <c r="Z57" s="1350"/>
      <c r="AA57" s="1350"/>
      <c r="AB57" s="1350"/>
      <c r="AC57" s="1350"/>
      <c r="AD57" s="1350"/>
      <c r="AE57" s="1350"/>
      <c r="AF57" s="1350"/>
      <c r="AG57" s="1350"/>
      <c r="AH57" s="1350"/>
      <c r="AI57" s="1350"/>
      <c r="AJ57" s="1350"/>
      <c r="AK57" s="1350"/>
      <c r="AL57" s="1351"/>
    </row>
    <row r="58" spans="1:38">
      <c r="A58" s="1349" t="s">
        <v>2007</v>
      </c>
      <c r="B58" s="1350"/>
      <c r="C58" s="1350"/>
      <c r="D58" s="1350"/>
      <c r="E58" s="1350"/>
      <c r="F58" s="1350"/>
      <c r="G58" s="1350"/>
      <c r="H58" s="1350"/>
      <c r="I58" s="1350"/>
      <c r="J58" s="1350"/>
      <c r="K58" s="1350"/>
      <c r="L58" s="1350"/>
      <c r="M58" s="1350"/>
      <c r="N58" s="1350"/>
      <c r="O58" s="1350"/>
      <c r="P58" s="1350"/>
      <c r="Q58" s="1350"/>
      <c r="R58" s="1350"/>
      <c r="S58" s="1350"/>
      <c r="T58" s="1350"/>
      <c r="U58" s="1350"/>
      <c r="V58" s="1350"/>
      <c r="W58" s="1350"/>
      <c r="X58" s="1350"/>
      <c r="Y58" s="1350"/>
      <c r="Z58" s="1350"/>
      <c r="AA58" s="1350"/>
      <c r="AB58" s="1350"/>
      <c r="AC58" s="1350"/>
      <c r="AD58" s="1350"/>
      <c r="AE58" s="1350"/>
      <c r="AF58" s="1350"/>
      <c r="AG58" s="1350"/>
      <c r="AH58" s="1350"/>
      <c r="AI58" s="1350"/>
      <c r="AJ58" s="1350"/>
      <c r="AK58" s="1350"/>
      <c r="AL58" s="1351"/>
    </row>
    <row r="59" spans="1:38">
      <c r="A59" s="1349" t="s">
        <v>2020</v>
      </c>
      <c r="B59" s="1350"/>
      <c r="C59" s="1350"/>
      <c r="D59" s="1350"/>
      <c r="E59" s="1350"/>
      <c r="F59" s="1350"/>
      <c r="G59" s="1350"/>
      <c r="H59" s="1350"/>
      <c r="I59" s="1350"/>
      <c r="J59" s="1350"/>
      <c r="K59" s="1350"/>
      <c r="L59" s="1350"/>
      <c r="M59" s="1350"/>
      <c r="N59" s="1350"/>
      <c r="O59" s="1350"/>
      <c r="P59" s="1350"/>
      <c r="Q59" s="1350"/>
      <c r="R59" s="1350"/>
      <c r="S59" s="1350"/>
      <c r="T59" s="1350"/>
      <c r="U59" s="1350"/>
      <c r="V59" s="1350"/>
      <c r="W59" s="1350"/>
      <c r="X59" s="1350"/>
      <c r="Y59" s="1350"/>
      <c r="Z59" s="1350"/>
      <c r="AA59" s="1350"/>
      <c r="AB59" s="1350"/>
      <c r="AC59" s="1350"/>
      <c r="AD59" s="1350"/>
      <c r="AE59" s="1350"/>
      <c r="AF59" s="1350"/>
      <c r="AG59" s="1350"/>
      <c r="AH59" s="1350"/>
      <c r="AI59" s="1350"/>
      <c r="AJ59" s="1350"/>
      <c r="AK59" s="1350"/>
      <c r="AL59" s="1351"/>
    </row>
    <row r="60" spans="1:38">
      <c r="A60" s="1349" t="s">
        <v>1725</v>
      </c>
      <c r="B60" s="1350"/>
      <c r="C60" s="1350"/>
      <c r="D60" s="1350"/>
      <c r="E60" s="1350"/>
      <c r="F60" s="1350"/>
      <c r="G60" s="1350"/>
      <c r="H60" s="1350"/>
      <c r="I60" s="1350"/>
      <c r="J60" s="1350"/>
      <c r="K60" s="1350"/>
      <c r="L60" s="1350"/>
      <c r="M60" s="1350"/>
      <c r="N60" s="1350"/>
      <c r="O60" s="1350"/>
      <c r="P60" s="1350"/>
      <c r="Q60" s="1350"/>
      <c r="R60" s="1350"/>
      <c r="S60" s="1350"/>
      <c r="T60" s="1350"/>
      <c r="U60" s="1350"/>
      <c r="V60" s="1350"/>
      <c r="W60" s="1350"/>
      <c r="X60" s="1350"/>
      <c r="Y60" s="1350"/>
      <c r="Z60" s="1350"/>
      <c r="AA60" s="1350"/>
      <c r="AB60" s="1350"/>
      <c r="AC60" s="1350"/>
      <c r="AD60" s="1350"/>
      <c r="AE60" s="1350"/>
      <c r="AF60" s="1350"/>
      <c r="AG60" s="1350"/>
      <c r="AH60" s="1350"/>
      <c r="AI60" s="1350"/>
      <c r="AJ60" s="1350"/>
      <c r="AK60" s="1350"/>
      <c r="AL60" s="1351"/>
    </row>
  </sheetData>
  <sheetProtection selectLockedCells="1"/>
  <mergeCells count="60">
    <mergeCell ref="A57:AL57"/>
    <mergeCell ref="A58:AL58"/>
    <mergeCell ref="A59:AL59"/>
    <mergeCell ref="A60:AL60"/>
    <mergeCell ref="B50:O50"/>
    <mergeCell ref="Z50:AF50"/>
    <mergeCell ref="B41:O41"/>
    <mergeCell ref="Z41:AF41"/>
    <mergeCell ref="B32:O32"/>
    <mergeCell ref="Z32:AF32"/>
    <mergeCell ref="B35:O35"/>
    <mergeCell ref="Z35:AF35"/>
    <mergeCell ref="B38:O38"/>
    <mergeCell ref="Z38:AF38"/>
    <mergeCell ref="B44:O44"/>
    <mergeCell ref="Z44:AF44"/>
    <mergeCell ref="B47:O47"/>
    <mergeCell ref="Z47:AF47"/>
    <mergeCell ref="P54:X55"/>
    <mergeCell ref="Z54:AF55"/>
    <mergeCell ref="Y25:AG27"/>
    <mergeCell ref="AI25:AL27"/>
    <mergeCell ref="AI29:AK29"/>
    <mergeCell ref="AI54:AK55"/>
    <mergeCell ref="P25:X27"/>
    <mergeCell ref="P52:X53"/>
    <mergeCell ref="Z52:AF52"/>
    <mergeCell ref="AI50:AK50"/>
    <mergeCell ref="AI52:AK52"/>
    <mergeCell ref="AI32:AK32"/>
    <mergeCell ref="AI35:AK35"/>
    <mergeCell ref="AI38:AK38"/>
    <mergeCell ref="Z29:AF29"/>
    <mergeCell ref="AI41:AK41"/>
    <mergeCell ref="A13:B13"/>
    <mergeCell ref="A7:AL7"/>
    <mergeCell ref="AI44:AK44"/>
    <mergeCell ref="AI47:AK47"/>
    <mergeCell ref="B29:O29"/>
    <mergeCell ref="V8:AL8"/>
    <mergeCell ref="A23:AL23"/>
    <mergeCell ref="V9:W9"/>
    <mergeCell ref="V11:W11"/>
    <mergeCell ref="V13:W13"/>
    <mergeCell ref="A9:B9"/>
    <mergeCell ref="A25:O27"/>
    <mergeCell ref="A15:B15"/>
    <mergeCell ref="A17:B17"/>
    <mergeCell ref="A20:B20"/>
    <mergeCell ref="A11:B11"/>
    <mergeCell ref="AG2:AL2"/>
    <mergeCell ref="A1:AL1"/>
    <mergeCell ref="I6:P6"/>
    <mergeCell ref="E4:AA4"/>
    <mergeCell ref="I3:AL3"/>
    <mergeCell ref="W5:AB5"/>
    <mergeCell ref="I5:P5"/>
    <mergeCell ref="Q5:V5"/>
    <mergeCell ref="AI5:AL5"/>
    <mergeCell ref="AI4:AL4"/>
  </mergeCells>
  <printOptions horizontalCentered="1"/>
  <pageMargins left="0.39370078740157483" right="0.31496062992125984" top="0.35433070866141736" bottom="0.35433070866141736" header="0.31496062992125984" footer="0.31496062992125984"/>
  <pageSetup paperSize="9" scale="9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J36"/>
  <sheetViews>
    <sheetView showGridLines="0" workbookViewId="0">
      <selection activeCell="M12" sqref="M12"/>
    </sheetView>
  </sheetViews>
  <sheetFormatPr baseColWidth="10" defaultColWidth="11.453125" defaultRowHeight="14.5"/>
  <cols>
    <col min="1" max="1" width="10.453125" customWidth="1"/>
    <col min="2" max="2" width="15.81640625" customWidth="1"/>
    <col min="3" max="4" width="12.81640625" customWidth="1"/>
    <col min="5" max="5" width="14.81640625" customWidth="1"/>
    <col min="6" max="6" width="1.54296875" customWidth="1"/>
    <col min="7" max="7" width="12.54296875" customWidth="1"/>
    <col min="8" max="8" width="8" customWidth="1"/>
    <col min="9" max="9" width="7.54296875" customWidth="1"/>
    <col min="10" max="10" width="5.1796875" customWidth="1"/>
  </cols>
  <sheetData>
    <row r="1" spans="1:10" ht="15" customHeight="1">
      <c r="A1" s="1366" t="s">
        <v>183</v>
      </c>
      <c r="B1" s="1367"/>
      <c r="C1" s="1367"/>
      <c r="D1" s="1367"/>
      <c r="E1" s="1367"/>
      <c r="F1" s="1367"/>
      <c r="G1" s="1367"/>
      <c r="H1" s="1367"/>
      <c r="I1" s="1367"/>
      <c r="J1" s="1368"/>
    </row>
    <row r="2" spans="1:10" ht="20.149999999999999" customHeight="1">
      <c r="A2" s="14"/>
      <c r="B2" s="187"/>
      <c r="C2" s="187"/>
      <c r="D2" s="187"/>
      <c r="E2" s="292"/>
      <c r="F2" s="331"/>
      <c r="G2" s="187"/>
      <c r="H2" s="187"/>
      <c r="I2" s="1279" t="s">
        <v>88</v>
      </c>
      <c r="J2" s="1365"/>
    </row>
    <row r="3" spans="1:10" s="132" customFormat="1" ht="15" customHeight="1">
      <c r="A3" s="784" t="s">
        <v>26</v>
      </c>
      <c r="B3" s="8"/>
      <c r="C3" s="1370">
        <f>'FICHE R1'!E3</f>
        <v>0</v>
      </c>
      <c r="D3" s="1370"/>
      <c r="E3" s="1370"/>
      <c r="F3" s="1370"/>
      <c r="G3" s="1370"/>
      <c r="H3" s="1370"/>
      <c r="I3" s="1370"/>
      <c r="J3" s="1371"/>
    </row>
    <row r="4" spans="1:10" s="132" customFormat="1" ht="15" customHeight="1">
      <c r="A4" s="784" t="s">
        <v>27</v>
      </c>
      <c r="B4" s="1370">
        <f>'FICHE R1'!D4</f>
        <v>0</v>
      </c>
      <c r="C4" s="1370"/>
      <c r="D4" s="1370"/>
      <c r="E4" s="1370"/>
      <c r="F4" s="1370"/>
      <c r="G4" s="1370"/>
      <c r="H4" s="1369" t="s">
        <v>28</v>
      </c>
      <c r="I4" s="1369"/>
      <c r="J4" s="785">
        <f>'FICHE R1'!S4</f>
        <v>0</v>
      </c>
    </row>
    <row r="5" spans="1:10" s="132" customFormat="1" ht="15" customHeight="1">
      <c r="A5" s="784" t="s">
        <v>2019</v>
      </c>
      <c r="B5" s="8"/>
      <c r="C5" s="1370">
        <f>'FICHE R1'!E5</f>
        <v>0</v>
      </c>
      <c r="D5" s="1372"/>
      <c r="E5" s="41" t="s">
        <v>30</v>
      </c>
      <c r="F5" s="1299">
        <f>'FICHE R1'!J5</f>
        <v>0</v>
      </c>
      <c r="G5" s="1299"/>
      <c r="H5" s="1373" t="s">
        <v>31</v>
      </c>
      <c r="I5" s="1373"/>
      <c r="J5" s="786">
        <f>'FICHE R1'!U5</f>
        <v>0</v>
      </c>
    </row>
    <row r="6" spans="1:10" s="132" customFormat="1" ht="15" customHeight="1">
      <c r="A6" s="784" t="s">
        <v>2025</v>
      </c>
      <c r="C6" s="1296">
        <f>'FICHE R1'!E6</f>
        <v>0</v>
      </c>
      <c r="D6" s="1296"/>
      <c r="E6" s="267"/>
      <c r="F6" s="267"/>
      <c r="G6" s="267"/>
      <c r="H6" s="267"/>
      <c r="I6" s="267"/>
      <c r="J6" s="787"/>
    </row>
    <row r="7" spans="1:10" ht="28.5" customHeight="1">
      <c r="A7" s="1374" t="s">
        <v>1514</v>
      </c>
      <c r="B7" s="1169"/>
      <c r="C7" s="1169"/>
      <c r="D7" s="1169"/>
      <c r="E7" s="1169"/>
      <c r="F7" s="1169"/>
      <c r="G7" s="1169"/>
      <c r="H7" s="1169"/>
      <c r="I7" s="1169"/>
      <c r="J7" s="1375"/>
    </row>
    <row r="8" spans="1:10" ht="15.5">
      <c r="A8" s="1357" t="s">
        <v>89</v>
      </c>
      <c r="B8" s="1358"/>
      <c r="C8" s="1358"/>
      <c r="D8" s="1358"/>
      <c r="E8" s="1358"/>
      <c r="F8" s="1358"/>
      <c r="G8" s="1358"/>
      <c r="H8" s="1358"/>
      <c r="I8" s="1358"/>
      <c r="J8" s="1359"/>
    </row>
    <row r="9" spans="1:10" ht="12" customHeight="1">
      <c r="A9" s="14"/>
      <c r="J9" s="15"/>
    </row>
    <row r="10" spans="1:10" ht="39.75" customHeight="1">
      <c r="A10" s="1376" t="s">
        <v>1449</v>
      </c>
      <c r="B10" s="1377"/>
      <c r="C10" s="330" t="s">
        <v>634</v>
      </c>
      <c r="D10" s="308" t="s">
        <v>2008</v>
      </c>
      <c r="E10" s="330" t="s">
        <v>90</v>
      </c>
      <c r="F10" s="1378" t="s">
        <v>1665</v>
      </c>
      <c r="G10" s="1378"/>
      <c r="H10" s="1378" t="s">
        <v>1450</v>
      </c>
      <c r="I10" s="1378"/>
      <c r="J10" s="1379"/>
    </row>
    <row r="11" spans="1:10" s="287" customFormat="1" ht="26.15" customHeight="1">
      <c r="A11" s="1352"/>
      <c r="B11" s="1353"/>
      <c r="C11" s="294"/>
      <c r="D11" s="294"/>
      <c r="E11" s="240"/>
      <c r="F11" s="1362"/>
      <c r="G11" s="1362"/>
      <c r="H11" s="1362"/>
      <c r="I11" s="1362"/>
      <c r="J11" s="1363"/>
    </row>
    <row r="12" spans="1:10" s="287" customFormat="1" ht="26.15" customHeight="1">
      <c r="A12" s="1352"/>
      <c r="B12" s="1353"/>
      <c r="C12" s="294"/>
      <c r="D12" s="294"/>
      <c r="E12" s="293"/>
      <c r="F12" s="1362"/>
      <c r="G12" s="1362"/>
      <c r="H12" s="1362"/>
      <c r="I12" s="1362"/>
      <c r="J12" s="1363"/>
    </row>
    <row r="13" spans="1:10" s="287" customFormat="1" ht="26.15" customHeight="1">
      <c r="A13" s="1352"/>
      <c r="B13" s="1353"/>
      <c r="C13" s="294"/>
      <c r="D13" s="294"/>
      <c r="E13" s="293"/>
      <c r="F13" s="1362"/>
      <c r="G13" s="1362"/>
      <c r="H13" s="1362"/>
      <c r="I13" s="1362"/>
      <c r="J13" s="1363"/>
    </row>
    <row r="14" spans="1:10" s="287" customFormat="1" ht="26.15" customHeight="1">
      <c r="A14" s="1352"/>
      <c r="B14" s="1353"/>
      <c r="C14" s="294"/>
      <c r="D14" s="294"/>
      <c r="E14" s="293"/>
      <c r="F14" s="1362"/>
      <c r="G14" s="1362"/>
      <c r="H14" s="1362"/>
      <c r="I14" s="1362"/>
      <c r="J14" s="1363"/>
    </row>
    <row r="15" spans="1:10" s="287" customFormat="1" ht="26.15" customHeight="1">
      <c r="A15" s="1352"/>
      <c r="B15" s="1353"/>
      <c r="C15" s="294"/>
      <c r="D15" s="294"/>
      <c r="E15" s="293"/>
      <c r="F15" s="1362"/>
      <c r="G15" s="1362"/>
      <c r="H15" s="1362"/>
      <c r="I15" s="1362"/>
      <c r="J15" s="1363"/>
    </row>
    <row r="16" spans="1:10" s="287" customFormat="1" ht="26.15" customHeight="1">
      <c r="A16" s="1352"/>
      <c r="B16" s="1353"/>
      <c r="C16" s="294"/>
      <c r="D16" s="294"/>
      <c r="E16" s="293"/>
      <c r="F16" s="1362"/>
      <c r="G16" s="1362"/>
      <c r="H16" s="1362"/>
      <c r="I16" s="1362"/>
      <c r="J16" s="1363"/>
    </row>
    <row r="17" spans="1:10" s="287" customFormat="1" ht="26.15" customHeight="1">
      <c r="A17" s="1352"/>
      <c r="B17" s="1353"/>
      <c r="C17" s="294"/>
      <c r="D17" s="294"/>
      <c r="E17" s="293"/>
      <c r="F17" s="1362"/>
      <c r="G17" s="1362"/>
      <c r="H17" s="1362"/>
      <c r="I17" s="1362"/>
      <c r="J17" s="1363"/>
    </row>
    <row r="18" spans="1:10" s="287" customFormat="1" ht="26.15" customHeight="1">
      <c r="A18" s="1352"/>
      <c r="B18" s="1353"/>
      <c r="C18" s="294"/>
      <c r="D18" s="294"/>
      <c r="E18" s="293"/>
      <c r="F18" s="1362"/>
      <c r="G18" s="1362"/>
      <c r="H18" s="1362"/>
      <c r="I18" s="1362"/>
      <c r="J18" s="1363"/>
    </row>
    <row r="19" spans="1:10" s="287" customFormat="1" ht="26.15" customHeight="1">
      <c r="A19" s="1352"/>
      <c r="B19" s="1353"/>
      <c r="C19" s="294"/>
      <c r="D19" s="294"/>
      <c r="E19" s="293"/>
      <c r="F19" s="1362"/>
      <c r="G19" s="1362"/>
      <c r="H19" s="1362"/>
      <c r="I19" s="1362"/>
      <c r="J19" s="1363"/>
    </row>
    <row r="20" spans="1:10" s="287" customFormat="1" ht="26.15" customHeight="1">
      <c r="A20" s="1352"/>
      <c r="B20" s="1353"/>
      <c r="C20" s="294"/>
      <c r="D20" s="294"/>
      <c r="E20" s="293"/>
      <c r="F20" s="1362"/>
      <c r="G20" s="1362"/>
      <c r="H20" s="1362"/>
      <c r="I20" s="1362"/>
      <c r="J20" s="1363"/>
    </row>
    <row r="21" spans="1:10" s="287" customFormat="1" ht="26.15" customHeight="1">
      <c r="A21" s="1352"/>
      <c r="B21" s="1353"/>
      <c r="C21" s="294"/>
      <c r="D21" s="294"/>
      <c r="E21" s="293"/>
      <c r="F21" s="1362"/>
      <c r="G21" s="1362"/>
      <c r="H21" s="1362"/>
      <c r="I21" s="1362"/>
      <c r="J21" s="1363"/>
    </row>
    <row r="22" spans="1:10">
      <c r="A22" s="789" t="s">
        <v>91</v>
      </c>
      <c r="B22" s="265"/>
      <c r="C22" s="265"/>
      <c r="D22" s="265"/>
      <c r="E22" s="265"/>
      <c r="F22" s="265"/>
      <c r="G22" s="265"/>
      <c r="J22" s="15"/>
    </row>
    <row r="23" spans="1:10" s="440" customFormat="1" ht="12" customHeight="1">
      <c r="A23" s="790" t="s">
        <v>2009</v>
      </c>
      <c r="J23" s="791"/>
    </row>
    <row r="24" spans="1:10">
      <c r="A24" s="1357" t="s">
        <v>92</v>
      </c>
      <c r="B24" s="1358"/>
      <c r="C24" s="1358"/>
      <c r="D24" s="1358"/>
      <c r="E24" s="1358"/>
      <c r="F24" s="1358"/>
      <c r="G24" s="1358"/>
      <c r="H24" s="1358"/>
      <c r="I24" s="1358"/>
      <c r="J24" s="1359"/>
    </row>
    <row r="25" spans="1:10" ht="12" customHeight="1">
      <c r="A25" s="792"/>
      <c r="B25" s="265"/>
      <c r="C25" s="265"/>
      <c r="D25" s="265"/>
      <c r="E25" s="265"/>
      <c r="F25" s="265"/>
      <c r="G25" s="265"/>
      <c r="J25" s="15"/>
    </row>
    <row r="26" spans="1:10" ht="27.75" customHeight="1">
      <c r="A26" s="1364" t="s">
        <v>1449</v>
      </c>
      <c r="B26" s="1356"/>
      <c r="C26" s="1356" t="s">
        <v>1451</v>
      </c>
      <c r="D26" s="1356"/>
      <c r="E26" s="1355" t="s">
        <v>90</v>
      </c>
      <c r="F26" s="1355"/>
      <c r="G26" s="1360" t="s">
        <v>1542</v>
      </c>
      <c r="H26" s="1360"/>
      <c r="I26" s="1360"/>
      <c r="J26" s="1361"/>
    </row>
    <row r="27" spans="1:10">
      <c r="A27" s="1354"/>
      <c r="B27" s="1354"/>
      <c r="C27" s="1354"/>
      <c r="D27" s="1354"/>
      <c r="E27" s="1354"/>
      <c r="F27" s="1354"/>
      <c r="G27" s="1354"/>
      <c r="H27" s="1354"/>
      <c r="I27" s="1354"/>
      <c r="J27" s="1354"/>
    </row>
    <row r="28" spans="1:10">
      <c r="A28" s="1354"/>
      <c r="B28" s="1354"/>
      <c r="C28" s="1354"/>
      <c r="D28" s="1354"/>
      <c r="E28" s="1354"/>
      <c r="F28" s="1354"/>
      <c r="G28" s="1354"/>
      <c r="H28" s="1354"/>
      <c r="I28" s="1354"/>
      <c r="J28" s="1354"/>
    </row>
    <row r="29" spans="1:10">
      <c r="A29" s="1354"/>
      <c r="B29" s="1354"/>
      <c r="C29" s="1354"/>
      <c r="D29" s="1354"/>
      <c r="E29" s="1354"/>
      <c r="F29" s="1354"/>
      <c r="G29" s="1354"/>
      <c r="H29" s="1354"/>
      <c r="I29" s="1354"/>
      <c r="J29" s="1354"/>
    </row>
    <row r="30" spans="1:10">
      <c r="A30" s="1354"/>
      <c r="B30" s="1354"/>
      <c r="C30" s="1354"/>
      <c r="D30" s="1354"/>
      <c r="E30" s="1354"/>
      <c r="F30" s="1354"/>
      <c r="G30" s="1354"/>
      <c r="H30" s="1354"/>
      <c r="I30" s="1354"/>
      <c r="J30" s="1354"/>
    </row>
    <row r="31" spans="1:10">
      <c r="A31" s="1354"/>
      <c r="B31" s="1354"/>
      <c r="C31" s="1354"/>
      <c r="D31" s="1354"/>
      <c r="E31" s="1354"/>
      <c r="F31" s="1354"/>
      <c r="G31" s="1354"/>
      <c r="H31" s="1354"/>
      <c r="I31" s="1354"/>
      <c r="J31" s="1354"/>
    </row>
    <row r="32" spans="1:10">
      <c r="A32" s="1354"/>
      <c r="B32" s="1354"/>
      <c r="C32" s="1354"/>
      <c r="D32" s="1354"/>
      <c r="E32" s="1354"/>
      <c r="F32" s="1354"/>
      <c r="G32" s="1354"/>
      <c r="H32" s="1354"/>
      <c r="I32" s="1354"/>
      <c r="J32" s="1354"/>
    </row>
    <row r="33" spans="1:10">
      <c r="A33" s="1354"/>
      <c r="B33" s="1354"/>
      <c r="C33" s="1354"/>
      <c r="D33" s="1354"/>
      <c r="E33" s="1354"/>
      <c r="F33" s="1354"/>
      <c r="G33" s="1354"/>
      <c r="H33" s="1354"/>
      <c r="I33" s="1354"/>
      <c r="J33" s="1354"/>
    </row>
    <row r="34" spans="1:10">
      <c r="A34" s="1354"/>
      <c r="B34" s="1354"/>
      <c r="C34" s="1354"/>
      <c r="D34" s="1354"/>
      <c r="E34" s="1354"/>
      <c r="F34" s="1354"/>
      <c r="G34" s="1354"/>
      <c r="H34" s="1354"/>
      <c r="I34" s="1354"/>
      <c r="J34" s="1354"/>
    </row>
    <row r="35" spans="1:10">
      <c r="A35" s="1354"/>
      <c r="B35" s="1354"/>
      <c r="C35" s="1354"/>
      <c r="D35" s="1354"/>
      <c r="E35" s="1354"/>
      <c r="F35" s="1354"/>
      <c r="G35" s="1354"/>
      <c r="H35" s="1354"/>
      <c r="I35" s="1354"/>
      <c r="J35" s="1354"/>
    </row>
    <row r="36" spans="1:10">
      <c r="A36" s="1354"/>
      <c r="B36" s="1354"/>
      <c r="C36" s="1354"/>
      <c r="D36" s="1354"/>
      <c r="E36" s="1354"/>
      <c r="F36" s="1354"/>
      <c r="G36" s="1354"/>
      <c r="H36" s="1354"/>
      <c r="I36" s="1354"/>
      <c r="J36" s="1354"/>
    </row>
  </sheetData>
  <sheetProtection selectLockedCells="1"/>
  <mergeCells count="92">
    <mergeCell ref="H15:J15"/>
    <mergeCell ref="A11:B11"/>
    <mergeCell ref="A12:B12"/>
    <mergeCell ref="A13:B13"/>
    <mergeCell ref="A14:B14"/>
    <mergeCell ref="A15:B15"/>
    <mergeCell ref="F12:G12"/>
    <mergeCell ref="F13:G13"/>
    <mergeCell ref="F14:G14"/>
    <mergeCell ref="A32:B32"/>
    <mergeCell ref="A33:B33"/>
    <mergeCell ref="A34:B34"/>
    <mergeCell ref="A35:B35"/>
    <mergeCell ref="A36:B36"/>
    <mergeCell ref="C36:D36"/>
    <mergeCell ref="C27:D27"/>
    <mergeCell ref="C28:D28"/>
    <mergeCell ref="C29:D29"/>
    <mergeCell ref="C30:D30"/>
    <mergeCell ref="C31:D31"/>
    <mergeCell ref="E36:F36"/>
    <mergeCell ref="E27:F27"/>
    <mergeCell ref="E28:F28"/>
    <mergeCell ref="F20:G20"/>
    <mergeCell ref="F21:G21"/>
    <mergeCell ref="G36:J36"/>
    <mergeCell ref="G27:J27"/>
    <mergeCell ref="G28:J28"/>
    <mergeCell ref="G29:J29"/>
    <mergeCell ref="G30:J30"/>
    <mergeCell ref="G31:J31"/>
    <mergeCell ref="G33:J33"/>
    <mergeCell ref="G34:J34"/>
    <mergeCell ref="G35:J35"/>
    <mergeCell ref="H21:J21"/>
    <mergeCell ref="E32:F32"/>
    <mergeCell ref="H19:J19"/>
    <mergeCell ref="H20:J20"/>
    <mergeCell ref="F18:G18"/>
    <mergeCell ref="F19:G19"/>
    <mergeCell ref="F17:G17"/>
    <mergeCell ref="H17:J17"/>
    <mergeCell ref="H18:J18"/>
    <mergeCell ref="C6:D6"/>
    <mergeCell ref="C5:D5"/>
    <mergeCell ref="H5:I5"/>
    <mergeCell ref="F5:G5"/>
    <mergeCell ref="F11:G11"/>
    <mergeCell ref="A8:J8"/>
    <mergeCell ref="A7:J7"/>
    <mergeCell ref="A10:B10"/>
    <mergeCell ref="H10:J10"/>
    <mergeCell ref="F10:G10"/>
    <mergeCell ref="I2:J2"/>
    <mergeCell ref="A1:J1"/>
    <mergeCell ref="H4:I4"/>
    <mergeCell ref="C3:J3"/>
    <mergeCell ref="B4:G4"/>
    <mergeCell ref="G32:J32"/>
    <mergeCell ref="H11:J11"/>
    <mergeCell ref="C32:D32"/>
    <mergeCell ref="A18:B18"/>
    <mergeCell ref="A19:B19"/>
    <mergeCell ref="A20:B20"/>
    <mergeCell ref="H16:J16"/>
    <mergeCell ref="F15:G15"/>
    <mergeCell ref="F16:G16"/>
    <mergeCell ref="H12:J12"/>
    <mergeCell ref="H13:J13"/>
    <mergeCell ref="H14:J14"/>
    <mergeCell ref="A16:B16"/>
    <mergeCell ref="A17:B17"/>
    <mergeCell ref="A26:B26"/>
    <mergeCell ref="A29:B29"/>
    <mergeCell ref="E33:F33"/>
    <mergeCell ref="E34:F34"/>
    <mergeCell ref="E35:F35"/>
    <mergeCell ref="C33:D33"/>
    <mergeCell ref="C34:D34"/>
    <mergeCell ref="C35:D35"/>
    <mergeCell ref="A21:B21"/>
    <mergeCell ref="A30:B30"/>
    <mergeCell ref="A31:B31"/>
    <mergeCell ref="E29:F29"/>
    <mergeCell ref="E30:F30"/>
    <mergeCell ref="E31:F31"/>
    <mergeCell ref="E26:F26"/>
    <mergeCell ref="A27:B27"/>
    <mergeCell ref="A28:B28"/>
    <mergeCell ref="C26:D26"/>
    <mergeCell ref="A24:J24"/>
    <mergeCell ref="G26:J26"/>
  </mergeCells>
  <printOptions horizontalCentered="1"/>
  <pageMargins left="0.19685039370078741" right="0.19685039370078741" top="0.35433070866141736" bottom="0.35433070866141736" header="0.11811023622047245" footer="0.11811023622047245"/>
  <pageSetup paperSize="9"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N39"/>
  <sheetViews>
    <sheetView showGridLines="0" showZeros="0" topLeftCell="C1" zoomScale="90" zoomScaleNormal="90" workbookViewId="0">
      <selection activeCell="M16" sqref="M16"/>
    </sheetView>
  </sheetViews>
  <sheetFormatPr baseColWidth="10" defaultColWidth="11.453125" defaultRowHeight="11.5"/>
  <cols>
    <col min="1" max="1" width="4.54296875" style="25" customWidth="1"/>
    <col min="2" max="2" width="24.54296875" style="25" customWidth="1"/>
    <col min="3" max="3" width="14.453125" style="25" customWidth="1"/>
    <col min="4" max="4" width="15.453125" style="8" customWidth="1"/>
    <col min="5" max="5" width="6.1796875" style="8" customWidth="1"/>
    <col min="6" max="9" width="15.54296875" style="8" customWidth="1"/>
    <col min="10" max="10" width="4.54296875" style="8" customWidth="1"/>
    <col min="11" max="11" width="41.54296875" style="8" customWidth="1"/>
    <col min="12" max="12" width="6.1796875" style="8" customWidth="1"/>
    <col min="13" max="14" width="15.54296875" style="8" customWidth="1"/>
    <col min="15" max="16384" width="11.453125" style="8"/>
  </cols>
  <sheetData>
    <row r="1" spans="1:14" ht="15" customHeight="1">
      <c r="A1" s="1134" t="s">
        <v>183</v>
      </c>
      <c r="B1" s="1134"/>
      <c r="C1" s="1134"/>
      <c r="D1" s="1134"/>
      <c r="E1" s="1134"/>
      <c r="F1" s="1134"/>
      <c r="G1" s="1134"/>
      <c r="H1" s="1134"/>
      <c r="I1" s="1134"/>
      <c r="J1" s="1134"/>
      <c r="K1" s="1134"/>
      <c r="L1" s="1134"/>
      <c r="M1" s="1134"/>
      <c r="N1" s="1134"/>
    </row>
    <row r="2" spans="1:14" ht="27" customHeight="1">
      <c r="B2" s="26"/>
      <c r="C2" s="26"/>
      <c r="D2" s="27"/>
      <c r="E2" s="27"/>
      <c r="F2" s="27"/>
      <c r="G2" s="27"/>
      <c r="J2" s="27"/>
      <c r="K2" s="60"/>
      <c r="L2" s="1380" t="s">
        <v>1634</v>
      </c>
      <c r="M2" s="1381"/>
      <c r="N2" s="1382"/>
    </row>
    <row r="3" spans="1:14" s="7" customFormat="1" ht="15.75" customHeight="1">
      <c r="A3" s="7" t="s">
        <v>26</v>
      </c>
      <c r="C3" s="1390"/>
      <c r="D3" s="1390"/>
      <c r="E3" s="1390"/>
      <c r="F3" s="1390"/>
      <c r="G3" s="1390"/>
      <c r="H3" s="1390"/>
      <c r="I3" s="1390"/>
      <c r="J3" s="1390"/>
      <c r="K3" s="1390"/>
      <c r="L3" s="1390"/>
      <c r="M3" s="1390"/>
      <c r="N3" s="1390"/>
    </row>
    <row r="4" spans="1:14" s="7" customFormat="1" ht="15.75" customHeight="1">
      <c r="A4" s="1385" t="s">
        <v>27</v>
      </c>
      <c r="B4" s="1385"/>
      <c r="C4" s="1390"/>
      <c r="D4" s="1390"/>
      <c r="E4" s="1390"/>
      <c r="F4" s="1390"/>
      <c r="G4" s="1390"/>
      <c r="H4" s="1390"/>
      <c r="I4" s="1390"/>
      <c r="J4" s="1390"/>
      <c r="K4" s="1390"/>
      <c r="L4" s="1386" t="s">
        <v>28</v>
      </c>
      <c r="M4" s="1386"/>
      <c r="N4" s="450"/>
    </row>
    <row r="5" spans="1:14" s="7" customFormat="1" ht="15.75" customHeight="1">
      <c r="A5" s="1385" t="s">
        <v>2018</v>
      </c>
      <c r="B5" s="1385"/>
      <c r="C5" s="1390"/>
      <c r="D5" s="1390"/>
      <c r="E5" s="1390"/>
      <c r="F5" s="1390"/>
      <c r="G5" s="1390"/>
      <c r="H5" s="1390"/>
      <c r="I5" s="1386" t="s">
        <v>30</v>
      </c>
      <c r="J5" s="1386"/>
      <c r="K5" s="450"/>
      <c r="L5" s="1386" t="s">
        <v>31</v>
      </c>
      <c r="M5" s="1386"/>
      <c r="N5" s="451"/>
    </row>
    <row r="6" spans="1:14" s="7" customFormat="1" ht="15.75" customHeight="1">
      <c r="A6" s="8" t="s">
        <v>2024</v>
      </c>
      <c r="B6" s="374"/>
      <c r="C6" s="1390"/>
      <c r="D6" s="1390"/>
      <c r="E6" s="1390"/>
      <c r="F6" s="1390"/>
      <c r="G6" s="1390"/>
      <c r="H6" s="1390"/>
      <c r="I6" s="452"/>
      <c r="J6" s="452"/>
      <c r="K6" s="450"/>
      <c r="L6" s="452"/>
      <c r="M6" s="452"/>
      <c r="N6" s="450"/>
    </row>
    <row r="7" spans="1:14" ht="28.5" customHeight="1">
      <c r="A7" s="1384" t="s">
        <v>184</v>
      </c>
      <c r="B7" s="1384"/>
      <c r="C7" s="1384"/>
      <c r="D7" s="1384"/>
      <c r="E7" s="1384"/>
      <c r="F7" s="1384"/>
      <c r="G7" s="1384"/>
      <c r="H7" s="1384"/>
      <c r="I7" s="1384"/>
      <c r="J7" s="1384"/>
      <c r="K7" s="1384"/>
      <c r="L7" s="1384"/>
      <c r="M7" s="1384"/>
      <c r="N7" s="1384"/>
    </row>
    <row r="8" spans="1:14" ht="15" customHeight="1">
      <c r="A8" s="1383" t="s">
        <v>185</v>
      </c>
      <c r="B8" s="1387" t="s">
        <v>186</v>
      </c>
      <c r="C8" s="1387"/>
      <c r="D8" s="1387"/>
      <c r="E8" s="1383" t="s">
        <v>187</v>
      </c>
      <c r="F8" s="1383" t="s">
        <v>188</v>
      </c>
      <c r="G8" s="1383"/>
      <c r="H8" s="1383"/>
      <c r="I8" s="1383" t="s">
        <v>189</v>
      </c>
      <c r="J8" s="1383" t="s">
        <v>185</v>
      </c>
      <c r="K8" s="1383" t="s">
        <v>190</v>
      </c>
      <c r="L8" s="1383" t="s">
        <v>187</v>
      </c>
      <c r="M8" s="1383" t="s">
        <v>191</v>
      </c>
      <c r="N8" s="1383" t="s">
        <v>192</v>
      </c>
    </row>
    <row r="9" spans="1:14" ht="13.5" customHeight="1">
      <c r="A9" s="1383"/>
      <c r="B9" s="1387"/>
      <c r="C9" s="1387"/>
      <c r="D9" s="1387"/>
      <c r="E9" s="1383"/>
      <c r="F9" s="1383"/>
      <c r="G9" s="1383"/>
      <c r="H9" s="1383"/>
      <c r="I9" s="1383"/>
      <c r="J9" s="1383"/>
      <c r="K9" s="1383"/>
      <c r="L9" s="1383"/>
      <c r="M9" s="1383"/>
      <c r="N9" s="1383"/>
    </row>
    <row r="10" spans="1:14" ht="31.5" customHeight="1">
      <c r="A10" s="1389"/>
      <c r="B10" s="1388"/>
      <c r="C10" s="1388"/>
      <c r="D10" s="1388"/>
      <c r="E10" s="1383"/>
      <c r="F10" s="295" t="s">
        <v>193</v>
      </c>
      <c r="G10" s="295" t="s">
        <v>194</v>
      </c>
      <c r="H10" s="295" t="s">
        <v>195</v>
      </c>
      <c r="I10" s="295" t="s">
        <v>195</v>
      </c>
      <c r="J10" s="1389"/>
      <c r="K10" s="1389"/>
      <c r="L10" s="1383"/>
      <c r="M10" s="295" t="s">
        <v>195</v>
      </c>
      <c r="N10" s="295" t="s">
        <v>195</v>
      </c>
    </row>
    <row r="11" spans="1:14" ht="18" customHeight="1">
      <c r="A11" s="62" t="s">
        <v>196</v>
      </c>
      <c r="B11" s="1393" t="s">
        <v>197</v>
      </c>
      <c r="C11" s="1394"/>
      <c r="D11" s="1395"/>
      <c r="E11" s="349" t="s">
        <v>198</v>
      </c>
      <c r="F11" s="350">
        <f>SUM(F12:F15)</f>
        <v>0</v>
      </c>
      <c r="G11" s="350">
        <f t="shared" ref="G11:I11" si="0">SUM(G12:G15)</f>
        <v>0</v>
      </c>
      <c r="H11" s="350">
        <f>SUM(H12:H15)</f>
        <v>0</v>
      </c>
      <c r="I11" s="350">
        <f t="shared" si="0"/>
        <v>0</v>
      </c>
      <c r="J11" s="68" t="s">
        <v>199</v>
      </c>
      <c r="K11" s="69" t="s">
        <v>200</v>
      </c>
      <c r="L11" s="83">
        <v>13</v>
      </c>
      <c r="M11" s="70"/>
      <c r="N11" s="70"/>
    </row>
    <row r="12" spans="1:14" ht="18" customHeight="1">
      <c r="A12" s="63" t="s">
        <v>201</v>
      </c>
      <c r="B12" s="1391" t="s">
        <v>202</v>
      </c>
      <c r="C12" s="1138"/>
      <c r="D12" s="1392"/>
      <c r="E12" s="71"/>
      <c r="F12" s="70"/>
      <c r="G12" s="70"/>
      <c r="H12" s="72">
        <f>F12-G12</f>
        <v>0</v>
      </c>
      <c r="I12" s="73"/>
      <c r="J12" s="63" t="s">
        <v>203</v>
      </c>
      <c r="K12" s="74" t="s">
        <v>204</v>
      </c>
      <c r="L12" s="83">
        <v>13</v>
      </c>
      <c r="M12" s="70"/>
      <c r="N12" s="70"/>
    </row>
    <row r="13" spans="1:14" ht="18" customHeight="1">
      <c r="A13" s="63" t="s">
        <v>205</v>
      </c>
      <c r="B13" s="1391" t="s">
        <v>206</v>
      </c>
      <c r="C13" s="1138"/>
      <c r="D13" s="1392"/>
      <c r="E13" s="71"/>
      <c r="F13" s="70"/>
      <c r="G13" s="70"/>
      <c r="H13" s="72">
        <f t="shared" ref="H13:H15" si="1">F13-G13</f>
        <v>0</v>
      </c>
      <c r="I13" s="73"/>
      <c r="J13" s="63" t="s">
        <v>207</v>
      </c>
      <c r="K13" s="74" t="s">
        <v>208</v>
      </c>
      <c r="L13" s="83">
        <v>14</v>
      </c>
      <c r="M13" s="70"/>
      <c r="N13" s="70"/>
    </row>
    <row r="14" spans="1:14" ht="18" customHeight="1">
      <c r="A14" s="63" t="s">
        <v>209</v>
      </c>
      <c r="B14" s="1391" t="s">
        <v>210</v>
      </c>
      <c r="C14" s="1138"/>
      <c r="D14" s="1392"/>
      <c r="E14" s="71"/>
      <c r="F14" s="70"/>
      <c r="G14" s="70"/>
      <c r="H14" s="72">
        <f t="shared" si="1"/>
        <v>0</v>
      </c>
      <c r="I14" s="73"/>
      <c r="J14" s="63" t="s">
        <v>211</v>
      </c>
      <c r="K14" s="74" t="s">
        <v>212</v>
      </c>
      <c r="L14" s="83" t="s">
        <v>213</v>
      </c>
      <c r="M14" s="70"/>
      <c r="N14" s="70"/>
    </row>
    <row r="15" spans="1:14" ht="18" customHeight="1">
      <c r="A15" s="63" t="s">
        <v>214</v>
      </c>
      <c r="B15" s="1391" t="s">
        <v>215</v>
      </c>
      <c r="C15" s="1138"/>
      <c r="D15" s="1392"/>
      <c r="E15" s="71"/>
      <c r="F15" s="70"/>
      <c r="G15" s="70"/>
      <c r="H15" s="72">
        <f t="shared" si="1"/>
        <v>0</v>
      </c>
      <c r="I15" s="73"/>
      <c r="J15" s="63" t="s">
        <v>216</v>
      </c>
      <c r="K15" s="74" t="s">
        <v>217</v>
      </c>
      <c r="L15" s="83">
        <v>14</v>
      </c>
      <c r="M15" s="70"/>
      <c r="N15" s="70"/>
    </row>
    <row r="16" spans="1:14" ht="18" customHeight="1">
      <c r="A16" s="62" t="s">
        <v>218</v>
      </c>
      <c r="B16" s="1393" t="s">
        <v>219</v>
      </c>
      <c r="C16" s="1394"/>
      <c r="D16" s="1395"/>
      <c r="E16" s="349">
        <v>3</v>
      </c>
      <c r="F16" s="350">
        <f>SUM(F17:F21)</f>
        <v>0</v>
      </c>
      <c r="G16" s="350">
        <f t="shared" ref="G16:I16" si="2">SUM(G17:G21)</f>
        <v>0</v>
      </c>
      <c r="H16" s="350">
        <f t="shared" si="2"/>
        <v>0</v>
      </c>
      <c r="I16" s="350">
        <f t="shared" si="2"/>
        <v>0</v>
      </c>
      <c r="J16" s="63" t="s">
        <v>220</v>
      </c>
      <c r="K16" s="74" t="s">
        <v>221</v>
      </c>
      <c r="L16" s="83">
        <v>14</v>
      </c>
      <c r="M16" s="70"/>
      <c r="N16" s="70"/>
    </row>
    <row r="17" spans="1:14" ht="25.5" customHeight="1">
      <c r="A17" s="66" t="s">
        <v>222</v>
      </c>
      <c r="B17" s="67" t="s">
        <v>1156</v>
      </c>
      <c r="C17" s="237"/>
      <c r="D17" s="238"/>
      <c r="E17" s="71"/>
      <c r="F17" s="75"/>
      <c r="G17" s="75"/>
      <c r="H17" s="76">
        <f>F17-G17</f>
        <v>0</v>
      </c>
      <c r="I17" s="77"/>
      <c r="J17" s="63" t="s">
        <v>223</v>
      </c>
      <c r="K17" s="74" t="s">
        <v>224</v>
      </c>
      <c r="L17" s="83">
        <v>14</v>
      </c>
      <c r="M17" s="75"/>
      <c r="N17" s="75"/>
    </row>
    <row r="18" spans="1:14" ht="25.5" customHeight="1">
      <c r="A18" s="66" t="s">
        <v>225</v>
      </c>
      <c r="B18" s="67" t="s">
        <v>1157</v>
      </c>
      <c r="C18" s="237"/>
      <c r="D18" s="238"/>
      <c r="E18" s="71"/>
      <c r="F18" s="75"/>
      <c r="G18" s="75"/>
      <c r="H18" s="76">
        <f>F18-G18</f>
        <v>0</v>
      </c>
      <c r="I18" s="77"/>
      <c r="J18" s="63" t="s">
        <v>227</v>
      </c>
      <c r="K18" s="74" t="s">
        <v>228</v>
      </c>
      <c r="L18" s="239"/>
      <c r="M18" s="75"/>
      <c r="N18" s="75"/>
    </row>
    <row r="19" spans="1:14" ht="18" customHeight="1">
      <c r="A19" s="63" t="s">
        <v>229</v>
      </c>
      <c r="B19" s="1391" t="s">
        <v>230</v>
      </c>
      <c r="C19" s="1138"/>
      <c r="D19" s="1392"/>
      <c r="E19" s="71"/>
      <c r="F19" s="70"/>
      <c r="G19" s="70"/>
      <c r="H19" s="72">
        <f>F19-G19</f>
        <v>0</v>
      </c>
      <c r="I19" s="73"/>
      <c r="J19" s="63" t="s">
        <v>231</v>
      </c>
      <c r="K19" s="74" t="s">
        <v>232</v>
      </c>
      <c r="L19" s="83">
        <v>15</v>
      </c>
      <c r="M19" s="70"/>
      <c r="N19" s="70"/>
    </row>
    <row r="20" spans="1:14" ht="18" customHeight="1">
      <c r="A20" s="63" t="s">
        <v>233</v>
      </c>
      <c r="B20" s="1391" t="s">
        <v>234</v>
      </c>
      <c r="C20" s="1138"/>
      <c r="D20" s="1392"/>
      <c r="E20" s="71"/>
      <c r="F20" s="70"/>
      <c r="G20" s="70"/>
      <c r="H20" s="72">
        <f t="shared" ref="H20:H22" si="3">F20-G20</f>
        <v>0</v>
      </c>
      <c r="I20" s="73"/>
      <c r="J20" s="63" t="s">
        <v>235</v>
      </c>
      <c r="K20" s="74" t="s">
        <v>236</v>
      </c>
      <c r="L20" s="83">
        <v>15</v>
      </c>
      <c r="M20" s="70"/>
      <c r="N20" s="70"/>
    </row>
    <row r="21" spans="1:14" ht="30.75" customHeight="1">
      <c r="A21" s="63" t="s">
        <v>237</v>
      </c>
      <c r="B21" s="1391" t="s">
        <v>238</v>
      </c>
      <c r="C21" s="1138"/>
      <c r="D21" s="1392"/>
      <c r="E21" s="71"/>
      <c r="F21" s="70"/>
      <c r="G21" s="70"/>
      <c r="H21" s="72">
        <f t="shared" si="3"/>
        <v>0</v>
      </c>
      <c r="I21" s="73"/>
      <c r="J21" s="62" t="s">
        <v>239</v>
      </c>
      <c r="K21" s="353" t="s">
        <v>240</v>
      </c>
      <c r="L21" s="354"/>
      <c r="M21" s="352">
        <f>SUM(M11:M20)</f>
        <v>0</v>
      </c>
      <c r="N21" s="352">
        <f>SUM(N11:N20)</f>
        <v>0</v>
      </c>
    </row>
    <row r="22" spans="1:14" ht="18" customHeight="1">
      <c r="A22" s="107" t="s">
        <v>241</v>
      </c>
      <c r="B22" s="1399" t="s">
        <v>497</v>
      </c>
      <c r="C22" s="1140"/>
      <c r="D22" s="1400"/>
      <c r="E22" s="71">
        <v>3</v>
      </c>
      <c r="F22" s="80"/>
      <c r="G22" s="80"/>
      <c r="H22" s="81">
        <f t="shared" si="3"/>
        <v>0</v>
      </c>
      <c r="I22" s="82"/>
      <c r="J22" s="63" t="s">
        <v>242</v>
      </c>
      <c r="K22" s="74" t="s">
        <v>243</v>
      </c>
      <c r="L22" s="83">
        <v>16</v>
      </c>
      <c r="M22" s="70"/>
      <c r="N22" s="70"/>
    </row>
    <row r="23" spans="1:14" ht="18" customHeight="1">
      <c r="A23" s="62" t="s">
        <v>244</v>
      </c>
      <c r="B23" s="1396" t="s">
        <v>245</v>
      </c>
      <c r="C23" s="1397"/>
      <c r="D23" s="1398"/>
      <c r="E23" s="351">
        <v>4</v>
      </c>
      <c r="F23" s="352">
        <f>SUM(F24:F25)</f>
        <v>0</v>
      </c>
      <c r="G23" s="352">
        <f t="shared" ref="G23:I23" si="4">SUM(G24:G25)</f>
        <v>0</v>
      </c>
      <c r="H23" s="352">
        <f t="shared" si="4"/>
        <v>0</v>
      </c>
      <c r="I23" s="352">
        <f t="shared" si="4"/>
        <v>0</v>
      </c>
      <c r="J23" s="63" t="s">
        <v>246</v>
      </c>
      <c r="K23" s="74" t="s">
        <v>1726</v>
      </c>
      <c r="L23" s="83">
        <v>16</v>
      </c>
      <c r="M23" s="70"/>
      <c r="N23" s="70"/>
    </row>
    <row r="24" spans="1:14" ht="18" customHeight="1">
      <c r="A24" s="63" t="s">
        <v>247</v>
      </c>
      <c r="B24" s="1391" t="s">
        <v>248</v>
      </c>
      <c r="C24" s="1138"/>
      <c r="D24" s="1392"/>
      <c r="E24" s="71"/>
      <c r="F24" s="70"/>
      <c r="G24" s="70"/>
      <c r="H24" s="72">
        <f>F24-G24</f>
        <v>0</v>
      </c>
      <c r="I24" s="73"/>
      <c r="J24" s="63" t="s">
        <v>249</v>
      </c>
      <c r="K24" s="74" t="s">
        <v>250</v>
      </c>
      <c r="L24" s="83">
        <v>16</v>
      </c>
      <c r="M24" s="70"/>
      <c r="N24" s="70"/>
    </row>
    <row r="25" spans="1:14" ht="30.75" customHeight="1">
      <c r="A25" s="63" t="s">
        <v>251</v>
      </c>
      <c r="B25" s="1391" t="s">
        <v>252</v>
      </c>
      <c r="C25" s="1138"/>
      <c r="D25" s="1392"/>
      <c r="E25" s="71"/>
      <c r="F25" s="70"/>
      <c r="G25" s="70"/>
      <c r="H25" s="72">
        <f>F25-G25</f>
        <v>0</v>
      </c>
      <c r="I25" s="73"/>
      <c r="J25" s="78" t="s">
        <v>253</v>
      </c>
      <c r="K25" s="355" t="s">
        <v>254</v>
      </c>
      <c r="L25" s="354"/>
      <c r="M25" s="352">
        <f>SUM(M22:M24)</f>
        <v>0</v>
      </c>
      <c r="N25" s="352">
        <f>SUM(N22:N24)</f>
        <v>0</v>
      </c>
    </row>
    <row r="26" spans="1:14" ht="18" customHeight="1">
      <c r="A26" s="62" t="s">
        <v>255</v>
      </c>
      <c r="B26" s="1396" t="s">
        <v>256</v>
      </c>
      <c r="C26" s="1397"/>
      <c r="D26" s="1398"/>
      <c r="E26" s="351"/>
      <c r="F26" s="352">
        <f>F11+F16+F22+F23</f>
        <v>0</v>
      </c>
      <c r="G26" s="352">
        <f>G11+G16+G22+G23</f>
        <v>0</v>
      </c>
      <c r="H26" s="352">
        <f>H11+H16+H22+H23</f>
        <v>0</v>
      </c>
      <c r="I26" s="352">
        <f>I11+I16+I22+I23</f>
        <v>0</v>
      </c>
      <c r="J26" s="79" t="s">
        <v>257</v>
      </c>
      <c r="K26" s="353" t="s">
        <v>258</v>
      </c>
      <c r="L26" s="354"/>
      <c r="M26" s="352">
        <f>M21+M25</f>
        <v>0</v>
      </c>
      <c r="N26" s="352">
        <f>N21+N25</f>
        <v>0</v>
      </c>
    </row>
    <row r="27" spans="1:14" ht="18" customHeight="1">
      <c r="A27" s="63" t="s">
        <v>259</v>
      </c>
      <c r="B27" s="1399" t="s">
        <v>260</v>
      </c>
      <c r="C27" s="1140"/>
      <c r="D27" s="1400"/>
      <c r="E27" s="71">
        <v>5</v>
      </c>
      <c r="F27" s="80"/>
      <c r="G27" s="80"/>
      <c r="H27" s="81">
        <f>F27-G27</f>
        <v>0</v>
      </c>
      <c r="I27" s="82"/>
      <c r="J27" s="63" t="s">
        <v>261</v>
      </c>
      <c r="K27" s="74" t="s">
        <v>262</v>
      </c>
      <c r="L27" s="83">
        <v>5</v>
      </c>
      <c r="M27" s="70"/>
      <c r="N27" s="70"/>
    </row>
    <row r="28" spans="1:14" ht="18" customHeight="1">
      <c r="A28" s="63" t="s">
        <v>263</v>
      </c>
      <c r="B28" s="1399" t="s">
        <v>115</v>
      </c>
      <c r="C28" s="1140"/>
      <c r="D28" s="1400"/>
      <c r="E28" s="71">
        <v>6</v>
      </c>
      <c r="F28" s="80"/>
      <c r="G28" s="80"/>
      <c r="H28" s="81">
        <f t="shared" ref="H28:H32" si="5">F28-G28</f>
        <v>0</v>
      </c>
      <c r="I28" s="82"/>
      <c r="J28" s="63" t="s">
        <v>264</v>
      </c>
      <c r="K28" s="74" t="s">
        <v>265</v>
      </c>
      <c r="L28" s="83">
        <v>7</v>
      </c>
      <c r="M28" s="70"/>
      <c r="N28" s="70"/>
    </row>
    <row r="29" spans="1:14" ht="18" customHeight="1">
      <c r="A29" s="63" t="s">
        <v>266</v>
      </c>
      <c r="B29" s="1399" t="s">
        <v>267</v>
      </c>
      <c r="C29" s="1140"/>
      <c r="D29" s="1400"/>
      <c r="E29" s="71"/>
      <c r="F29" s="81">
        <f>F30+F31+F32</f>
        <v>0</v>
      </c>
      <c r="G29" s="81">
        <f t="shared" ref="G29:I29" si="6">G30+G31+G32</f>
        <v>0</v>
      </c>
      <c r="H29" s="81">
        <f t="shared" si="6"/>
        <v>0</v>
      </c>
      <c r="I29" s="81">
        <f t="shared" si="6"/>
        <v>0</v>
      </c>
      <c r="J29" s="63" t="s">
        <v>268</v>
      </c>
      <c r="K29" s="74" t="s">
        <v>269</v>
      </c>
      <c r="L29" s="83">
        <v>17</v>
      </c>
      <c r="M29" s="70"/>
      <c r="N29" s="70"/>
    </row>
    <row r="30" spans="1:14" ht="18" customHeight="1">
      <c r="A30" s="63" t="s">
        <v>270</v>
      </c>
      <c r="B30" s="1391" t="s">
        <v>271</v>
      </c>
      <c r="C30" s="1138"/>
      <c r="D30" s="1392"/>
      <c r="E30" s="71">
        <v>17</v>
      </c>
      <c r="F30" s="70"/>
      <c r="G30" s="70"/>
      <c r="H30" s="81">
        <f t="shared" si="5"/>
        <v>0</v>
      </c>
      <c r="I30" s="73"/>
      <c r="J30" s="63" t="s">
        <v>272</v>
      </c>
      <c r="K30" s="74" t="s">
        <v>273</v>
      </c>
      <c r="L30" s="83">
        <v>18</v>
      </c>
      <c r="M30" s="70"/>
      <c r="N30" s="70"/>
    </row>
    <row r="31" spans="1:14" ht="18" customHeight="1">
      <c r="A31" s="63" t="s">
        <v>274</v>
      </c>
      <c r="B31" s="1391" t="s">
        <v>275</v>
      </c>
      <c r="C31" s="1138"/>
      <c r="D31" s="1392"/>
      <c r="E31" s="71">
        <v>7</v>
      </c>
      <c r="F31" s="70"/>
      <c r="G31" s="70"/>
      <c r="H31" s="81">
        <f t="shared" si="5"/>
        <v>0</v>
      </c>
      <c r="I31" s="73"/>
      <c r="J31" s="63" t="s">
        <v>276</v>
      </c>
      <c r="K31" s="74" t="s">
        <v>277</v>
      </c>
      <c r="L31" s="83">
        <v>19</v>
      </c>
      <c r="M31" s="70"/>
      <c r="N31" s="70"/>
    </row>
    <row r="32" spans="1:14" ht="18" customHeight="1">
      <c r="A32" s="63" t="s">
        <v>278</v>
      </c>
      <c r="B32" s="1391" t="s">
        <v>279</v>
      </c>
      <c r="C32" s="1138"/>
      <c r="D32" s="1392"/>
      <c r="E32" s="71">
        <v>8</v>
      </c>
      <c r="F32" s="70"/>
      <c r="G32" s="70"/>
      <c r="H32" s="81">
        <f t="shared" si="5"/>
        <v>0</v>
      </c>
      <c r="I32" s="73"/>
      <c r="J32" s="63" t="s">
        <v>280</v>
      </c>
      <c r="K32" s="74" t="s">
        <v>1727</v>
      </c>
      <c r="L32" s="83">
        <v>19</v>
      </c>
      <c r="M32" s="70"/>
      <c r="N32" s="70"/>
    </row>
    <row r="33" spans="1:14" ht="18" customHeight="1">
      <c r="A33" s="62" t="s">
        <v>281</v>
      </c>
      <c r="B33" s="1396" t="s">
        <v>282</v>
      </c>
      <c r="C33" s="1397"/>
      <c r="D33" s="1398"/>
      <c r="E33" s="351"/>
      <c r="F33" s="352">
        <f>F27+F28+F29</f>
        <v>0</v>
      </c>
      <c r="G33" s="352">
        <f t="shared" ref="G33:I33" si="7">G27+G28+G29</f>
        <v>0</v>
      </c>
      <c r="H33" s="352">
        <f t="shared" si="7"/>
        <v>0</v>
      </c>
      <c r="I33" s="352">
        <f t="shared" si="7"/>
        <v>0</v>
      </c>
      <c r="J33" s="62" t="s">
        <v>283</v>
      </c>
      <c r="K33" s="353" t="s">
        <v>284</v>
      </c>
      <c r="L33" s="354"/>
      <c r="M33" s="352">
        <f>SUM(M27:M32)</f>
        <v>0</v>
      </c>
      <c r="N33" s="352">
        <f>SUM(N27:N32)</f>
        <v>0</v>
      </c>
    </row>
    <row r="34" spans="1:14" ht="18" customHeight="1">
      <c r="A34" s="63" t="s">
        <v>285</v>
      </c>
      <c r="B34" s="1391" t="s">
        <v>286</v>
      </c>
      <c r="C34" s="1138"/>
      <c r="D34" s="1392"/>
      <c r="E34" s="71">
        <v>9</v>
      </c>
      <c r="F34" s="70"/>
      <c r="G34" s="70"/>
      <c r="H34" s="72">
        <f>F34-G34</f>
        <v>0</v>
      </c>
      <c r="I34" s="73"/>
      <c r="J34" s="63"/>
      <c r="K34" s="74"/>
      <c r="L34" s="341"/>
      <c r="M34" s="342"/>
      <c r="N34" s="342"/>
    </row>
    <row r="35" spans="1:14" ht="18" customHeight="1">
      <c r="A35" s="63" t="s">
        <v>287</v>
      </c>
      <c r="B35" s="1391" t="s">
        <v>288</v>
      </c>
      <c r="C35" s="1138"/>
      <c r="D35" s="1392"/>
      <c r="E35" s="71">
        <v>10</v>
      </c>
      <c r="F35" s="70"/>
      <c r="G35" s="70"/>
      <c r="H35" s="72">
        <f t="shared" ref="H35:H36" si="8">F35-G35</f>
        <v>0</v>
      </c>
      <c r="I35" s="73"/>
      <c r="J35" s="63" t="s">
        <v>289</v>
      </c>
      <c r="K35" s="74" t="s">
        <v>290</v>
      </c>
      <c r="L35" s="89">
        <v>20</v>
      </c>
      <c r="M35" s="90"/>
      <c r="N35" s="90"/>
    </row>
    <row r="36" spans="1:14" ht="30.75" customHeight="1">
      <c r="A36" s="63" t="s">
        <v>291</v>
      </c>
      <c r="B36" s="1391" t="s">
        <v>292</v>
      </c>
      <c r="C36" s="1138"/>
      <c r="D36" s="1392"/>
      <c r="E36" s="71">
        <v>11</v>
      </c>
      <c r="F36" s="70"/>
      <c r="G36" s="70"/>
      <c r="H36" s="72">
        <f t="shared" si="8"/>
        <v>0</v>
      </c>
      <c r="I36" s="73"/>
      <c r="J36" s="63" t="s">
        <v>293</v>
      </c>
      <c r="K36" s="74" t="s">
        <v>1112</v>
      </c>
      <c r="L36" s="83">
        <v>20</v>
      </c>
      <c r="M36" s="70"/>
      <c r="N36" s="70"/>
    </row>
    <row r="37" spans="1:14" ht="18" customHeight="1">
      <c r="A37" s="62" t="s">
        <v>294</v>
      </c>
      <c r="B37" s="1396" t="s">
        <v>295</v>
      </c>
      <c r="C37" s="1397"/>
      <c r="D37" s="1398"/>
      <c r="E37" s="351"/>
      <c r="F37" s="352">
        <f>SUM(F34:F36)</f>
        <v>0</v>
      </c>
      <c r="G37" s="352">
        <f t="shared" ref="G37:I37" si="9">SUM(G34:G36)</f>
        <v>0</v>
      </c>
      <c r="H37" s="352">
        <f t="shared" si="9"/>
        <v>0</v>
      </c>
      <c r="I37" s="352">
        <f t="shared" si="9"/>
        <v>0</v>
      </c>
      <c r="J37" s="62" t="s">
        <v>296</v>
      </c>
      <c r="K37" s="353" t="s">
        <v>297</v>
      </c>
      <c r="L37" s="354"/>
      <c r="M37" s="352">
        <f>SUM(M35:M36)</f>
        <v>0</v>
      </c>
      <c r="N37" s="352">
        <f>SUM(N35:N36)</f>
        <v>0</v>
      </c>
    </row>
    <row r="38" spans="1:14" ht="18" customHeight="1">
      <c r="A38" s="63" t="s">
        <v>298</v>
      </c>
      <c r="B38" s="1391" t="s">
        <v>299</v>
      </c>
      <c r="C38" s="1138"/>
      <c r="D38" s="1392"/>
      <c r="E38" s="71">
        <v>12</v>
      </c>
      <c r="F38" s="70"/>
      <c r="G38" s="70"/>
      <c r="H38" s="72">
        <f>F38-G38</f>
        <v>0</v>
      </c>
      <c r="I38" s="73"/>
      <c r="J38" s="63" t="s">
        <v>300</v>
      </c>
      <c r="K38" s="74" t="s">
        <v>301</v>
      </c>
      <c r="L38" s="83">
        <v>12</v>
      </c>
      <c r="M38" s="70"/>
      <c r="N38" s="70"/>
    </row>
    <row r="39" spans="1:14" ht="18" customHeight="1">
      <c r="A39" s="62" t="s">
        <v>302</v>
      </c>
      <c r="B39" s="1396" t="s">
        <v>303</v>
      </c>
      <c r="C39" s="1397"/>
      <c r="D39" s="1398"/>
      <c r="E39" s="351"/>
      <c r="F39" s="352">
        <f>F26+F33+F37+F38</f>
        <v>0</v>
      </c>
      <c r="G39" s="352">
        <f t="shared" ref="G39:I39" si="10">G26+G33+G37+G38</f>
        <v>0</v>
      </c>
      <c r="H39" s="352">
        <f t="shared" si="10"/>
        <v>0</v>
      </c>
      <c r="I39" s="352">
        <f t="shared" si="10"/>
        <v>0</v>
      </c>
      <c r="J39" s="62" t="s">
        <v>304</v>
      </c>
      <c r="K39" s="353" t="s">
        <v>303</v>
      </c>
      <c r="L39" s="354"/>
      <c r="M39" s="352">
        <f>M26+M33+M37+M38</f>
        <v>0</v>
      </c>
      <c r="N39" s="352">
        <f>N26+N33+N37+N38</f>
        <v>0</v>
      </c>
    </row>
  </sheetData>
  <sheetProtection selectLockedCells="1"/>
  <mergeCells count="49">
    <mergeCell ref="C3:N3"/>
    <mergeCell ref="B39:D39"/>
    <mergeCell ref="A8:A10"/>
    <mergeCell ref="E8:E10"/>
    <mergeCell ref="F8:H9"/>
    <mergeCell ref="B31:D31"/>
    <mergeCell ref="B32:D32"/>
    <mergeCell ref="B38:D38"/>
    <mergeCell ref="B19:D19"/>
    <mergeCell ref="B22:D22"/>
    <mergeCell ref="B20:D20"/>
    <mergeCell ref="B13:D13"/>
    <mergeCell ref="B14:D14"/>
    <mergeCell ref="B34:D34"/>
    <mergeCell ref="B35:D35"/>
    <mergeCell ref="B36:D36"/>
    <mergeCell ref="B37:D37"/>
    <mergeCell ref="B21:D21"/>
    <mergeCell ref="B33:D33"/>
    <mergeCell ref="B25:D25"/>
    <mergeCell ref="B27:D27"/>
    <mergeCell ref="B28:D28"/>
    <mergeCell ref="B29:D29"/>
    <mergeCell ref="B30:D30"/>
    <mergeCell ref="B26:D26"/>
    <mergeCell ref="B23:D23"/>
    <mergeCell ref="B24:D24"/>
    <mergeCell ref="B12:D12"/>
    <mergeCell ref="L8:L10"/>
    <mergeCell ref="B15:D15"/>
    <mergeCell ref="B16:D16"/>
    <mergeCell ref="K8:K10"/>
    <mergeCell ref="B11:D11"/>
    <mergeCell ref="A1:N1"/>
    <mergeCell ref="L2:N2"/>
    <mergeCell ref="M8:M9"/>
    <mergeCell ref="N8:N9"/>
    <mergeCell ref="A7:N7"/>
    <mergeCell ref="A4:B4"/>
    <mergeCell ref="A5:B5"/>
    <mergeCell ref="I5:J5"/>
    <mergeCell ref="L5:M5"/>
    <mergeCell ref="B8:D10"/>
    <mergeCell ref="I8:I9"/>
    <mergeCell ref="J8:J10"/>
    <mergeCell ref="L4:M4"/>
    <mergeCell ref="C4:K4"/>
    <mergeCell ref="C5:H5"/>
    <mergeCell ref="C6:H6"/>
  </mergeCells>
  <dataValidations count="1">
    <dataValidation type="whole" allowBlank="1" showErrorMessage="1" errorTitle="Attention !" error="Valeur numérique attendue" sqref="F38:I38 F34:I36 F27:I28 F30:I32 F24:I25 F12:I15 M11:N20 M22:N24 M27:N32 M35:N36 M38:N38 F17:I22" xr:uid="{00000000-0002-0000-0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2">
    <pageSetUpPr fitToPage="1"/>
  </sheetPr>
  <dimension ref="A1:J53"/>
  <sheetViews>
    <sheetView showGridLines="0" showZeros="0" zoomScaleNormal="100" workbookViewId="0">
      <selection activeCell="J16" sqref="J16"/>
    </sheetView>
  </sheetViews>
  <sheetFormatPr baseColWidth="10" defaultRowHeight="14.5"/>
  <cols>
    <col min="1" max="1" width="4.54296875" customWidth="1"/>
    <col min="2" max="2" width="25.453125" customWidth="1"/>
    <col min="3" max="3" width="5.453125" customWidth="1"/>
    <col min="4" max="4" width="11.1796875" customWidth="1"/>
    <col min="5" max="5" width="18.453125" customWidth="1"/>
    <col min="6" max="6" width="3.1796875" style="45" customWidth="1"/>
    <col min="7" max="7" width="4.453125" customWidth="1"/>
    <col min="8" max="8" width="7.81640625" customWidth="1"/>
    <col min="9" max="10" width="15.54296875" customWidth="1"/>
  </cols>
  <sheetData>
    <row r="1" spans="1:10">
      <c r="A1" s="1403" t="s">
        <v>183</v>
      </c>
      <c r="B1" s="1403"/>
      <c r="C1" s="1403"/>
      <c r="D1" s="1403"/>
      <c r="E1" s="1403"/>
      <c r="F1" s="1403"/>
      <c r="G1" s="1403"/>
      <c r="H1" s="1403"/>
      <c r="I1" s="1403"/>
      <c r="J1" s="1403"/>
    </row>
    <row r="2" spans="1:10" ht="27" customHeight="1">
      <c r="A2" s="453"/>
      <c r="B2" s="453"/>
      <c r="C2" s="453"/>
      <c r="D2" s="453"/>
      <c r="E2" s="453"/>
      <c r="F2" s="453"/>
      <c r="G2" s="453"/>
      <c r="H2" s="1404" t="s">
        <v>1635</v>
      </c>
      <c r="I2" s="1405"/>
      <c r="J2" s="1406"/>
    </row>
    <row r="3" spans="1:10" s="7" customFormat="1" ht="15.75" customHeight="1">
      <c r="A3" s="7" t="s">
        <v>26</v>
      </c>
      <c r="C3" s="1390">
        <f>BILAN!C3</f>
        <v>0</v>
      </c>
      <c r="D3" s="1390"/>
      <c r="E3" s="1390"/>
      <c r="F3" s="1390"/>
      <c r="G3" s="1390"/>
      <c r="H3" s="1390"/>
      <c r="I3" s="1390"/>
      <c r="J3" s="1390"/>
    </row>
    <row r="4" spans="1:10" s="7" customFormat="1" ht="15.75" customHeight="1">
      <c r="A4" s="7" t="s">
        <v>27</v>
      </c>
      <c r="C4" s="1390">
        <f>BILAN!C4</f>
        <v>0</v>
      </c>
      <c r="D4" s="1390"/>
      <c r="E4" s="1390"/>
      <c r="F4" s="1390"/>
      <c r="G4" s="1390"/>
      <c r="H4" s="1390"/>
      <c r="I4" s="61" t="s">
        <v>28</v>
      </c>
      <c r="J4" s="450">
        <f>BILAN!N4</f>
        <v>0</v>
      </c>
    </row>
    <row r="5" spans="1:10" s="7" customFormat="1" ht="15.75" customHeight="1">
      <c r="A5" s="7" t="s">
        <v>2018</v>
      </c>
      <c r="C5" s="1390">
        <f>BILAN!C6</f>
        <v>0</v>
      </c>
      <c r="D5" s="1390"/>
      <c r="E5" s="43" t="s">
        <v>30</v>
      </c>
      <c r="F5" s="1414">
        <f>BILAN!K5</f>
        <v>0</v>
      </c>
      <c r="G5" s="1414"/>
      <c r="H5" s="1414"/>
      <c r="I5" s="61" t="s">
        <v>31</v>
      </c>
      <c r="J5" s="450">
        <f>BILAN!N5</f>
        <v>0</v>
      </c>
    </row>
    <row r="6" spans="1:10" s="7" customFormat="1" ht="15.75" customHeight="1">
      <c r="A6" s="7" t="s">
        <v>2024</v>
      </c>
      <c r="C6" s="1390">
        <f>'FICHE R1'!E6</f>
        <v>0</v>
      </c>
      <c r="D6" s="1390"/>
      <c r="E6" s="1390"/>
      <c r="F6" s="450"/>
      <c r="G6" s="450"/>
      <c r="H6" s="450"/>
      <c r="I6" s="454"/>
      <c r="J6" s="450"/>
    </row>
    <row r="7" spans="1:10" s="8" customFormat="1" ht="28.5" customHeight="1" thickBot="1">
      <c r="A7" s="1169" t="s">
        <v>310</v>
      </c>
      <c r="B7" s="1169"/>
      <c r="C7" s="1169"/>
      <c r="D7" s="1169"/>
      <c r="E7" s="1169"/>
      <c r="F7" s="1169"/>
      <c r="G7" s="1169"/>
      <c r="H7" s="1169"/>
      <c r="I7" s="1169"/>
      <c r="J7" s="1169"/>
    </row>
    <row r="8" spans="1:10">
      <c r="A8" s="1426" t="s">
        <v>185</v>
      </c>
      <c r="B8" s="1420" t="s">
        <v>311</v>
      </c>
      <c r="C8" s="1421"/>
      <c r="D8" s="1421"/>
      <c r="E8" s="1421"/>
      <c r="F8" s="1422"/>
      <c r="G8" s="1415" t="s">
        <v>1543</v>
      </c>
      <c r="H8" s="1417" t="s">
        <v>187</v>
      </c>
      <c r="I8" s="1417" t="s">
        <v>312</v>
      </c>
      <c r="J8" s="1418" t="s">
        <v>313</v>
      </c>
    </row>
    <row r="9" spans="1:10">
      <c r="A9" s="1427"/>
      <c r="B9" s="1423"/>
      <c r="C9" s="1424"/>
      <c r="D9" s="1424"/>
      <c r="E9" s="1424"/>
      <c r="F9" s="1425"/>
      <c r="G9" s="1416"/>
      <c r="H9" s="1383"/>
      <c r="I9" s="1383"/>
      <c r="J9" s="1419"/>
    </row>
    <row r="10" spans="1:10" ht="18" customHeight="1">
      <c r="A10" s="1427"/>
      <c r="B10" s="1423"/>
      <c r="C10" s="1424"/>
      <c r="D10" s="1424"/>
      <c r="E10" s="1424"/>
      <c r="F10" s="1425"/>
      <c r="G10" s="1416"/>
      <c r="H10" s="1383"/>
      <c r="I10" s="295" t="s">
        <v>195</v>
      </c>
      <c r="J10" s="794" t="s">
        <v>195</v>
      </c>
    </row>
    <row r="11" spans="1:10" ht="17.149999999999999" customHeight="1">
      <c r="A11" s="795" t="s">
        <v>314</v>
      </c>
      <c r="B11" s="1413" t="s">
        <v>315</v>
      </c>
      <c r="C11" s="1413"/>
      <c r="D11" s="1413"/>
      <c r="E11" s="1413"/>
      <c r="F11" s="562" t="s">
        <v>95</v>
      </c>
      <c r="G11" s="559" t="s">
        <v>316</v>
      </c>
      <c r="H11" s="560">
        <v>21</v>
      </c>
      <c r="I11" s="70"/>
      <c r="J11" s="796"/>
    </row>
    <row r="12" spans="1:10" ht="17.149999999999999" customHeight="1">
      <c r="A12" s="797" t="s">
        <v>317</v>
      </c>
      <c r="B12" s="1413" t="s">
        <v>318</v>
      </c>
      <c r="C12" s="1413"/>
      <c r="D12" s="1413"/>
      <c r="E12" s="1413"/>
      <c r="F12" s="563"/>
      <c r="G12" s="559" t="s">
        <v>319</v>
      </c>
      <c r="H12" s="560">
        <v>22</v>
      </c>
      <c r="I12" s="70"/>
      <c r="J12" s="796"/>
    </row>
    <row r="13" spans="1:10" ht="17.149999999999999" customHeight="1">
      <c r="A13" s="797" t="s">
        <v>320</v>
      </c>
      <c r="B13" s="1413" t="s">
        <v>321</v>
      </c>
      <c r="C13" s="1413"/>
      <c r="D13" s="1413"/>
      <c r="E13" s="1413"/>
      <c r="F13" s="563"/>
      <c r="G13" s="559" t="s">
        <v>322</v>
      </c>
      <c r="H13" s="560">
        <v>6</v>
      </c>
      <c r="I13" s="70"/>
      <c r="J13" s="796"/>
    </row>
    <row r="14" spans="1:10" ht="17.149999999999999" customHeight="1">
      <c r="A14" s="798" t="s">
        <v>323</v>
      </c>
      <c r="B14" s="1410" t="s">
        <v>324</v>
      </c>
      <c r="C14" s="1411"/>
      <c r="D14" s="1411"/>
      <c r="E14" s="1412"/>
      <c r="F14" s="565"/>
      <c r="G14" s="566"/>
      <c r="H14" s="567"/>
      <c r="I14" s="352">
        <f>SUM(I11:I13)</f>
        <v>0</v>
      </c>
      <c r="J14" s="799">
        <f>IFERROR(SUM(J11:J13),"")</f>
        <v>0</v>
      </c>
    </row>
    <row r="15" spans="1:10" ht="17.149999999999999" customHeight="1">
      <c r="A15" s="797" t="s">
        <v>325</v>
      </c>
      <c r="B15" s="1413" t="s">
        <v>326</v>
      </c>
      <c r="C15" s="1413"/>
      <c r="D15" s="1413"/>
      <c r="E15" s="1413"/>
      <c r="F15" s="564" t="s">
        <v>327</v>
      </c>
      <c r="G15" s="559" t="s">
        <v>316</v>
      </c>
      <c r="H15" s="560">
        <v>21</v>
      </c>
      <c r="I15" s="70"/>
      <c r="J15" s="796"/>
    </row>
    <row r="16" spans="1:10" ht="17.149999999999999" customHeight="1">
      <c r="A16" s="797" t="s">
        <v>328</v>
      </c>
      <c r="B16" s="1413" t="s">
        <v>329</v>
      </c>
      <c r="C16" s="1413"/>
      <c r="D16" s="1413"/>
      <c r="E16" s="1413"/>
      <c r="F16" s="564" t="s">
        <v>330</v>
      </c>
      <c r="G16" s="559" t="s">
        <v>316</v>
      </c>
      <c r="H16" s="560">
        <v>21</v>
      </c>
      <c r="I16" s="70"/>
      <c r="J16" s="796"/>
    </row>
    <row r="17" spans="1:10" ht="17.149999999999999" customHeight="1">
      <c r="A17" s="797" t="s">
        <v>331</v>
      </c>
      <c r="B17" s="1413" t="s">
        <v>332</v>
      </c>
      <c r="C17" s="1413"/>
      <c r="D17" s="1413"/>
      <c r="E17" s="1413"/>
      <c r="F17" s="564" t="s">
        <v>333</v>
      </c>
      <c r="G17" s="559" t="s">
        <v>316</v>
      </c>
      <c r="H17" s="560">
        <v>21</v>
      </c>
      <c r="I17" s="70"/>
      <c r="J17" s="796"/>
    </row>
    <row r="18" spans="1:10" ht="17.149999999999999" customHeight="1">
      <c r="A18" s="798" t="s">
        <v>334</v>
      </c>
      <c r="B18" s="1410" t="s">
        <v>335</v>
      </c>
      <c r="C18" s="1411"/>
      <c r="D18" s="1411"/>
      <c r="E18" s="1412"/>
      <c r="F18" s="565"/>
      <c r="G18" s="566"/>
      <c r="H18" s="567"/>
      <c r="I18" s="352">
        <f>I11+I15+I16+I17</f>
        <v>0</v>
      </c>
      <c r="J18" s="799">
        <f>IFERROR(J11+J15+J16+J17,"")</f>
        <v>0</v>
      </c>
    </row>
    <row r="19" spans="1:10" ht="17.149999999999999" customHeight="1">
      <c r="A19" s="797" t="s">
        <v>336</v>
      </c>
      <c r="B19" s="1413" t="s">
        <v>337</v>
      </c>
      <c r="C19" s="1413"/>
      <c r="D19" s="1413"/>
      <c r="E19" s="1413"/>
      <c r="F19" s="563"/>
      <c r="G19" s="559" t="s">
        <v>322</v>
      </c>
      <c r="H19" s="560">
        <v>6</v>
      </c>
      <c r="I19" s="70"/>
      <c r="J19" s="796"/>
    </row>
    <row r="20" spans="1:10" ht="17.149999999999999" customHeight="1">
      <c r="A20" s="797" t="s">
        <v>338</v>
      </c>
      <c r="B20" s="1413" t="s">
        <v>339</v>
      </c>
      <c r="C20" s="1413"/>
      <c r="D20" s="1413"/>
      <c r="E20" s="1413"/>
      <c r="F20" s="563"/>
      <c r="G20" s="96"/>
      <c r="H20" s="560">
        <v>21</v>
      </c>
      <c r="I20" s="70"/>
      <c r="J20" s="796"/>
    </row>
    <row r="21" spans="1:10" ht="17.149999999999999" customHeight="1">
      <c r="A21" s="797" t="s">
        <v>340</v>
      </c>
      <c r="B21" s="1413" t="s">
        <v>341</v>
      </c>
      <c r="C21" s="1413"/>
      <c r="D21" s="1413"/>
      <c r="E21" s="1413"/>
      <c r="F21" s="563"/>
      <c r="G21" s="96"/>
      <c r="H21" s="560">
        <v>21</v>
      </c>
      <c r="I21" s="70"/>
      <c r="J21" s="796"/>
    </row>
    <row r="22" spans="1:10" ht="17.149999999999999" customHeight="1">
      <c r="A22" s="797" t="s">
        <v>342</v>
      </c>
      <c r="B22" s="1413" t="s">
        <v>343</v>
      </c>
      <c r="C22" s="1413"/>
      <c r="D22" s="1413"/>
      <c r="E22" s="1413"/>
      <c r="F22" s="563"/>
      <c r="G22" s="559" t="s">
        <v>316</v>
      </c>
      <c r="H22" s="560">
        <v>21</v>
      </c>
      <c r="I22" s="70"/>
      <c r="J22" s="796"/>
    </row>
    <row r="23" spans="1:10" ht="17.149999999999999" customHeight="1">
      <c r="A23" s="797" t="s">
        <v>344</v>
      </c>
      <c r="B23" s="1413" t="s">
        <v>345</v>
      </c>
      <c r="C23" s="1413"/>
      <c r="D23" s="1413"/>
      <c r="E23" s="1413"/>
      <c r="F23" s="563"/>
      <c r="G23" s="559" t="s">
        <v>316</v>
      </c>
      <c r="H23" s="560">
        <v>12</v>
      </c>
      <c r="I23" s="70"/>
      <c r="J23" s="796"/>
    </row>
    <row r="24" spans="1:10" ht="17.149999999999999" customHeight="1">
      <c r="A24" s="797" t="s">
        <v>346</v>
      </c>
      <c r="B24" s="1413" t="s">
        <v>347</v>
      </c>
      <c r="C24" s="1413"/>
      <c r="D24" s="1413"/>
      <c r="E24" s="1413"/>
      <c r="F24" s="563"/>
      <c r="G24" s="559" t="s">
        <v>319</v>
      </c>
      <c r="H24" s="560">
        <v>22</v>
      </c>
      <c r="I24" s="70"/>
      <c r="J24" s="796"/>
    </row>
    <row r="25" spans="1:10" ht="17.149999999999999" customHeight="1">
      <c r="A25" s="797" t="s">
        <v>348</v>
      </c>
      <c r="B25" s="1413" t="s">
        <v>349</v>
      </c>
      <c r="C25" s="1413"/>
      <c r="D25" s="1413"/>
      <c r="E25" s="1413"/>
      <c r="F25" s="563"/>
      <c r="G25" s="559" t="s">
        <v>322</v>
      </c>
      <c r="H25" s="560">
        <v>6</v>
      </c>
      <c r="I25" s="70"/>
      <c r="J25" s="796"/>
    </row>
    <row r="26" spans="1:10" ht="17.149999999999999" customHeight="1">
      <c r="A26" s="797" t="s">
        <v>350</v>
      </c>
      <c r="B26" s="1413" t="s">
        <v>351</v>
      </c>
      <c r="C26" s="1413"/>
      <c r="D26" s="1413"/>
      <c r="E26" s="1413"/>
      <c r="F26" s="563"/>
      <c r="G26" s="559" t="s">
        <v>319</v>
      </c>
      <c r="H26" s="560">
        <v>22</v>
      </c>
      <c r="I26" s="70"/>
      <c r="J26" s="796"/>
    </row>
    <row r="27" spans="1:10" ht="17.149999999999999" customHeight="1">
      <c r="A27" s="797" t="s">
        <v>352</v>
      </c>
      <c r="B27" s="1413" t="s">
        <v>353</v>
      </c>
      <c r="C27" s="1413"/>
      <c r="D27" s="1413"/>
      <c r="E27" s="1413"/>
      <c r="F27" s="563"/>
      <c r="G27" s="559" t="s">
        <v>322</v>
      </c>
      <c r="H27" s="560">
        <v>6</v>
      </c>
      <c r="I27" s="70"/>
      <c r="J27" s="796"/>
    </row>
    <row r="28" spans="1:10" ht="17.149999999999999" customHeight="1">
      <c r="A28" s="797" t="s">
        <v>354</v>
      </c>
      <c r="B28" s="1413" t="s">
        <v>355</v>
      </c>
      <c r="C28" s="1413"/>
      <c r="D28" s="1413"/>
      <c r="E28" s="1413"/>
      <c r="F28" s="563"/>
      <c r="G28" s="559" t="s">
        <v>319</v>
      </c>
      <c r="H28" s="560">
        <v>23</v>
      </c>
      <c r="I28" s="70"/>
      <c r="J28" s="796"/>
    </row>
    <row r="29" spans="1:10" ht="17.149999999999999" customHeight="1">
      <c r="A29" s="797" t="s">
        <v>356</v>
      </c>
      <c r="B29" s="1413" t="s">
        <v>357</v>
      </c>
      <c r="C29" s="1413"/>
      <c r="D29" s="1413"/>
      <c r="E29" s="1413"/>
      <c r="F29" s="563"/>
      <c r="G29" s="559" t="s">
        <v>319</v>
      </c>
      <c r="H29" s="560">
        <v>24</v>
      </c>
      <c r="I29" s="70"/>
      <c r="J29" s="796"/>
    </row>
    <row r="30" spans="1:10" ht="17.149999999999999" customHeight="1">
      <c r="A30" s="797" t="s">
        <v>358</v>
      </c>
      <c r="B30" s="1413" t="s">
        <v>359</v>
      </c>
      <c r="C30" s="1413"/>
      <c r="D30" s="1413"/>
      <c r="E30" s="1413"/>
      <c r="F30" s="563"/>
      <c r="G30" s="559" t="s">
        <v>319</v>
      </c>
      <c r="H30" s="560">
        <v>25</v>
      </c>
      <c r="I30" s="70"/>
      <c r="J30" s="796"/>
    </row>
    <row r="31" spans="1:10" ht="17.149999999999999" customHeight="1">
      <c r="A31" s="797" t="s">
        <v>360</v>
      </c>
      <c r="B31" s="1413" t="s">
        <v>361</v>
      </c>
      <c r="C31" s="1413"/>
      <c r="D31" s="1413"/>
      <c r="E31" s="1413"/>
      <c r="F31" s="563"/>
      <c r="G31" s="559" t="s">
        <v>319</v>
      </c>
      <c r="H31" s="560">
        <v>26</v>
      </c>
      <c r="I31" s="70"/>
      <c r="J31" s="796"/>
    </row>
    <row r="32" spans="1:10" ht="17.149999999999999" customHeight="1">
      <c r="A32" s="798" t="s">
        <v>362</v>
      </c>
      <c r="B32" s="1410" t="s">
        <v>1728</v>
      </c>
      <c r="C32" s="1411"/>
      <c r="D32" s="1411"/>
      <c r="E32" s="1412"/>
      <c r="F32" s="565"/>
      <c r="G32" s="566"/>
      <c r="H32" s="567"/>
      <c r="I32" s="352">
        <f>SUM(I19:I31) +I12+I13+I18</f>
        <v>0</v>
      </c>
      <c r="J32" s="799">
        <f>IFERROR(SUM(J19:J31) +J12+J13+J18,"")</f>
        <v>0</v>
      </c>
    </row>
    <row r="33" spans="1:10" ht="17.149999999999999" customHeight="1">
      <c r="A33" s="797" t="s">
        <v>363</v>
      </c>
      <c r="B33" s="1413" t="s">
        <v>364</v>
      </c>
      <c r="C33" s="1413"/>
      <c r="D33" s="1413"/>
      <c r="E33" s="1413"/>
      <c r="F33" s="563"/>
      <c r="G33" s="559" t="s">
        <v>319</v>
      </c>
      <c r="H33" s="560">
        <v>27</v>
      </c>
      <c r="I33" s="70"/>
      <c r="J33" s="796"/>
    </row>
    <row r="34" spans="1:10" ht="17.149999999999999" customHeight="1">
      <c r="A34" s="798" t="s">
        <v>365</v>
      </c>
      <c r="B34" s="1410" t="s">
        <v>366</v>
      </c>
      <c r="C34" s="1411"/>
      <c r="D34" s="1411"/>
      <c r="E34" s="1412"/>
      <c r="F34" s="565"/>
      <c r="G34" s="566"/>
      <c r="H34" s="567"/>
      <c r="I34" s="352">
        <f>I32+I33</f>
        <v>0</v>
      </c>
      <c r="J34" s="799">
        <f>IFERROR(J32+J33,"")</f>
        <v>0</v>
      </c>
    </row>
    <row r="35" spans="1:10" ht="17.149999999999999" customHeight="1">
      <c r="A35" s="797" t="s">
        <v>367</v>
      </c>
      <c r="B35" s="1413" t="s">
        <v>368</v>
      </c>
      <c r="C35" s="1413"/>
      <c r="D35" s="1413"/>
      <c r="E35" s="1413"/>
      <c r="F35" s="563"/>
      <c r="G35" s="559" t="s">
        <v>316</v>
      </c>
      <c r="H35" s="560">
        <v>28</v>
      </c>
      <c r="I35" s="70"/>
      <c r="J35" s="796"/>
    </row>
    <row r="36" spans="1:10" ht="17.149999999999999" customHeight="1">
      <c r="A36" s="797" t="s">
        <v>369</v>
      </c>
      <c r="B36" s="1413" t="s">
        <v>370</v>
      </c>
      <c r="C36" s="1413"/>
      <c r="D36" s="1413"/>
      <c r="E36" s="1413"/>
      <c r="F36" s="563"/>
      <c r="G36" s="559" t="s">
        <v>319</v>
      </c>
      <c r="H36" s="560" t="s">
        <v>371</v>
      </c>
      <c r="I36" s="70"/>
      <c r="J36" s="796"/>
    </row>
    <row r="37" spans="1:10" ht="17.149999999999999" customHeight="1">
      <c r="A37" s="798" t="s">
        <v>372</v>
      </c>
      <c r="B37" s="1410" t="s">
        <v>373</v>
      </c>
      <c r="C37" s="1411"/>
      <c r="D37" s="1411"/>
      <c r="E37" s="1412"/>
      <c r="F37" s="565"/>
      <c r="G37" s="566"/>
      <c r="H37" s="567"/>
      <c r="I37" s="352">
        <f>I34+I35+I36</f>
        <v>0</v>
      </c>
      <c r="J37" s="799">
        <f>IFERROR(J34+J35+J36,"")</f>
        <v>0</v>
      </c>
    </row>
    <row r="38" spans="1:10" ht="17.149999999999999" customHeight="1">
      <c r="A38" s="797" t="s">
        <v>374</v>
      </c>
      <c r="B38" s="1413" t="s">
        <v>375</v>
      </c>
      <c r="C38" s="1413"/>
      <c r="D38" s="1413"/>
      <c r="E38" s="1413"/>
      <c r="F38" s="563"/>
      <c r="G38" s="559" t="s">
        <v>316</v>
      </c>
      <c r="H38" s="560">
        <v>29</v>
      </c>
      <c r="I38" s="70"/>
      <c r="J38" s="796"/>
    </row>
    <row r="39" spans="1:10" ht="17.149999999999999" customHeight="1">
      <c r="A39" s="797" t="s">
        <v>376</v>
      </c>
      <c r="B39" s="1413" t="s">
        <v>377</v>
      </c>
      <c r="C39" s="1413"/>
      <c r="D39" s="1413"/>
      <c r="E39" s="1413"/>
      <c r="F39" s="563"/>
      <c r="G39" s="559" t="s">
        <v>316</v>
      </c>
      <c r="H39" s="560">
        <v>28</v>
      </c>
      <c r="I39" s="70"/>
      <c r="J39" s="796"/>
    </row>
    <row r="40" spans="1:10" ht="17.149999999999999" customHeight="1">
      <c r="A40" s="797" t="s">
        <v>378</v>
      </c>
      <c r="B40" s="1413" t="s">
        <v>379</v>
      </c>
      <c r="C40" s="1413"/>
      <c r="D40" s="1413"/>
      <c r="E40" s="1413"/>
      <c r="F40" s="563"/>
      <c r="G40" s="559" t="s">
        <v>316</v>
      </c>
      <c r="H40" s="560">
        <v>12</v>
      </c>
      <c r="I40" s="70"/>
      <c r="J40" s="796"/>
    </row>
    <row r="41" spans="1:10" ht="17.149999999999999" customHeight="1">
      <c r="A41" s="797" t="s">
        <v>380</v>
      </c>
      <c r="B41" s="1413" t="s">
        <v>381</v>
      </c>
      <c r="C41" s="1413"/>
      <c r="D41" s="1413"/>
      <c r="E41" s="1413"/>
      <c r="F41" s="563"/>
      <c r="G41" s="559" t="s">
        <v>319</v>
      </c>
      <c r="H41" s="560">
        <v>29</v>
      </c>
      <c r="I41" s="70"/>
      <c r="J41" s="796"/>
    </row>
    <row r="42" spans="1:10" ht="17.149999999999999" customHeight="1">
      <c r="A42" s="797" t="s">
        <v>382</v>
      </c>
      <c r="B42" s="1413" t="s">
        <v>383</v>
      </c>
      <c r="C42" s="1413"/>
      <c r="D42" s="1413"/>
      <c r="E42" s="1413"/>
      <c r="F42" s="563"/>
      <c r="G42" s="559" t="s">
        <v>319</v>
      </c>
      <c r="H42" s="560" t="s">
        <v>371</v>
      </c>
      <c r="I42" s="70"/>
      <c r="J42" s="796"/>
    </row>
    <row r="43" spans="1:10" ht="17.149999999999999" customHeight="1">
      <c r="A43" s="798" t="s">
        <v>384</v>
      </c>
      <c r="B43" s="1410" t="s">
        <v>1729</v>
      </c>
      <c r="C43" s="1411"/>
      <c r="D43" s="1411"/>
      <c r="E43" s="1412"/>
      <c r="F43" s="565"/>
      <c r="G43" s="566"/>
      <c r="H43" s="567"/>
      <c r="I43" s="352">
        <f>SUM(I38:I42)</f>
        <v>0</v>
      </c>
      <c r="J43" s="799">
        <f>IFERROR(SUM(J38:J42),"")</f>
        <v>0</v>
      </c>
    </row>
    <row r="44" spans="1:10" ht="17.149999999999999" customHeight="1">
      <c r="A44" s="798" t="s">
        <v>385</v>
      </c>
      <c r="B44" s="1410" t="s">
        <v>386</v>
      </c>
      <c r="C44" s="1411"/>
      <c r="D44" s="1411"/>
      <c r="E44" s="1412"/>
      <c r="F44" s="565"/>
      <c r="G44" s="566"/>
      <c r="H44" s="567"/>
      <c r="I44" s="352">
        <f>I37+I43</f>
        <v>0</v>
      </c>
      <c r="J44" s="799">
        <f>IFERROR(J37+J43,"")</f>
        <v>0</v>
      </c>
    </row>
    <row r="45" spans="1:10" ht="17.149999999999999" customHeight="1">
      <c r="A45" s="797" t="s">
        <v>387</v>
      </c>
      <c r="B45" s="1413" t="s">
        <v>388</v>
      </c>
      <c r="C45" s="1413"/>
      <c r="D45" s="1413"/>
      <c r="E45" s="1413"/>
      <c r="F45" s="563"/>
      <c r="G45" s="559" t="s">
        <v>316</v>
      </c>
      <c r="H45" s="560" t="s">
        <v>389</v>
      </c>
      <c r="I45" s="70"/>
      <c r="J45" s="796"/>
    </row>
    <row r="46" spans="1:10" ht="17.149999999999999" customHeight="1">
      <c r="A46" s="797" t="s">
        <v>390</v>
      </c>
      <c r="B46" s="1413" t="s">
        <v>391</v>
      </c>
      <c r="C46" s="1413"/>
      <c r="D46" s="1413"/>
      <c r="E46" s="1413"/>
      <c r="F46" s="563"/>
      <c r="G46" s="559" t="s">
        <v>316</v>
      </c>
      <c r="H46" s="560">
        <v>30</v>
      </c>
      <c r="I46" s="70"/>
      <c r="J46" s="796"/>
    </row>
    <row r="47" spans="1:10" ht="17.149999999999999" customHeight="1">
      <c r="A47" s="797" t="s">
        <v>392</v>
      </c>
      <c r="B47" s="1413" t="s">
        <v>393</v>
      </c>
      <c r="C47" s="1413"/>
      <c r="D47" s="1413"/>
      <c r="E47" s="1413"/>
      <c r="F47" s="563"/>
      <c r="G47" s="559" t="s">
        <v>319</v>
      </c>
      <c r="H47" s="560" t="s">
        <v>389</v>
      </c>
      <c r="I47" s="70"/>
      <c r="J47" s="796"/>
    </row>
    <row r="48" spans="1:10" ht="17.149999999999999" customHeight="1">
      <c r="A48" s="797" t="s">
        <v>394</v>
      </c>
      <c r="B48" s="1413" t="s">
        <v>395</v>
      </c>
      <c r="C48" s="1413"/>
      <c r="D48" s="1413"/>
      <c r="E48" s="1413"/>
      <c r="F48" s="563"/>
      <c r="G48" s="559" t="s">
        <v>319</v>
      </c>
      <c r="H48" s="560">
        <v>30</v>
      </c>
      <c r="I48" s="70"/>
      <c r="J48" s="796"/>
    </row>
    <row r="49" spans="1:10" ht="17.149999999999999" customHeight="1">
      <c r="A49" s="798" t="s">
        <v>396</v>
      </c>
      <c r="B49" s="1410" t="s">
        <v>1730</v>
      </c>
      <c r="C49" s="1411"/>
      <c r="D49" s="1411"/>
      <c r="E49" s="1412"/>
      <c r="F49" s="565"/>
      <c r="G49" s="566"/>
      <c r="H49" s="567"/>
      <c r="I49" s="352">
        <f>SUM(I45:I48)</f>
        <v>0</v>
      </c>
      <c r="J49" s="799">
        <f>IFERROR(SUM(J45:J48),"")</f>
        <v>0</v>
      </c>
    </row>
    <row r="50" spans="1:10" ht="17.149999999999999" customHeight="1">
      <c r="A50" s="797" t="s">
        <v>397</v>
      </c>
      <c r="B50" s="1413" t="s">
        <v>398</v>
      </c>
      <c r="C50" s="1413"/>
      <c r="D50" s="1413"/>
      <c r="E50" s="1413"/>
      <c r="F50" s="563"/>
      <c r="G50" s="559" t="s">
        <v>319</v>
      </c>
      <c r="H50" s="560">
        <v>30</v>
      </c>
      <c r="I50" s="70"/>
      <c r="J50" s="796"/>
    </row>
    <row r="51" spans="1:10" ht="17.149999999999999" customHeight="1">
      <c r="A51" s="797" t="s">
        <v>399</v>
      </c>
      <c r="B51" s="1413" t="s">
        <v>400</v>
      </c>
      <c r="C51" s="1413"/>
      <c r="D51" s="1413"/>
      <c r="E51" s="1413"/>
      <c r="F51" s="563"/>
      <c r="G51" s="559" t="s">
        <v>319</v>
      </c>
      <c r="H51" s="561">
        <v>37</v>
      </c>
      <c r="I51" s="70"/>
      <c r="J51" s="796"/>
    </row>
    <row r="52" spans="1:10" ht="17.149999999999999" customHeight="1" thickBot="1">
      <c r="A52" s="800" t="s">
        <v>401</v>
      </c>
      <c r="B52" s="1407" t="s">
        <v>402</v>
      </c>
      <c r="C52" s="1408"/>
      <c r="D52" s="1408"/>
      <c r="E52" s="1409"/>
      <c r="F52" s="801"/>
      <c r="G52" s="802"/>
      <c r="H52" s="803"/>
      <c r="I52" s="804">
        <f>I44+I49+I50+I51</f>
        <v>0</v>
      </c>
      <c r="J52" s="805">
        <f>IFERROR(J44+J49+J50+J51,"")</f>
        <v>0</v>
      </c>
    </row>
    <row r="53" spans="1:10" ht="16.5" customHeight="1">
      <c r="A53" s="1401" t="s">
        <v>1544</v>
      </c>
      <c r="B53" s="1402"/>
      <c r="C53" s="1402"/>
      <c r="D53" s="1402"/>
      <c r="E53" s="1402"/>
      <c r="F53" s="1402"/>
    </row>
  </sheetData>
  <sheetProtection selectLockedCells="1"/>
  <mergeCells count="57">
    <mergeCell ref="B17:E17"/>
    <mergeCell ref="B36:E36"/>
    <mergeCell ref="B38:E38"/>
    <mergeCell ref="B39:E39"/>
    <mergeCell ref="B40:E40"/>
    <mergeCell ref="B33:E33"/>
    <mergeCell ref="B35:E35"/>
    <mergeCell ref="B19:E19"/>
    <mergeCell ref="B29:E29"/>
    <mergeCell ref="B30:E30"/>
    <mergeCell ref="B31:E31"/>
    <mergeCell ref="B26:E26"/>
    <mergeCell ref="B27:E27"/>
    <mergeCell ref="B28:E28"/>
    <mergeCell ref="B20:E20"/>
    <mergeCell ref="B21:E21"/>
    <mergeCell ref="A8:A10"/>
    <mergeCell ref="B12:E12"/>
    <mergeCell ref="B13:E13"/>
    <mergeCell ref="B11:E11"/>
    <mergeCell ref="B15:E15"/>
    <mergeCell ref="B16:E16"/>
    <mergeCell ref="C3:J3"/>
    <mergeCell ref="F5:H5"/>
    <mergeCell ref="C4:H4"/>
    <mergeCell ref="G8:G10"/>
    <mergeCell ref="H8:H10"/>
    <mergeCell ref="I8:I9"/>
    <mergeCell ref="J8:J9"/>
    <mergeCell ref="B8:F10"/>
    <mergeCell ref="C5:D5"/>
    <mergeCell ref="C6:E6"/>
    <mergeCell ref="B45:E45"/>
    <mergeCell ref="B46:E46"/>
    <mergeCell ref="B47:E47"/>
    <mergeCell ref="B48:E48"/>
    <mergeCell ref="B22:E22"/>
    <mergeCell ref="B23:E23"/>
    <mergeCell ref="B24:E24"/>
    <mergeCell ref="B25:E25"/>
    <mergeCell ref="B37:E37"/>
    <mergeCell ref="A53:F53"/>
    <mergeCell ref="A1:J1"/>
    <mergeCell ref="H2:J2"/>
    <mergeCell ref="A7:J7"/>
    <mergeCell ref="B52:E52"/>
    <mergeCell ref="B14:E14"/>
    <mergeCell ref="B18:E18"/>
    <mergeCell ref="B50:E50"/>
    <mergeCell ref="B51:E51"/>
    <mergeCell ref="B32:E32"/>
    <mergeCell ref="B34:E34"/>
    <mergeCell ref="B43:E43"/>
    <mergeCell ref="B44:E44"/>
    <mergeCell ref="B49:E49"/>
    <mergeCell ref="B41:E41"/>
    <mergeCell ref="B42:E42"/>
  </mergeCells>
  <dataValidations count="1">
    <dataValidation type="whole" allowBlank="1" showInputMessage="1" showErrorMessage="1" errorTitle="Attention !" error="Valeur numérique attendue" sqref="I11:J13 I15:J17 I19:J31 I33:J33 I35:J36 I38:J42 I45:J48 I50:J51" xr:uid="{00000000-0002-0000-0900-000000000000}">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3">
    <pageSetUpPr fitToPage="1"/>
  </sheetPr>
  <dimension ref="A1:J42"/>
  <sheetViews>
    <sheetView showGridLines="0" showZeros="0" workbookViewId="0">
      <selection activeCell="I12" sqref="I12"/>
    </sheetView>
  </sheetViews>
  <sheetFormatPr baseColWidth="10" defaultRowHeight="14.5"/>
  <cols>
    <col min="1" max="1" width="4.54296875" customWidth="1"/>
    <col min="2" max="2" width="25.1796875" customWidth="1"/>
    <col min="3" max="3" width="8.453125" customWidth="1"/>
    <col min="4" max="4" width="10.1796875" customWidth="1"/>
    <col min="5" max="5" width="14.453125" customWidth="1"/>
    <col min="6" max="6" width="15.1796875" customWidth="1"/>
    <col min="7" max="7" width="3.1796875" style="45" customWidth="1"/>
    <col min="8" max="8" width="6.453125" customWidth="1"/>
    <col min="9" max="10" width="15.54296875" customWidth="1"/>
  </cols>
  <sheetData>
    <row r="1" spans="1:10">
      <c r="A1" s="1134" t="s">
        <v>183</v>
      </c>
      <c r="B1" s="1134"/>
      <c r="C1" s="1134"/>
      <c r="D1" s="1134"/>
      <c r="E1" s="1134"/>
      <c r="F1" s="1134"/>
      <c r="G1" s="1134"/>
      <c r="H1" s="1134"/>
      <c r="I1" s="1134"/>
      <c r="J1" s="1134"/>
    </row>
    <row r="2" spans="1:10" ht="27" customHeight="1">
      <c r="A2" s="40"/>
      <c r="B2" s="40"/>
      <c r="C2" s="40"/>
      <c r="D2" s="40"/>
      <c r="E2" s="40"/>
      <c r="F2" s="40"/>
      <c r="G2" s="40"/>
      <c r="H2" s="1135" t="s">
        <v>1636</v>
      </c>
      <c r="I2" s="1136"/>
      <c r="J2" s="1137"/>
    </row>
    <row r="3" spans="1:10" s="7" customFormat="1" ht="15.75" customHeight="1">
      <c r="A3" s="7" t="s">
        <v>26</v>
      </c>
      <c r="C3" s="1158">
        <f>BILAN!C3</f>
        <v>0</v>
      </c>
      <c r="D3" s="1158"/>
      <c r="E3" s="1158"/>
      <c r="F3" s="1158"/>
      <c r="G3" s="1158"/>
      <c r="H3" s="1158"/>
      <c r="I3" s="1158"/>
      <c r="J3" s="1158"/>
    </row>
    <row r="4" spans="1:10" s="7" customFormat="1" ht="15.75" customHeight="1">
      <c r="A4" s="7" t="s">
        <v>27</v>
      </c>
      <c r="C4" s="1158">
        <f>BILAN!C4</f>
        <v>0</v>
      </c>
      <c r="D4" s="1158"/>
      <c r="E4" s="1158"/>
      <c r="F4" s="1158"/>
      <c r="G4" s="1158"/>
      <c r="H4" s="1158"/>
      <c r="I4" s="61" t="s">
        <v>28</v>
      </c>
      <c r="J4" s="44">
        <f>BILAN!N4</f>
        <v>0</v>
      </c>
    </row>
    <row r="5" spans="1:10" s="7" customFormat="1" ht="15.75" customHeight="1">
      <c r="A5" s="7" t="s">
        <v>2019</v>
      </c>
      <c r="C5" s="1147">
        <f>BILAN!C5</f>
        <v>0</v>
      </c>
      <c r="D5" s="1147"/>
      <c r="E5" s="455" t="s">
        <v>30</v>
      </c>
      <c r="F5" s="1168">
        <f>BILAN!K5</f>
        <v>0</v>
      </c>
      <c r="G5" s="1168"/>
      <c r="H5" s="1168"/>
      <c r="I5" s="61" t="s">
        <v>31</v>
      </c>
      <c r="J5" s="44">
        <f>BILAN!N5</f>
        <v>0</v>
      </c>
    </row>
    <row r="6" spans="1:10" s="7" customFormat="1" ht="15.75" customHeight="1">
      <c r="A6" s="7" t="s">
        <v>2024</v>
      </c>
      <c r="C6" s="1158">
        <f>BILAN!C6</f>
        <v>0</v>
      </c>
      <c r="D6" s="1158"/>
      <c r="E6" s="1158"/>
      <c r="F6" s="44"/>
      <c r="G6" s="44"/>
      <c r="H6" s="44"/>
      <c r="I6" s="263"/>
      <c r="J6" s="44"/>
    </row>
    <row r="7" spans="1:10" ht="28.5" customHeight="1" thickBot="1">
      <c r="A7" s="1169" t="s">
        <v>1731</v>
      </c>
      <c r="B7" s="1169"/>
      <c r="C7" s="1169"/>
      <c r="D7" s="1169"/>
      <c r="E7" s="1169"/>
      <c r="F7" s="1169"/>
      <c r="G7" s="1169"/>
      <c r="H7" s="1169"/>
      <c r="I7" s="1169"/>
      <c r="J7" s="1169"/>
    </row>
    <row r="8" spans="1:10" ht="19.5" customHeight="1">
      <c r="A8" s="1148" t="s">
        <v>185</v>
      </c>
      <c r="B8" s="1150" t="s">
        <v>311</v>
      </c>
      <c r="C8" s="1151"/>
      <c r="D8" s="1151"/>
      <c r="E8" s="1151"/>
      <c r="F8" s="1151"/>
      <c r="G8" s="1152"/>
      <c r="H8" s="1156" t="s">
        <v>187</v>
      </c>
      <c r="I8" s="806" t="s">
        <v>403</v>
      </c>
      <c r="J8" s="807" t="s">
        <v>403</v>
      </c>
    </row>
    <row r="9" spans="1:10" s="1" customFormat="1" ht="14.25" customHeight="1">
      <c r="A9" s="1149"/>
      <c r="B9" s="1153"/>
      <c r="C9" s="1154"/>
      <c r="D9" s="1154"/>
      <c r="E9" s="1154"/>
      <c r="F9" s="1154"/>
      <c r="G9" s="1155"/>
      <c r="H9" s="1157"/>
      <c r="I9" s="429" t="s">
        <v>404</v>
      </c>
      <c r="J9" s="808" t="s">
        <v>405</v>
      </c>
    </row>
    <row r="10" spans="1:10" ht="31" customHeight="1">
      <c r="A10" s="809" t="s">
        <v>32</v>
      </c>
      <c r="B10" s="1141" t="s">
        <v>1116</v>
      </c>
      <c r="C10" s="1142"/>
      <c r="D10" s="1142"/>
      <c r="E10" s="1142"/>
      <c r="F10" s="1143"/>
      <c r="G10" s="91" t="s">
        <v>95</v>
      </c>
      <c r="H10" s="84"/>
      <c r="I10" s="103"/>
      <c r="J10" s="810"/>
    </row>
    <row r="11" spans="1:10" ht="17.25" customHeight="1">
      <c r="A11" s="811"/>
      <c r="B11" s="1144" t="s">
        <v>406</v>
      </c>
      <c r="C11" s="1145"/>
      <c r="D11" s="1145"/>
      <c r="E11" s="1145"/>
      <c r="F11" s="1146"/>
      <c r="G11" s="93"/>
      <c r="H11" s="94"/>
      <c r="I11" s="95"/>
      <c r="J11" s="812"/>
    </row>
    <row r="12" spans="1:10" ht="19" customHeight="1">
      <c r="A12" s="811" t="s">
        <v>407</v>
      </c>
      <c r="B12" s="1140" t="s">
        <v>408</v>
      </c>
      <c r="C12" s="1140"/>
      <c r="D12" s="1140"/>
      <c r="E12" s="1140"/>
      <c r="F12" s="1140"/>
      <c r="G12" s="96"/>
      <c r="H12" s="85"/>
      <c r="I12" s="75"/>
      <c r="J12" s="813"/>
    </row>
    <row r="13" spans="1:10" ht="19" customHeight="1">
      <c r="A13" s="811" t="s">
        <v>409</v>
      </c>
      <c r="B13" s="1139" t="s">
        <v>1158</v>
      </c>
      <c r="C13" s="1138"/>
      <c r="D13" s="1138"/>
      <c r="E13" s="1138"/>
      <c r="F13" s="1138"/>
      <c r="G13" s="96"/>
      <c r="H13" s="85"/>
      <c r="I13" s="75"/>
      <c r="J13" s="813"/>
    </row>
    <row r="14" spans="1:10" ht="19" customHeight="1">
      <c r="A14" s="811" t="s">
        <v>410</v>
      </c>
      <c r="B14" s="1138" t="s">
        <v>411</v>
      </c>
      <c r="C14" s="1138"/>
      <c r="D14" s="1138"/>
      <c r="E14" s="1138"/>
      <c r="F14" s="1138"/>
      <c r="G14" s="96"/>
      <c r="H14" s="85"/>
      <c r="I14" s="75"/>
      <c r="J14" s="813"/>
    </row>
    <row r="15" spans="1:10" ht="19" customHeight="1">
      <c r="A15" s="811" t="s">
        <v>412</v>
      </c>
      <c r="B15" s="1138" t="s">
        <v>413</v>
      </c>
      <c r="C15" s="1138"/>
      <c r="D15" s="1138"/>
      <c r="E15" s="1138"/>
      <c r="F15" s="1138"/>
      <c r="G15" s="96"/>
      <c r="H15" s="85"/>
      <c r="I15" s="75"/>
      <c r="J15" s="813"/>
    </row>
    <row r="16" spans="1:10" ht="19" customHeight="1">
      <c r="A16" s="811" t="s">
        <v>414</v>
      </c>
      <c r="B16" s="1138" t="s">
        <v>415</v>
      </c>
      <c r="C16" s="1138"/>
      <c r="D16" s="1138"/>
      <c r="E16" s="1138"/>
      <c r="F16" s="1138"/>
      <c r="G16" s="68"/>
      <c r="H16" s="86"/>
      <c r="I16" s="87"/>
      <c r="J16" s="814"/>
    </row>
    <row r="17" spans="1:10" ht="19" customHeight="1">
      <c r="A17" s="811"/>
      <c r="B17" s="1140" t="s">
        <v>416</v>
      </c>
      <c r="C17" s="1140"/>
      <c r="D17" s="1140"/>
      <c r="E17" s="1140"/>
      <c r="F17" s="1140"/>
      <c r="G17" s="68"/>
      <c r="H17" s="97"/>
      <c r="I17" s="98"/>
      <c r="J17" s="815"/>
    </row>
    <row r="18" spans="1:10" ht="19" customHeight="1">
      <c r="A18" s="811"/>
      <c r="B18" s="288" t="s">
        <v>417</v>
      </c>
      <c r="C18" s="1161">
        <f>I13+I14+I15+I16</f>
        <v>0</v>
      </c>
      <c r="D18" s="1162"/>
      <c r="E18" s="607">
        <f>IFERROR(J13+J14+J15+J16,"")</f>
        <v>0</v>
      </c>
      <c r="F18" s="288"/>
      <c r="G18" s="66"/>
      <c r="H18" s="99"/>
      <c r="I18" s="100"/>
      <c r="J18" s="816"/>
    </row>
    <row r="19" spans="1:10" ht="19" customHeight="1">
      <c r="A19" s="809" t="s">
        <v>36</v>
      </c>
      <c r="B19" s="1141" t="s">
        <v>1717</v>
      </c>
      <c r="C19" s="1160"/>
      <c r="D19" s="1160"/>
      <c r="E19" s="1160"/>
      <c r="F19" s="1143"/>
      <c r="G19" s="101" t="s">
        <v>327</v>
      </c>
      <c r="H19" s="88"/>
      <c r="I19" s="102">
        <f>SUM(I12:I16)</f>
        <v>0</v>
      </c>
      <c r="J19" s="817">
        <f>IFERROR(SUM(J12:J16),"")</f>
        <v>0</v>
      </c>
    </row>
    <row r="20" spans="1:10" ht="17.25" customHeight="1">
      <c r="A20" s="811"/>
      <c r="B20" s="1144" t="s">
        <v>418</v>
      </c>
      <c r="C20" s="1145"/>
      <c r="D20" s="1145"/>
      <c r="E20" s="1145"/>
      <c r="F20" s="1146"/>
      <c r="G20" s="93"/>
      <c r="H20" s="94"/>
      <c r="I20" s="95"/>
      <c r="J20" s="812"/>
    </row>
    <row r="21" spans="1:10" ht="19" customHeight="1">
      <c r="A21" s="811" t="s">
        <v>419</v>
      </c>
      <c r="B21" s="1138" t="s">
        <v>420</v>
      </c>
      <c r="C21" s="1138"/>
      <c r="D21" s="1138"/>
      <c r="E21" s="1138"/>
      <c r="F21" s="1138"/>
      <c r="G21" s="96"/>
      <c r="H21" s="85"/>
      <c r="I21" s="75"/>
      <c r="J21" s="813"/>
    </row>
    <row r="22" spans="1:10" ht="19" customHeight="1">
      <c r="A22" s="811" t="s">
        <v>421</v>
      </c>
      <c r="B22" s="1138" t="s">
        <v>422</v>
      </c>
      <c r="C22" s="1138"/>
      <c r="D22" s="1138"/>
      <c r="E22" s="1138"/>
      <c r="F22" s="1138"/>
      <c r="G22" s="96"/>
      <c r="H22" s="85"/>
      <c r="I22" s="75"/>
      <c r="J22" s="813"/>
    </row>
    <row r="23" spans="1:10" ht="19" customHeight="1">
      <c r="A23" s="811" t="s">
        <v>423</v>
      </c>
      <c r="B23" s="1138" t="s">
        <v>424</v>
      </c>
      <c r="C23" s="1138"/>
      <c r="D23" s="1138"/>
      <c r="E23" s="1138"/>
      <c r="F23" s="1138"/>
      <c r="G23" s="96"/>
      <c r="H23" s="85"/>
      <c r="I23" s="75"/>
      <c r="J23" s="813"/>
    </row>
    <row r="24" spans="1:10" ht="19" customHeight="1">
      <c r="A24" s="811" t="s">
        <v>425</v>
      </c>
      <c r="B24" s="1138" t="s">
        <v>426</v>
      </c>
      <c r="C24" s="1138"/>
      <c r="D24" s="1138"/>
      <c r="E24" s="1138"/>
      <c r="F24" s="1138"/>
      <c r="G24" s="96"/>
      <c r="H24" s="85"/>
      <c r="I24" s="75"/>
      <c r="J24" s="813"/>
    </row>
    <row r="25" spans="1:10" ht="19" customHeight="1">
      <c r="A25" s="811" t="s">
        <v>427</v>
      </c>
      <c r="B25" s="1138" t="s">
        <v>428</v>
      </c>
      <c r="C25" s="1138"/>
      <c r="D25" s="1138"/>
      <c r="E25" s="1138"/>
      <c r="F25" s="1138"/>
      <c r="G25" s="96"/>
      <c r="H25" s="85"/>
      <c r="I25" s="75"/>
      <c r="J25" s="813"/>
    </row>
    <row r="26" spans="1:10" ht="19" customHeight="1">
      <c r="A26" s="809" t="s">
        <v>38</v>
      </c>
      <c r="B26" s="1141" t="s">
        <v>1732</v>
      </c>
      <c r="C26" s="1142"/>
      <c r="D26" s="1142"/>
      <c r="E26" s="1142"/>
      <c r="F26" s="1143"/>
      <c r="G26" s="91" t="s">
        <v>330</v>
      </c>
      <c r="H26" s="84"/>
      <c r="I26" s="92">
        <f>SUM(I21:I25)</f>
        <v>0</v>
      </c>
      <c r="J26" s="818">
        <f>IFERROR(SUM(J21:J25),"")</f>
        <v>0</v>
      </c>
    </row>
    <row r="27" spans="1:10" ht="17.25" customHeight="1">
      <c r="A27" s="811"/>
      <c r="B27" s="1144" t="s">
        <v>429</v>
      </c>
      <c r="C27" s="1145"/>
      <c r="D27" s="1145"/>
      <c r="E27" s="1145"/>
      <c r="F27" s="1146"/>
      <c r="G27" s="93"/>
      <c r="H27" s="94"/>
      <c r="I27" s="95"/>
      <c r="J27" s="812"/>
    </row>
    <row r="28" spans="1:10" ht="19" customHeight="1">
      <c r="A28" s="811" t="s">
        <v>430</v>
      </c>
      <c r="B28" s="1138" t="s">
        <v>431</v>
      </c>
      <c r="C28" s="1138"/>
      <c r="D28" s="1138"/>
      <c r="E28" s="1138"/>
      <c r="F28" s="1138"/>
      <c r="G28" s="96"/>
      <c r="H28" s="85"/>
      <c r="I28" s="75"/>
      <c r="J28" s="813"/>
    </row>
    <row r="29" spans="1:10" ht="19" customHeight="1">
      <c r="A29" s="811" t="s">
        <v>432</v>
      </c>
      <c r="B29" s="1138" t="s">
        <v>433</v>
      </c>
      <c r="C29" s="1138"/>
      <c r="D29" s="1138"/>
      <c r="E29" s="1138"/>
      <c r="F29" s="1138"/>
      <c r="G29" s="96"/>
      <c r="H29" s="85"/>
      <c r="I29" s="75"/>
      <c r="J29" s="813"/>
    </row>
    <row r="30" spans="1:10" ht="19" customHeight="1">
      <c r="A30" s="811" t="s">
        <v>434</v>
      </c>
      <c r="B30" s="1138" t="s">
        <v>435</v>
      </c>
      <c r="C30" s="1138"/>
      <c r="D30" s="1138"/>
      <c r="E30" s="1138"/>
      <c r="F30" s="1138"/>
      <c r="G30" s="96"/>
      <c r="H30" s="85"/>
      <c r="I30" s="75"/>
      <c r="J30" s="813"/>
    </row>
    <row r="31" spans="1:10" ht="19" customHeight="1">
      <c r="A31" s="811" t="s">
        <v>436</v>
      </c>
      <c r="B31" s="1138" t="s">
        <v>437</v>
      </c>
      <c r="C31" s="1138"/>
      <c r="D31" s="1138"/>
      <c r="E31" s="1138"/>
      <c r="F31" s="1138"/>
      <c r="G31" s="96"/>
      <c r="H31" s="85"/>
      <c r="I31" s="75"/>
      <c r="J31" s="813"/>
    </row>
    <row r="32" spans="1:10" ht="19" customHeight="1">
      <c r="A32" s="809" t="s">
        <v>41</v>
      </c>
      <c r="B32" s="1141" t="s">
        <v>1733</v>
      </c>
      <c r="C32" s="1142"/>
      <c r="D32" s="1142"/>
      <c r="E32" s="1142"/>
      <c r="F32" s="1143"/>
      <c r="G32" s="91" t="s">
        <v>333</v>
      </c>
      <c r="H32" s="84"/>
      <c r="I32" s="92">
        <f>SUM(I28:I31)</f>
        <v>0</v>
      </c>
      <c r="J32" s="818">
        <f>IFERROR(SUM(J28:J31),"")</f>
        <v>0</v>
      </c>
    </row>
    <row r="33" spans="1:10" ht="17.25" customHeight="1">
      <c r="A33" s="811"/>
      <c r="B33" s="1144" t="s">
        <v>438</v>
      </c>
      <c r="C33" s="1145"/>
      <c r="D33" s="1145"/>
      <c r="E33" s="1145"/>
      <c r="F33" s="1146"/>
      <c r="G33" s="93"/>
      <c r="H33" s="94"/>
      <c r="I33" s="95"/>
      <c r="J33" s="812"/>
    </row>
    <row r="34" spans="1:10" ht="19" customHeight="1">
      <c r="A34" s="811" t="s">
        <v>439</v>
      </c>
      <c r="B34" s="1139" t="s">
        <v>1712</v>
      </c>
      <c r="C34" s="1138"/>
      <c r="D34" s="1138"/>
      <c r="E34" s="1138"/>
      <c r="F34" s="1138"/>
      <c r="G34" s="96"/>
      <c r="H34" s="85"/>
      <c r="I34" s="75"/>
      <c r="J34" s="813"/>
    </row>
    <row r="35" spans="1:10" ht="19" customHeight="1">
      <c r="A35" s="811" t="s">
        <v>440</v>
      </c>
      <c r="B35" s="1139" t="s">
        <v>1713</v>
      </c>
      <c r="C35" s="1138"/>
      <c r="D35" s="1138"/>
      <c r="E35" s="1138"/>
      <c r="F35" s="1138"/>
      <c r="G35" s="96"/>
      <c r="H35" s="85"/>
      <c r="I35" s="75"/>
      <c r="J35" s="813"/>
    </row>
    <row r="36" spans="1:10" ht="19" customHeight="1">
      <c r="A36" s="811" t="s">
        <v>441</v>
      </c>
      <c r="B36" s="1138" t="s">
        <v>442</v>
      </c>
      <c r="C36" s="1138"/>
      <c r="D36" s="1138"/>
      <c r="E36" s="1138"/>
      <c r="F36" s="1138"/>
      <c r="G36" s="96"/>
      <c r="H36" s="85"/>
      <c r="I36" s="75"/>
      <c r="J36" s="813"/>
    </row>
    <row r="37" spans="1:10" ht="19" customHeight="1">
      <c r="A37" s="809" t="s">
        <v>45</v>
      </c>
      <c r="B37" s="1141" t="s">
        <v>1734</v>
      </c>
      <c r="C37" s="1142"/>
      <c r="D37" s="1142"/>
      <c r="E37" s="1142"/>
      <c r="F37" s="1143"/>
      <c r="G37" s="91" t="s">
        <v>443</v>
      </c>
      <c r="H37" s="84"/>
      <c r="I37" s="92">
        <f>SUM(I34:I36)</f>
        <v>0</v>
      </c>
      <c r="J37" s="818">
        <f>IFERROR(SUM(J34:J36),"")</f>
        <v>0</v>
      </c>
    </row>
    <row r="38" spans="1:10" ht="19" customHeight="1">
      <c r="A38" s="809" t="s">
        <v>49</v>
      </c>
      <c r="B38" s="1141" t="s">
        <v>444</v>
      </c>
      <c r="C38" s="1142"/>
      <c r="D38" s="1142"/>
      <c r="E38" s="1142"/>
      <c r="F38" s="1143"/>
      <c r="G38" s="91" t="s">
        <v>445</v>
      </c>
      <c r="H38" s="84"/>
      <c r="I38" s="92">
        <f>I32+I37</f>
        <v>0</v>
      </c>
      <c r="J38" s="818">
        <f>IFERROR(J32+J37,"")</f>
        <v>0</v>
      </c>
    </row>
    <row r="39" spans="1:10" ht="19" customHeight="1">
      <c r="A39" s="809" t="s">
        <v>52</v>
      </c>
      <c r="B39" s="1163" t="s">
        <v>446</v>
      </c>
      <c r="C39" s="1163"/>
      <c r="D39" s="1163"/>
      <c r="E39" s="1163"/>
      <c r="F39" s="1163"/>
      <c r="G39" s="604" t="s">
        <v>447</v>
      </c>
      <c r="H39" s="605"/>
      <c r="I39" s="606">
        <f>I19+I26+I38</f>
        <v>0</v>
      </c>
      <c r="J39" s="819">
        <f>J19+J26+J38</f>
        <v>0</v>
      </c>
    </row>
    <row r="40" spans="1:10" ht="24.75" customHeight="1">
      <c r="A40" s="820" t="s">
        <v>57</v>
      </c>
      <c r="B40" s="1166" t="s">
        <v>1118</v>
      </c>
      <c r="C40" s="1167"/>
      <c r="D40" s="1167"/>
      <c r="E40" s="1167"/>
      <c r="F40" s="362"/>
      <c r="G40" s="104" t="s">
        <v>448</v>
      </c>
      <c r="H40" s="105"/>
      <c r="I40" s="106">
        <f>I10+I39</f>
        <v>0</v>
      </c>
      <c r="J40" s="821">
        <f>IFERROR(J10+J39,"")</f>
        <v>0</v>
      </c>
    </row>
    <row r="41" spans="1:10" ht="14.25" customHeight="1" thickBot="1">
      <c r="A41" s="822"/>
      <c r="B41" s="1164" t="s">
        <v>1117</v>
      </c>
      <c r="C41" s="1165"/>
      <c r="D41" s="1165"/>
      <c r="E41" s="1132"/>
      <c r="F41" s="1133"/>
      <c r="G41" s="823"/>
      <c r="H41" s="824"/>
      <c r="I41" s="825"/>
      <c r="J41" s="826"/>
    </row>
    <row r="42" spans="1:10" ht="39" customHeight="1">
      <c r="A42" s="1159" t="s">
        <v>449</v>
      </c>
      <c r="B42" s="1159"/>
      <c r="C42" s="1159"/>
      <c r="D42" s="1159"/>
      <c r="E42" s="1159"/>
      <c r="F42" s="1159"/>
      <c r="G42" s="1159"/>
      <c r="H42" s="1159"/>
      <c r="I42" s="1159"/>
      <c r="J42" s="1159"/>
    </row>
  </sheetData>
  <sheetProtection selectLockedCells="1"/>
  <mergeCells count="45">
    <mergeCell ref="B28:F28"/>
    <mergeCell ref="B23:F23"/>
    <mergeCell ref="B24:F24"/>
    <mergeCell ref="B25:F25"/>
    <mergeCell ref="B26:F26"/>
    <mergeCell ref="C4:H4"/>
    <mergeCell ref="F5:H5"/>
    <mergeCell ref="A7:J7"/>
    <mergeCell ref="B27:F27"/>
    <mergeCell ref="B12:F12"/>
    <mergeCell ref="B22:F22"/>
    <mergeCell ref="C6:E6"/>
    <mergeCell ref="B21:F21"/>
    <mergeCell ref="A42:J42"/>
    <mergeCell ref="B19:F19"/>
    <mergeCell ref="C18:D18"/>
    <mergeCell ref="B31:F31"/>
    <mergeCell ref="B20:F20"/>
    <mergeCell ref="B39:F39"/>
    <mergeCell ref="B32:F32"/>
    <mergeCell ref="B33:F33"/>
    <mergeCell ref="B34:F34"/>
    <mergeCell ref="B35:F35"/>
    <mergeCell ref="B36:F36"/>
    <mergeCell ref="B37:F37"/>
    <mergeCell ref="B29:F29"/>
    <mergeCell ref="B38:F38"/>
    <mergeCell ref="B41:D41"/>
    <mergeCell ref="B40:E40"/>
    <mergeCell ref="E41:F41"/>
    <mergeCell ref="A1:J1"/>
    <mergeCell ref="H2:J2"/>
    <mergeCell ref="B30:F30"/>
    <mergeCell ref="B13:F13"/>
    <mergeCell ref="B14:F14"/>
    <mergeCell ref="B15:F15"/>
    <mergeCell ref="B16:F16"/>
    <mergeCell ref="B17:F17"/>
    <mergeCell ref="B10:F10"/>
    <mergeCell ref="B11:F11"/>
    <mergeCell ref="C5:D5"/>
    <mergeCell ref="A8:A9"/>
    <mergeCell ref="B8:G9"/>
    <mergeCell ref="H8:H9"/>
    <mergeCell ref="C3:J3"/>
  </mergeCells>
  <dataValidations count="1">
    <dataValidation type="whole" allowBlank="1" showInputMessage="1" showErrorMessage="1" errorTitle="Attention !" error="Valeur numérique attendue" sqref="I12:J16 C18:D18 E18 I21:J25 I28:J31 I34:J36 I39:J39" xr:uid="{00000000-0002-0000-0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4"/>
  <dimension ref="A1:J65"/>
  <sheetViews>
    <sheetView showGridLines="0" topLeftCell="A47" zoomScale="150" zoomScaleNormal="150" workbookViewId="0">
      <selection activeCell="A9" sqref="A9:A60"/>
    </sheetView>
  </sheetViews>
  <sheetFormatPr baseColWidth="10" defaultRowHeight="14.5"/>
  <cols>
    <col min="2" max="2" width="19" customWidth="1"/>
    <col min="3" max="3" width="10.1796875" customWidth="1"/>
    <col min="4" max="4" width="6.453125" customWidth="1"/>
    <col min="5" max="5" width="17" customWidth="1"/>
    <col min="6" max="6" width="9.54296875" customWidth="1"/>
    <col min="7" max="7" width="2.1796875" customWidth="1"/>
    <col min="8" max="8" width="20.54296875" customWidth="1"/>
    <col min="9" max="10" width="6.81640625" customWidth="1"/>
  </cols>
  <sheetData>
    <row r="1" spans="1:10">
      <c r="A1" s="1134" t="s">
        <v>183</v>
      </c>
      <c r="B1" s="1134"/>
      <c r="C1" s="1134"/>
      <c r="D1" s="1134"/>
      <c r="E1" s="1134"/>
      <c r="F1" s="1134"/>
      <c r="G1" s="1134"/>
      <c r="H1" s="1134"/>
      <c r="I1" s="1134"/>
      <c r="J1" s="1134"/>
    </row>
    <row r="2" spans="1:10" ht="22.5" customHeight="1">
      <c r="A2" s="25"/>
      <c r="B2" s="25"/>
      <c r="C2" s="25"/>
      <c r="D2" s="8"/>
      <c r="E2" s="8"/>
      <c r="F2" s="8"/>
      <c r="G2" s="41"/>
      <c r="H2" s="41"/>
      <c r="I2" s="1135" t="s">
        <v>1467</v>
      </c>
      <c r="J2" s="1137"/>
    </row>
    <row r="3" spans="1:10">
      <c r="A3" s="8" t="s">
        <v>26</v>
      </c>
      <c r="B3" s="8"/>
      <c r="C3" s="1438"/>
      <c r="D3" s="1438"/>
      <c r="E3" s="1438"/>
      <c r="F3" s="1438"/>
      <c r="G3" s="1438"/>
      <c r="H3" s="1438"/>
      <c r="I3" s="1438"/>
      <c r="J3" s="1438"/>
    </row>
    <row r="4" spans="1:10">
      <c r="A4" s="8" t="s">
        <v>27</v>
      </c>
      <c r="B4" s="1433"/>
      <c r="C4" s="1433"/>
      <c r="D4" s="1433"/>
      <c r="E4" s="1433"/>
      <c r="F4" s="1433"/>
      <c r="G4" s="1433"/>
      <c r="H4" s="456" t="s">
        <v>28</v>
      </c>
      <c r="I4" s="1436"/>
      <c r="J4" s="1436"/>
    </row>
    <row r="5" spans="1:10">
      <c r="A5" s="7" t="s">
        <v>2018</v>
      </c>
      <c r="B5" s="8"/>
      <c r="C5" s="1433"/>
      <c r="D5" s="1433"/>
      <c r="E5" s="41" t="s">
        <v>30</v>
      </c>
      <c r="F5" s="1435"/>
      <c r="G5" s="1435"/>
      <c r="H5" s="41" t="s">
        <v>31</v>
      </c>
      <c r="I5" s="1437"/>
      <c r="J5" s="1437"/>
    </row>
    <row r="6" spans="1:10">
      <c r="A6" s="7" t="s">
        <v>2024</v>
      </c>
      <c r="B6" s="8"/>
      <c r="C6" s="1438"/>
      <c r="D6" s="1438"/>
      <c r="E6" s="1438"/>
      <c r="F6" s="380"/>
      <c r="G6" s="380"/>
      <c r="H6" s="379"/>
      <c r="I6" s="381"/>
      <c r="J6" s="381"/>
    </row>
    <row r="7" spans="1:10" ht="22.5" customHeight="1">
      <c r="A7" s="1169" t="s">
        <v>1748</v>
      </c>
      <c r="B7" s="1169"/>
      <c r="C7" s="1169"/>
      <c r="D7" s="1169"/>
      <c r="E7" s="1169"/>
      <c r="F7" s="1169"/>
      <c r="G7" s="1169"/>
      <c r="H7" s="1169"/>
      <c r="I7" s="1169"/>
      <c r="J7" s="1169"/>
    </row>
    <row r="8" spans="1:10" ht="18.75" customHeight="1">
      <c r="A8" s="296" t="s">
        <v>93</v>
      </c>
      <c r="B8" s="1439" t="s">
        <v>94</v>
      </c>
      <c r="C8" s="1440"/>
      <c r="D8" s="1440"/>
      <c r="E8" s="1440"/>
      <c r="F8" s="1440"/>
      <c r="G8" s="1440"/>
      <c r="H8" s="1441"/>
      <c r="I8" s="297" t="s">
        <v>95</v>
      </c>
      <c r="J8" s="298" t="s">
        <v>96</v>
      </c>
    </row>
    <row r="9" spans="1:10" s="4" customFormat="1" ht="12.75" customHeight="1">
      <c r="A9" s="332" t="s">
        <v>97</v>
      </c>
      <c r="B9" s="1431" t="s">
        <v>1735</v>
      </c>
      <c r="C9" s="1431"/>
      <c r="D9" s="1431"/>
      <c r="E9" s="1431"/>
      <c r="F9" s="1431"/>
      <c r="G9" s="1431"/>
      <c r="H9" s="1431"/>
      <c r="I9" s="333"/>
      <c r="J9" s="333"/>
    </row>
    <row r="10" spans="1:10" s="4" customFormat="1" ht="12.75" customHeight="1">
      <c r="A10" s="332" t="s">
        <v>99</v>
      </c>
      <c r="B10" s="1431" t="s">
        <v>100</v>
      </c>
      <c r="C10" s="1431"/>
      <c r="D10" s="1431"/>
      <c r="E10" s="1431"/>
      <c r="F10" s="1431"/>
      <c r="G10" s="1431"/>
      <c r="H10" s="1431"/>
      <c r="I10" s="333"/>
      <c r="J10" s="333"/>
    </row>
    <row r="11" spans="1:10" s="4" customFormat="1" ht="12.75" customHeight="1">
      <c r="A11" s="332" t="s">
        <v>101</v>
      </c>
      <c r="B11" s="1431" t="s">
        <v>1736</v>
      </c>
      <c r="C11" s="1431"/>
      <c r="D11" s="1431"/>
      <c r="E11" s="1431"/>
      <c r="F11" s="1431"/>
      <c r="G11" s="1431"/>
      <c r="H11" s="1431"/>
      <c r="I11" s="333"/>
      <c r="J11" s="333"/>
    </row>
    <row r="12" spans="1:10" s="4" customFormat="1" ht="12.75" customHeight="1">
      <c r="A12" s="332" t="s">
        <v>102</v>
      </c>
      <c r="B12" s="1431" t="s">
        <v>1701</v>
      </c>
      <c r="C12" s="1431"/>
      <c r="D12" s="1431"/>
      <c r="E12" s="1431"/>
      <c r="F12" s="1431"/>
      <c r="G12" s="1431"/>
      <c r="H12" s="1431"/>
      <c r="I12" s="333"/>
      <c r="J12" s="333"/>
    </row>
    <row r="13" spans="1:10" s="4" customFormat="1" ht="12.75" customHeight="1">
      <c r="A13" s="332" t="s">
        <v>103</v>
      </c>
      <c r="B13" s="1431" t="s">
        <v>104</v>
      </c>
      <c r="C13" s="1431"/>
      <c r="D13" s="1431"/>
      <c r="E13" s="1431"/>
      <c r="F13" s="1431"/>
      <c r="G13" s="1431"/>
      <c r="H13" s="1431"/>
      <c r="I13" s="333"/>
      <c r="J13" s="333"/>
    </row>
    <row r="14" spans="1:10" s="4" customFormat="1" ht="12.75" customHeight="1">
      <c r="A14" s="332" t="s">
        <v>1737</v>
      </c>
      <c r="B14" s="1428" t="s">
        <v>1738</v>
      </c>
      <c r="C14" s="1429"/>
      <c r="D14" s="1429"/>
      <c r="E14" s="1429"/>
      <c r="F14" s="1429"/>
      <c r="G14" s="1429"/>
      <c r="H14" s="1430"/>
      <c r="I14" s="333"/>
      <c r="J14" s="333"/>
    </row>
    <row r="15" spans="1:10" s="4" customFormat="1" ht="12.75" customHeight="1">
      <c r="A15" s="332" t="s">
        <v>105</v>
      </c>
      <c r="B15" s="1431" t="s">
        <v>106</v>
      </c>
      <c r="C15" s="1431"/>
      <c r="D15" s="1431"/>
      <c r="E15" s="1431"/>
      <c r="F15" s="1431"/>
      <c r="G15" s="1431"/>
      <c r="H15" s="1431"/>
      <c r="I15" s="333"/>
      <c r="J15" s="333"/>
    </row>
    <row r="16" spans="1:10" s="4" customFormat="1" ht="12.75" customHeight="1">
      <c r="A16" s="332" t="s">
        <v>107</v>
      </c>
      <c r="B16" s="1431" t="s">
        <v>108</v>
      </c>
      <c r="C16" s="1431"/>
      <c r="D16" s="1431"/>
      <c r="E16" s="1431"/>
      <c r="F16" s="1431"/>
      <c r="G16" s="1431"/>
      <c r="H16" s="1431"/>
      <c r="I16" s="333"/>
      <c r="J16" s="333"/>
    </row>
    <row r="17" spans="1:10" s="4" customFormat="1" ht="12.75" customHeight="1">
      <c r="A17" s="332" t="s">
        <v>110</v>
      </c>
      <c r="B17" s="1431" t="s">
        <v>111</v>
      </c>
      <c r="C17" s="1431"/>
      <c r="D17" s="1431"/>
      <c r="E17" s="1431"/>
      <c r="F17" s="1431"/>
      <c r="G17" s="1431"/>
      <c r="H17" s="1431"/>
      <c r="I17" s="333"/>
      <c r="J17" s="333"/>
    </row>
    <row r="18" spans="1:10" s="4" customFormat="1" ht="12.75" customHeight="1">
      <c r="A18" s="332" t="s">
        <v>112</v>
      </c>
      <c r="B18" s="1431" t="s">
        <v>1452</v>
      </c>
      <c r="C18" s="1431"/>
      <c r="D18" s="1431"/>
      <c r="E18" s="1431"/>
      <c r="F18" s="1431"/>
      <c r="G18" s="1431"/>
      <c r="H18" s="1431"/>
      <c r="I18" s="333"/>
      <c r="J18" s="333"/>
    </row>
    <row r="19" spans="1:10" s="4" customFormat="1" ht="12.75" customHeight="1">
      <c r="A19" s="332" t="s">
        <v>114</v>
      </c>
      <c r="B19" s="1431" t="s">
        <v>115</v>
      </c>
      <c r="C19" s="1431"/>
      <c r="D19" s="1431"/>
      <c r="E19" s="1431"/>
      <c r="F19" s="1431"/>
      <c r="G19" s="1431"/>
      <c r="H19" s="1431"/>
      <c r="I19" s="333"/>
      <c r="J19" s="333"/>
    </row>
    <row r="20" spans="1:10" s="4" customFormat="1" ht="12.75" customHeight="1">
      <c r="A20" s="332" t="s">
        <v>116</v>
      </c>
      <c r="B20" s="1431" t="s">
        <v>566</v>
      </c>
      <c r="C20" s="1431"/>
      <c r="D20" s="1431"/>
      <c r="E20" s="1431"/>
      <c r="F20" s="1431"/>
      <c r="G20" s="1431"/>
      <c r="H20" s="1431"/>
      <c r="I20" s="333"/>
      <c r="J20" s="333"/>
    </row>
    <row r="21" spans="1:10" s="4" customFormat="1" ht="12.75" customHeight="1">
      <c r="A21" s="332" t="s">
        <v>117</v>
      </c>
      <c r="B21" s="1431" t="s">
        <v>118</v>
      </c>
      <c r="C21" s="1431"/>
      <c r="D21" s="1431"/>
      <c r="E21" s="1431"/>
      <c r="F21" s="1431"/>
      <c r="G21" s="1431"/>
      <c r="H21" s="1431"/>
      <c r="I21" s="333"/>
      <c r="J21" s="333"/>
    </row>
    <row r="22" spans="1:10" s="4" customFormat="1" ht="12.75" customHeight="1">
      <c r="A22" s="332" t="s">
        <v>1159</v>
      </c>
      <c r="B22" s="1431" t="s">
        <v>109</v>
      </c>
      <c r="C22" s="1431"/>
      <c r="D22" s="1431"/>
      <c r="E22" s="1431"/>
      <c r="F22" s="1431"/>
      <c r="G22" s="1431"/>
      <c r="H22" s="1431"/>
      <c r="I22" s="333"/>
      <c r="J22" s="333"/>
    </row>
    <row r="23" spans="1:10" s="4" customFormat="1" ht="12.75" customHeight="1">
      <c r="A23" s="332" t="s">
        <v>1453</v>
      </c>
      <c r="B23" s="1428" t="s">
        <v>1454</v>
      </c>
      <c r="C23" s="1429"/>
      <c r="D23" s="1429"/>
      <c r="E23" s="1429"/>
      <c r="F23" s="1429"/>
      <c r="G23" s="1429"/>
      <c r="H23" s="1430"/>
      <c r="I23" s="333"/>
      <c r="J23" s="333"/>
    </row>
    <row r="24" spans="1:10" s="4" customFormat="1" ht="12.75" customHeight="1">
      <c r="A24" s="332" t="s">
        <v>1455</v>
      </c>
      <c r="B24" s="334" t="s">
        <v>1456</v>
      </c>
      <c r="C24" s="335"/>
      <c r="D24" s="335"/>
      <c r="E24" s="335"/>
      <c r="F24" s="335"/>
      <c r="G24" s="335"/>
      <c r="H24" s="336"/>
      <c r="I24" s="333"/>
      <c r="J24" s="333"/>
    </row>
    <row r="25" spans="1:10" s="4" customFormat="1" ht="12.75" customHeight="1">
      <c r="A25" s="332" t="s">
        <v>119</v>
      </c>
      <c r="B25" s="1431" t="s">
        <v>120</v>
      </c>
      <c r="C25" s="1431"/>
      <c r="D25" s="1431"/>
      <c r="E25" s="1431"/>
      <c r="F25" s="1431"/>
      <c r="G25" s="1431"/>
      <c r="H25" s="1431"/>
      <c r="I25" s="333"/>
      <c r="J25" s="333"/>
    </row>
    <row r="26" spans="1:10" s="4" customFormat="1" ht="12.75" customHeight="1">
      <c r="A26" s="332" t="s">
        <v>121</v>
      </c>
      <c r="B26" s="1431" t="s">
        <v>122</v>
      </c>
      <c r="C26" s="1431"/>
      <c r="D26" s="1431"/>
      <c r="E26" s="1431"/>
      <c r="F26" s="1431"/>
      <c r="G26" s="1431"/>
      <c r="H26" s="1431"/>
      <c r="I26" s="333"/>
      <c r="J26" s="333"/>
    </row>
    <row r="27" spans="1:10" s="4" customFormat="1" ht="12.75" customHeight="1">
      <c r="A27" s="332" t="s">
        <v>123</v>
      </c>
      <c r="B27" s="1431" t="s">
        <v>124</v>
      </c>
      <c r="C27" s="1431"/>
      <c r="D27" s="1431"/>
      <c r="E27" s="1431"/>
      <c r="F27" s="1431"/>
      <c r="G27" s="1431"/>
      <c r="H27" s="1431"/>
      <c r="I27" s="333"/>
      <c r="J27" s="333"/>
    </row>
    <row r="28" spans="1:10" s="4" customFormat="1" ht="12.75" customHeight="1">
      <c r="A28" s="332" t="s">
        <v>125</v>
      </c>
      <c r="B28" s="1431" t="s">
        <v>1637</v>
      </c>
      <c r="C28" s="1431"/>
      <c r="D28" s="1431"/>
      <c r="E28" s="1431"/>
      <c r="F28" s="1431"/>
      <c r="G28" s="1431"/>
      <c r="H28" s="1431"/>
      <c r="I28" s="333"/>
      <c r="J28" s="333"/>
    </row>
    <row r="29" spans="1:10" s="4" customFormat="1" ht="12.75" customHeight="1">
      <c r="A29" s="332" t="s">
        <v>127</v>
      </c>
      <c r="B29" s="1431" t="s">
        <v>128</v>
      </c>
      <c r="C29" s="1431"/>
      <c r="D29" s="1431"/>
      <c r="E29" s="1431"/>
      <c r="F29" s="1431"/>
      <c r="G29" s="1431"/>
      <c r="H29" s="1431"/>
      <c r="I29" s="333"/>
      <c r="J29" s="333"/>
    </row>
    <row r="30" spans="1:10" s="4" customFormat="1" ht="12.75" customHeight="1">
      <c r="A30" s="332" t="s">
        <v>129</v>
      </c>
      <c r="B30" s="1431" t="s">
        <v>130</v>
      </c>
      <c r="C30" s="1431"/>
      <c r="D30" s="1431"/>
      <c r="E30" s="1431"/>
      <c r="F30" s="1431"/>
      <c r="G30" s="1431"/>
      <c r="H30" s="1431"/>
      <c r="I30" s="333"/>
      <c r="J30" s="333"/>
    </row>
    <row r="31" spans="1:10" s="4" customFormat="1" ht="12.75" customHeight="1">
      <c r="A31" s="332" t="s">
        <v>131</v>
      </c>
      <c r="B31" s="1431" t="s">
        <v>132</v>
      </c>
      <c r="C31" s="1431"/>
      <c r="D31" s="1431"/>
      <c r="E31" s="1431"/>
      <c r="F31" s="1431"/>
      <c r="G31" s="1431"/>
      <c r="H31" s="1431"/>
      <c r="I31" s="333"/>
      <c r="J31" s="333"/>
    </row>
    <row r="32" spans="1:10" s="4" customFormat="1" ht="12.75" customHeight="1">
      <c r="A32" s="332" t="s">
        <v>133</v>
      </c>
      <c r="B32" s="1431" t="s">
        <v>134</v>
      </c>
      <c r="C32" s="1431"/>
      <c r="D32" s="1431"/>
      <c r="E32" s="1431"/>
      <c r="F32" s="1431"/>
      <c r="G32" s="1431"/>
      <c r="H32" s="1431"/>
      <c r="I32" s="333"/>
      <c r="J32" s="333"/>
    </row>
    <row r="33" spans="1:10" s="4" customFormat="1" ht="12.75" customHeight="1">
      <c r="A33" s="332" t="s">
        <v>135</v>
      </c>
      <c r="B33" s="1431" t="s">
        <v>136</v>
      </c>
      <c r="C33" s="1431"/>
      <c r="D33" s="1431"/>
      <c r="E33" s="1431"/>
      <c r="F33" s="1431"/>
      <c r="G33" s="1431"/>
      <c r="H33" s="1431"/>
      <c r="I33" s="333"/>
      <c r="J33" s="333"/>
    </row>
    <row r="34" spans="1:10" s="4" customFormat="1" ht="12.75" customHeight="1">
      <c r="A34" s="332" t="s">
        <v>137</v>
      </c>
      <c r="B34" s="1431" t="s">
        <v>1739</v>
      </c>
      <c r="C34" s="1431"/>
      <c r="D34" s="1431"/>
      <c r="E34" s="1431"/>
      <c r="F34" s="1431"/>
      <c r="G34" s="1431"/>
      <c r="H34" s="1431"/>
      <c r="I34" s="333"/>
      <c r="J34" s="333"/>
    </row>
    <row r="35" spans="1:10" s="4" customFormat="1" ht="12.75" customHeight="1">
      <c r="A35" s="332" t="s">
        <v>138</v>
      </c>
      <c r="B35" s="1431" t="s">
        <v>1740</v>
      </c>
      <c r="C35" s="1431"/>
      <c r="D35" s="1431"/>
      <c r="E35" s="1431"/>
      <c r="F35" s="1431"/>
      <c r="G35" s="1431"/>
      <c r="H35" s="1431"/>
      <c r="I35" s="333"/>
      <c r="J35" s="333"/>
    </row>
    <row r="36" spans="1:10" s="4" customFormat="1" ht="12.75" customHeight="1">
      <c r="A36" s="332" t="s">
        <v>139</v>
      </c>
      <c r="B36" s="1431" t="s">
        <v>140</v>
      </c>
      <c r="C36" s="1431"/>
      <c r="D36" s="1431"/>
      <c r="E36" s="1431"/>
      <c r="F36" s="1431"/>
      <c r="G36" s="1431"/>
      <c r="H36" s="1431"/>
      <c r="I36" s="333"/>
      <c r="J36" s="333"/>
    </row>
    <row r="37" spans="1:10" s="4" customFormat="1" ht="12.75" customHeight="1">
      <c r="A37" s="332" t="s">
        <v>141</v>
      </c>
      <c r="B37" s="1431" t="s">
        <v>142</v>
      </c>
      <c r="C37" s="1431"/>
      <c r="D37" s="1431"/>
      <c r="E37" s="1431"/>
      <c r="F37" s="1431"/>
      <c r="G37" s="1431"/>
      <c r="H37" s="1431"/>
      <c r="I37" s="333"/>
      <c r="J37" s="333"/>
    </row>
    <row r="38" spans="1:10" s="4" customFormat="1" ht="12.75" customHeight="1">
      <c r="A38" s="332" t="s">
        <v>143</v>
      </c>
      <c r="B38" s="1431" t="s">
        <v>144</v>
      </c>
      <c r="C38" s="1431"/>
      <c r="D38" s="1431"/>
      <c r="E38" s="1431"/>
      <c r="F38" s="1431"/>
      <c r="G38" s="1431"/>
      <c r="H38" s="1431"/>
      <c r="I38" s="333"/>
      <c r="J38" s="333"/>
    </row>
    <row r="39" spans="1:10" s="4" customFormat="1" ht="12.75" customHeight="1">
      <c r="A39" s="332" t="s">
        <v>145</v>
      </c>
      <c r="B39" s="1431" t="s">
        <v>146</v>
      </c>
      <c r="C39" s="1431"/>
      <c r="D39" s="1431"/>
      <c r="E39" s="1431"/>
      <c r="F39" s="1431"/>
      <c r="G39" s="1431"/>
      <c r="H39" s="1431"/>
      <c r="I39" s="333"/>
      <c r="J39" s="333"/>
    </row>
    <row r="40" spans="1:10" s="4" customFormat="1" ht="12.75" customHeight="1">
      <c r="A40" s="332" t="s">
        <v>147</v>
      </c>
      <c r="B40" s="1431" t="s">
        <v>148</v>
      </c>
      <c r="C40" s="1431"/>
      <c r="D40" s="1431"/>
      <c r="E40" s="1431"/>
      <c r="F40" s="1431"/>
      <c r="G40" s="1431"/>
      <c r="H40" s="1431"/>
      <c r="I40" s="333"/>
      <c r="J40" s="333"/>
    </row>
    <row r="41" spans="1:10" s="4" customFormat="1" ht="12.75" customHeight="1">
      <c r="A41" s="332" t="s">
        <v>149</v>
      </c>
      <c r="B41" s="1431" t="s">
        <v>150</v>
      </c>
      <c r="C41" s="1431"/>
      <c r="D41" s="1431"/>
      <c r="E41" s="1431"/>
      <c r="F41" s="1431"/>
      <c r="G41" s="1431"/>
      <c r="H41" s="1431"/>
      <c r="I41" s="333"/>
      <c r="J41" s="333"/>
    </row>
    <row r="42" spans="1:10" s="4" customFormat="1" ht="12.75" customHeight="1">
      <c r="A42" s="332" t="s">
        <v>151</v>
      </c>
      <c r="B42" s="1431" t="s">
        <v>152</v>
      </c>
      <c r="C42" s="1431"/>
      <c r="D42" s="1431"/>
      <c r="E42" s="1431"/>
      <c r="F42" s="1431"/>
      <c r="G42" s="1431"/>
      <c r="H42" s="1431"/>
      <c r="I42" s="333"/>
      <c r="J42" s="333"/>
    </row>
    <row r="43" spans="1:10" s="4" customFormat="1" ht="12.75" customHeight="1">
      <c r="A43" s="332" t="s">
        <v>153</v>
      </c>
      <c r="B43" s="1431" t="s">
        <v>154</v>
      </c>
      <c r="C43" s="1431"/>
      <c r="D43" s="1431"/>
      <c r="E43" s="1431"/>
      <c r="F43" s="1431"/>
      <c r="G43" s="1431"/>
      <c r="H43" s="1431"/>
      <c r="I43" s="333"/>
      <c r="J43" s="333"/>
    </row>
    <row r="44" spans="1:10" s="4" customFormat="1" ht="12.75" customHeight="1">
      <c r="A44" s="332" t="s">
        <v>155</v>
      </c>
      <c r="B44" s="1431" t="s">
        <v>156</v>
      </c>
      <c r="C44" s="1431"/>
      <c r="D44" s="1431"/>
      <c r="E44" s="1431"/>
      <c r="F44" s="1431"/>
      <c r="G44" s="1431"/>
      <c r="H44" s="1431"/>
      <c r="I44" s="333"/>
      <c r="J44" s="333"/>
    </row>
    <row r="45" spans="1:10" s="4" customFormat="1" ht="12.75" customHeight="1">
      <c r="A45" s="332" t="s">
        <v>157</v>
      </c>
      <c r="B45" s="1431" t="s">
        <v>158</v>
      </c>
      <c r="C45" s="1431"/>
      <c r="D45" s="1431"/>
      <c r="E45" s="1431"/>
      <c r="F45" s="1431"/>
      <c r="G45" s="1431"/>
      <c r="H45" s="1431"/>
      <c r="I45" s="333"/>
      <c r="J45" s="333"/>
    </row>
    <row r="46" spans="1:10" s="4" customFormat="1" ht="12.75" customHeight="1">
      <c r="A46" s="332" t="s">
        <v>159</v>
      </c>
      <c r="B46" s="1431" t="s">
        <v>160</v>
      </c>
      <c r="C46" s="1431"/>
      <c r="D46" s="1431"/>
      <c r="E46" s="1431"/>
      <c r="F46" s="1431"/>
      <c r="G46" s="1431"/>
      <c r="H46" s="1431"/>
      <c r="I46" s="333"/>
      <c r="J46" s="333"/>
    </row>
    <row r="47" spans="1:10" s="4" customFormat="1" ht="12.75" customHeight="1">
      <c r="A47" s="332" t="s">
        <v>161</v>
      </c>
      <c r="B47" s="1431" t="s">
        <v>162</v>
      </c>
      <c r="C47" s="1431"/>
      <c r="D47" s="1431"/>
      <c r="E47" s="1431"/>
      <c r="F47" s="1431"/>
      <c r="G47" s="1431"/>
      <c r="H47" s="1431"/>
      <c r="I47" s="333"/>
      <c r="J47" s="333"/>
    </row>
    <row r="48" spans="1:10" s="4" customFormat="1" ht="12.75" customHeight="1">
      <c r="A48" s="332" t="s">
        <v>163</v>
      </c>
      <c r="B48" s="1431" t="s">
        <v>164</v>
      </c>
      <c r="C48" s="1431"/>
      <c r="D48" s="1431"/>
      <c r="E48" s="1431"/>
      <c r="F48" s="1431"/>
      <c r="G48" s="1431"/>
      <c r="H48" s="1431"/>
      <c r="I48" s="333"/>
      <c r="J48" s="333"/>
    </row>
    <row r="49" spans="1:10" s="4" customFormat="1" ht="12.75" customHeight="1">
      <c r="A49" s="332" t="s">
        <v>1745</v>
      </c>
      <c r="B49" s="1431" t="s">
        <v>1746</v>
      </c>
      <c r="C49" s="1431"/>
      <c r="D49" s="1431"/>
      <c r="E49" s="1431"/>
      <c r="F49" s="1431"/>
      <c r="G49" s="1431"/>
      <c r="H49" s="1431"/>
      <c r="I49" s="333"/>
      <c r="J49" s="333"/>
    </row>
    <row r="50" spans="1:10" s="4" customFormat="1" ht="12.75" customHeight="1">
      <c r="A50" s="332" t="s">
        <v>166</v>
      </c>
      <c r="B50" s="1431" t="s">
        <v>167</v>
      </c>
      <c r="C50" s="1431"/>
      <c r="D50" s="1431"/>
      <c r="E50" s="1431"/>
      <c r="F50" s="1431"/>
      <c r="G50" s="1431"/>
      <c r="H50" s="1431"/>
      <c r="I50" s="333"/>
      <c r="J50" s="333"/>
    </row>
    <row r="51" spans="1:10" s="4" customFormat="1" ht="12.75" customHeight="1">
      <c r="A51" s="332" t="s">
        <v>168</v>
      </c>
      <c r="B51" s="1431" t="s">
        <v>169</v>
      </c>
      <c r="C51" s="1431"/>
      <c r="D51" s="1431"/>
      <c r="E51" s="1431"/>
      <c r="F51" s="1431"/>
      <c r="G51" s="1431"/>
      <c r="H51" s="1431"/>
      <c r="I51" s="333"/>
      <c r="J51" s="333"/>
    </row>
    <row r="52" spans="1:10" s="5" customFormat="1" ht="12.75" customHeight="1">
      <c r="A52" s="337" t="s">
        <v>170</v>
      </c>
      <c r="B52" s="1434" t="s">
        <v>171</v>
      </c>
      <c r="C52" s="1434"/>
      <c r="D52" s="1434"/>
      <c r="E52" s="1434"/>
      <c r="F52" s="1434"/>
      <c r="G52" s="1434"/>
      <c r="H52" s="1434"/>
      <c r="I52" s="338"/>
      <c r="J52" s="338"/>
    </row>
    <row r="53" spans="1:10" s="4" customFormat="1" ht="12.75" customHeight="1">
      <c r="A53" s="332" t="s">
        <v>172</v>
      </c>
      <c r="B53" s="1431" t="s">
        <v>173</v>
      </c>
      <c r="C53" s="1431"/>
      <c r="D53" s="1431"/>
      <c r="E53" s="1431"/>
      <c r="F53" s="1431"/>
      <c r="G53" s="1431"/>
      <c r="H53" s="1431"/>
      <c r="I53" s="333"/>
      <c r="J53" s="333"/>
    </row>
    <row r="54" spans="1:10" s="4" customFormat="1" ht="12.75" customHeight="1">
      <c r="A54" s="332" t="s">
        <v>174</v>
      </c>
      <c r="B54" s="1431" t="s">
        <v>175</v>
      </c>
      <c r="C54" s="1431"/>
      <c r="D54" s="1431"/>
      <c r="E54" s="1431"/>
      <c r="F54" s="1431"/>
      <c r="G54" s="1431"/>
      <c r="H54" s="1431"/>
      <c r="I54" s="333"/>
      <c r="J54" s="333"/>
    </row>
    <row r="55" spans="1:10" s="4" customFormat="1" ht="12.75" customHeight="1">
      <c r="A55" s="332" t="s">
        <v>176</v>
      </c>
      <c r="B55" s="1431" t="s">
        <v>177</v>
      </c>
      <c r="C55" s="1431"/>
      <c r="D55" s="1431"/>
      <c r="E55" s="1431"/>
      <c r="F55" s="1431"/>
      <c r="G55" s="1431"/>
      <c r="H55" s="1431"/>
      <c r="I55" s="333"/>
      <c r="J55" s="333"/>
    </row>
    <row r="56" spans="1:10" s="4" customFormat="1" ht="12.75" customHeight="1">
      <c r="A56" s="332" t="s">
        <v>178</v>
      </c>
      <c r="B56" s="1431" t="s">
        <v>179</v>
      </c>
      <c r="C56" s="1431"/>
      <c r="D56" s="1431"/>
      <c r="E56" s="1431"/>
      <c r="F56" s="1431"/>
      <c r="G56" s="1431"/>
      <c r="H56" s="1431"/>
      <c r="I56" s="333"/>
      <c r="J56" s="333"/>
    </row>
    <row r="57" spans="1:10" s="4" customFormat="1" ht="12.75" customHeight="1">
      <c r="A57" s="332" t="s">
        <v>180</v>
      </c>
      <c r="B57" s="1431" t="s">
        <v>1747</v>
      </c>
      <c r="C57" s="1431"/>
      <c r="D57" s="1431"/>
      <c r="E57" s="1431"/>
      <c r="F57" s="1431"/>
      <c r="G57" s="1431"/>
      <c r="H57" s="1431"/>
      <c r="I57" s="333"/>
      <c r="J57" s="333"/>
    </row>
    <row r="58" spans="1:10" s="4" customFormat="1" ht="12.75" customHeight="1">
      <c r="A58" s="332" t="s">
        <v>1462</v>
      </c>
      <c r="B58" s="1431" t="s">
        <v>1463</v>
      </c>
      <c r="C58" s="1431"/>
      <c r="D58" s="1431"/>
      <c r="E58" s="1431"/>
      <c r="F58" s="1431"/>
      <c r="G58" s="1431"/>
      <c r="H58" s="1431"/>
      <c r="I58" s="333"/>
      <c r="J58" s="333"/>
    </row>
    <row r="59" spans="1:10" s="4" customFormat="1" ht="12.75" customHeight="1">
      <c r="A59" s="332" t="s">
        <v>1464</v>
      </c>
      <c r="B59" s="1428" t="s">
        <v>2010</v>
      </c>
      <c r="C59" s="1429"/>
      <c r="D59" s="1429"/>
      <c r="E59" s="1429"/>
      <c r="F59" s="1429"/>
      <c r="G59" s="1429"/>
      <c r="H59" s="1430"/>
      <c r="I59" s="333"/>
      <c r="J59" s="333"/>
    </row>
    <row r="60" spans="1:10" s="4" customFormat="1" ht="12.75" customHeight="1">
      <c r="A60" s="332" t="s">
        <v>2338</v>
      </c>
      <c r="B60" s="1428" t="s">
        <v>2340</v>
      </c>
      <c r="C60" s="1429"/>
      <c r="D60" s="1429"/>
      <c r="E60" s="1429"/>
      <c r="F60" s="1429"/>
      <c r="G60" s="1429"/>
      <c r="H60" s="1430"/>
      <c r="I60" s="333"/>
      <c r="J60" s="333"/>
    </row>
    <row r="61" spans="1:10" s="4" customFormat="1" ht="12.75" customHeight="1">
      <c r="A61" s="332" t="s">
        <v>2337</v>
      </c>
      <c r="B61" s="1431" t="s">
        <v>1465</v>
      </c>
      <c r="C61" s="1431"/>
      <c r="D61" s="1431"/>
      <c r="E61" s="1431"/>
      <c r="F61" s="1431"/>
      <c r="G61" s="1431"/>
      <c r="H61" s="1431"/>
      <c r="I61" s="333"/>
      <c r="J61" s="333"/>
    </row>
    <row r="62" spans="1:10" ht="3.75" customHeight="1"/>
    <row r="63" spans="1:10" s="6" customFormat="1" ht="35.25" customHeight="1">
      <c r="A63" s="1432" t="s">
        <v>1545</v>
      </c>
      <c r="B63" s="1432"/>
      <c r="C63" s="1432"/>
      <c r="D63" s="1432"/>
      <c r="E63" s="1432"/>
      <c r="F63" s="1432"/>
      <c r="G63" s="1432"/>
      <c r="H63" s="1432"/>
      <c r="I63" s="1432"/>
      <c r="J63" s="1432"/>
    </row>
    <row r="64" spans="1:10" s="6" customFormat="1" ht="10.5" customHeight="1">
      <c r="A64" s="339" t="s">
        <v>1510</v>
      </c>
      <c r="B64" s="340"/>
      <c r="C64" s="340"/>
      <c r="D64" s="340"/>
      <c r="E64" s="340"/>
      <c r="F64" s="340"/>
      <c r="G64" s="340"/>
      <c r="H64" s="340"/>
      <c r="I64" s="340"/>
      <c r="J64" s="340"/>
    </row>
    <row r="65" spans="1:10" s="6" customFormat="1" ht="14.25" customHeight="1">
      <c r="A65" s="339" t="s">
        <v>182</v>
      </c>
      <c r="B65" s="340"/>
      <c r="C65" s="340"/>
      <c r="D65" s="340"/>
      <c r="E65" s="340"/>
      <c r="F65" s="340"/>
      <c r="G65" s="340"/>
      <c r="H65" s="340"/>
      <c r="I65" s="340"/>
      <c r="J65" s="340"/>
    </row>
  </sheetData>
  <sheetProtection selectLockedCells="1"/>
  <mergeCells count="64">
    <mergeCell ref="B14:H14"/>
    <mergeCell ref="B57:H57"/>
    <mergeCell ref="B58:H58"/>
    <mergeCell ref="B59:H59"/>
    <mergeCell ref="B21:H21"/>
    <mergeCell ref="B25:H25"/>
    <mergeCell ref="B26:H26"/>
    <mergeCell ref="B27:H27"/>
    <mergeCell ref="B28:H28"/>
    <mergeCell ref="B29:H29"/>
    <mergeCell ref="B30:H30"/>
    <mergeCell ref="B31:H31"/>
    <mergeCell ref="B32:H32"/>
    <mergeCell ref="B33:H33"/>
    <mergeCell ref="B34:H34"/>
    <mergeCell ref="B42:H42"/>
    <mergeCell ref="C6:E6"/>
    <mergeCell ref="B23:H23"/>
    <mergeCell ref="B49:H49"/>
    <mergeCell ref="B8:H8"/>
    <mergeCell ref="B9:H9"/>
    <mergeCell ref="B10:H10"/>
    <mergeCell ref="B11:H11"/>
    <mergeCell ref="B12:H12"/>
    <mergeCell ref="B13:H13"/>
    <mergeCell ref="B15:H15"/>
    <mergeCell ref="B16:H16"/>
    <mergeCell ref="B22:H22"/>
    <mergeCell ref="B17:H17"/>
    <mergeCell ref="B18:H18"/>
    <mergeCell ref="B19:H19"/>
    <mergeCell ref="B20:H20"/>
    <mergeCell ref="A1:J1"/>
    <mergeCell ref="I2:J2"/>
    <mergeCell ref="C5:D5"/>
    <mergeCell ref="F5:G5"/>
    <mergeCell ref="I4:J4"/>
    <mergeCell ref="I5:J5"/>
    <mergeCell ref="C3:J3"/>
    <mergeCell ref="B35:H35"/>
    <mergeCell ref="B43:H43"/>
    <mergeCell ref="B44:H44"/>
    <mergeCell ref="B45:H45"/>
    <mergeCell ref="B36:H36"/>
    <mergeCell ref="B37:H37"/>
    <mergeCell ref="B38:H38"/>
    <mergeCell ref="B39:H39"/>
    <mergeCell ref="B40:H40"/>
    <mergeCell ref="B60:H60"/>
    <mergeCell ref="B56:H56"/>
    <mergeCell ref="B61:H61"/>
    <mergeCell ref="A63:J63"/>
    <mergeCell ref="B4:G4"/>
    <mergeCell ref="A7:J7"/>
    <mergeCell ref="B51:H51"/>
    <mergeCell ref="B52:H52"/>
    <mergeCell ref="B53:H53"/>
    <mergeCell ref="B54:H54"/>
    <mergeCell ref="B55:H55"/>
    <mergeCell ref="B46:H46"/>
    <mergeCell ref="B47:H47"/>
    <mergeCell ref="B48:H48"/>
    <mergeCell ref="B50:H50"/>
    <mergeCell ref="B41:H41"/>
  </mergeCells>
  <printOptions horizontalCentered="1"/>
  <pageMargins left="0.19685039370078741" right="0.31496062992125984" top="0.35433070866141736" bottom="0.35433070866141736" header="0.31496062992125984" footer="0.31496062992125984"/>
  <pageSetup paperSize="9" scale="85"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5">
    <pageSetUpPr fitToPage="1"/>
  </sheetPr>
  <dimension ref="A1:I53"/>
  <sheetViews>
    <sheetView showGridLines="0" workbookViewId="0">
      <selection activeCell="H11" sqref="H11"/>
    </sheetView>
  </sheetViews>
  <sheetFormatPr baseColWidth="10" defaultColWidth="11.453125" defaultRowHeight="10.5"/>
  <cols>
    <col min="1" max="1" width="8.81640625" style="3" customWidth="1"/>
    <col min="2" max="2" width="20.54296875" style="3" customWidth="1"/>
    <col min="3" max="3" width="8.453125" style="3" customWidth="1"/>
    <col min="4" max="4" width="10.453125" style="3" customWidth="1"/>
    <col min="5" max="5" width="6.81640625" style="3" customWidth="1"/>
    <col min="6" max="9" width="15.54296875" style="3" customWidth="1"/>
    <col min="10" max="16384" width="11.453125" style="3"/>
  </cols>
  <sheetData>
    <row r="1" spans="1:9" ht="12.5">
      <c r="A1" s="1134" t="s">
        <v>183</v>
      </c>
      <c r="B1" s="1134"/>
      <c r="C1" s="1134"/>
      <c r="D1" s="1134"/>
      <c r="E1" s="1134"/>
      <c r="F1" s="1134"/>
      <c r="G1" s="1134"/>
      <c r="H1" s="1134"/>
      <c r="I1" s="1134"/>
    </row>
    <row r="2" spans="1:9" ht="25" customHeight="1">
      <c r="A2" s="40"/>
      <c r="B2" s="40"/>
      <c r="C2" s="40"/>
      <c r="D2" s="40"/>
      <c r="E2" s="40"/>
      <c r="F2" s="40"/>
      <c r="G2" s="40"/>
      <c r="H2" s="1135" t="s">
        <v>1638</v>
      </c>
      <c r="I2" s="1460"/>
    </row>
    <row r="3" spans="1:9" s="127" customFormat="1" ht="15.75" customHeight="1">
      <c r="A3" s="7" t="s">
        <v>26</v>
      </c>
      <c r="B3" s="7"/>
      <c r="C3" s="1221">
        <f>'FICHE R4'!C3</f>
        <v>0</v>
      </c>
      <c r="D3" s="1221"/>
      <c r="E3" s="1221"/>
      <c r="F3" s="1221"/>
      <c r="G3" s="1221"/>
      <c r="H3" s="1221"/>
      <c r="I3" s="1221"/>
    </row>
    <row r="4" spans="1:9" s="127" customFormat="1" ht="15.75" customHeight="1">
      <c r="A4" s="7" t="s">
        <v>27</v>
      </c>
      <c r="B4" s="1221">
        <f>'FICHE R4'!B4</f>
        <v>0</v>
      </c>
      <c r="C4" s="1221"/>
      <c r="D4" s="1223"/>
      <c r="E4" s="1223"/>
      <c r="F4" s="1223"/>
      <c r="G4" s="1223"/>
      <c r="H4" s="61" t="s">
        <v>28</v>
      </c>
      <c r="I4" s="44">
        <f>'FICHE R4'!I4</f>
        <v>0</v>
      </c>
    </row>
    <row r="5" spans="1:9" s="127" customFormat="1" ht="15.75" customHeight="1">
      <c r="A5" s="7" t="s">
        <v>2018</v>
      </c>
      <c r="B5" s="7"/>
      <c r="C5" s="1223">
        <f>'FICHE R4'!C5</f>
        <v>0</v>
      </c>
      <c r="D5" s="1223"/>
      <c r="E5" s="1223"/>
      <c r="F5" s="43" t="s">
        <v>30</v>
      </c>
      <c r="G5" s="44">
        <f>'FICHE R4'!F5</f>
        <v>0</v>
      </c>
      <c r="H5" s="61" t="s">
        <v>31</v>
      </c>
      <c r="I5" s="111">
        <f>'FICHE R4'!I5</f>
        <v>0</v>
      </c>
    </row>
    <row r="6" spans="1:9" s="127" customFormat="1" ht="15.75" customHeight="1">
      <c r="A6" s="7" t="s">
        <v>2026</v>
      </c>
      <c r="B6" s="7"/>
      <c r="C6" s="1461">
        <f>'FICHE R4'!C6</f>
        <v>0</v>
      </c>
      <c r="D6" s="1461"/>
      <c r="E6" s="1461"/>
      <c r="F6" s="262"/>
      <c r="G6" s="59"/>
      <c r="H6" s="263"/>
      <c r="I6" s="44"/>
    </row>
    <row r="7" spans="1:9" ht="35.15" customHeight="1" thickBot="1">
      <c r="A7" s="1169" t="s">
        <v>1749</v>
      </c>
      <c r="B7" s="1169"/>
      <c r="C7" s="1169"/>
      <c r="D7" s="1169"/>
      <c r="E7" s="1169"/>
      <c r="F7" s="1169"/>
      <c r="G7" s="1169"/>
      <c r="H7" s="1169"/>
      <c r="I7" s="1169"/>
    </row>
    <row r="8" spans="1:9" ht="18.75" customHeight="1">
      <c r="A8" s="1466" t="s">
        <v>311</v>
      </c>
      <c r="B8" s="1151"/>
      <c r="C8" s="1151"/>
      <c r="D8" s="1467"/>
      <c r="E8" s="1471" t="s">
        <v>450</v>
      </c>
      <c r="F8" s="1471" t="s">
        <v>1751</v>
      </c>
      <c r="G8" s="1463" t="s">
        <v>1750</v>
      </c>
      <c r="H8" s="1464"/>
      <c r="I8" s="1465"/>
    </row>
    <row r="9" spans="1:9" ht="18" customHeight="1">
      <c r="A9" s="1468"/>
      <c r="B9" s="1469"/>
      <c r="C9" s="1469"/>
      <c r="D9" s="1470"/>
      <c r="E9" s="1472"/>
      <c r="F9" s="1472"/>
      <c r="G9" s="299" t="s">
        <v>451</v>
      </c>
      <c r="H9" s="299" t="s">
        <v>452</v>
      </c>
      <c r="I9" s="828" t="s">
        <v>1121</v>
      </c>
    </row>
    <row r="10" spans="1:9" ht="16" customHeight="1">
      <c r="A10" s="1454" t="s">
        <v>1752</v>
      </c>
      <c r="B10" s="1455"/>
      <c r="C10" s="1455"/>
      <c r="D10" s="1455"/>
      <c r="E10" s="430">
        <v>16</v>
      </c>
      <c r="F10" s="109"/>
      <c r="G10" s="109"/>
      <c r="H10" s="109"/>
      <c r="I10" s="829"/>
    </row>
    <row r="11" spans="1:9" ht="16" customHeight="1">
      <c r="A11" s="1442" t="s">
        <v>453</v>
      </c>
      <c r="B11" s="1443"/>
      <c r="C11" s="1443"/>
      <c r="D11" s="1443"/>
      <c r="E11" s="125"/>
      <c r="F11" s="126"/>
      <c r="G11" s="126"/>
      <c r="H11" s="126"/>
      <c r="I11" s="830"/>
    </row>
    <row r="12" spans="1:9" ht="16" customHeight="1">
      <c r="A12" s="1442" t="s">
        <v>454</v>
      </c>
      <c r="B12" s="1443"/>
      <c r="C12" s="1443"/>
      <c r="D12" s="1443"/>
      <c r="E12" s="125"/>
      <c r="F12" s="126"/>
      <c r="G12" s="126"/>
      <c r="H12" s="126"/>
      <c r="I12" s="830"/>
    </row>
    <row r="13" spans="1:9" ht="16" customHeight="1">
      <c r="A13" s="1442" t="s">
        <v>455</v>
      </c>
      <c r="B13" s="1443"/>
      <c r="C13" s="1443"/>
      <c r="D13" s="1443"/>
      <c r="E13" s="125"/>
      <c r="F13" s="126"/>
      <c r="G13" s="126"/>
      <c r="H13" s="126"/>
      <c r="I13" s="830"/>
    </row>
    <row r="14" spans="1:9" ht="16" customHeight="1">
      <c r="A14" s="1442" t="s">
        <v>456</v>
      </c>
      <c r="B14" s="1443"/>
      <c r="C14" s="1443"/>
      <c r="D14" s="1443"/>
      <c r="E14" s="125"/>
      <c r="F14" s="126"/>
      <c r="G14" s="126"/>
      <c r="H14" s="126"/>
      <c r="I14" s="830"/>
    </row>
    <row r="15" spans="1:9" ht="16" customHeight="1">
      <c r="A15" s="1456" t="s">
        <v>457</v>
      </c>
      <c r="B15" s="1457"/>
      <c r="C15" s="1457"/>
      <c r="D15" s="1457"/>
      <c r="E15" s="431"/>
      <c r="F15" s="124">
        <f>SUM(F11:F14)</f>
        <v>0</v>
      </c>
      <c r="G15" s="577"/>
      <c r="H15" s="577"/>
      <c r="I15" s="831"/>
    </row>
    <row r="16" spans="1:9" ht="16" customHeight="1">
      <c r="A16" s="1454" t="s">
        <v>1119</v>
      </c>
      <c r="B16" s="1455"/>
      <c r="C16" s="1455"/>
      <c r="D16" s="1455"/>
      <c r="E16" s="430">
        <v>16</v>
      </c>
      <c r="F16" s="109"/>
      <c r="G16" s="109"/>
      <c r="H16" s="109"/>
      <c r="I16" s="829"/>
    </row>
    <row r="17" spans="1:9" ht="16" customHeight="1">
      <c r="A17" s="1442" t="s">
        <v>458</v>
      </c>
      <c r="B17" s="1443"/>
      <c r="C17" s="1443"/>
      <c r="D17" s="1443"/>
      <c r="E17" s="125"/>
      <c r="F17" s="126"/>
      <c r="G17" s="126"/>
      <c r="H17" s="126"/>
      <c r="I17" s="830"/>
    </row>
    <row r="18" spans="1:9" ht="16" customHeight="1">
      <c r="A18" s="1442" t="s">
        <v>459</v>
      </c>
      <c r="B18" s="1443"/>
      <c r="C18" s="1443"/>
      <c r="D18" s="1443"/>
      <c r="E18" s="125"/>
      <c r="F18" s="126"/>
      <c r="G18" s="126"/>
      <c r="H18" s="126"/>
      <c r="I18" s="830"/>
    </row>
    <row r="19" spans="1:9" ht="16" customHeight="1">
      <c r="A19" s="1442" t="s">
        <v>460</v>
      </c>
      <c r="B19" s="1443"/>
      <c r="C19" s="1443"/>
      <c r="D19" s="1443"/>
      <c r="E19" s="125"/>
      <c r="F19" s="126"/>
      <c r="G19" s="126"/>
      <c r="H19" s="126"/>
      <c r="I19" s="830"/>
    </row>
    <row r="20" spans="1:9" ht="16" customHeight="1">
      <c r="A20" s="1442" t="s">
        <v>1753</v>
      </c>
      <c r="B20" s="1443"/>
      <c r="C20" s="1443"/>
      <c r="D20" s="1443"/>
      <c r="E20" s="125"/>
      <c r="F20" s="126"/>
      <c r="G20" s="126"/>
      <c r="H20" s="126"/>
      <c r="I20" s="830"/>
    </row>
    <row r="21" spans="1:9" ht="16" customHeight="1">
      <c r="A21" s="1456" t="s">
        <v>461</v>
      </c>
      <c r="B21" s="1457"/>
      <c r="C21" s="1457"/>
      <c r="D21" s="1457"/>
      <c r="E21" s="431"/>
      <c r="F21" s="124">
        <f>SUM(F17:F20)</f>
        <v>0</v>
      </c>
      <c r="G21" s="577"/>
      <c r="H21" s="577"/>
      <c r="I21" s="831"/>
    </row>
    <row r="22" spans="1:9" ht="16" customHeight="1">
      <c r="A22" s="1454" t="s">
        <v>1120</v>
      </c>
      <c r="B22" s="1455"/>
      <c r="C22" s="1455"/>
      <c r="D22" s="1455"/>
      <c r="E22" s="430"/>
      <c r="F22" s="109"/>
      <c r="G22" s="109"/>
      <c r="H22" s="109"/>
      <c r="I22" s="829"/>
    </row>
    <row r="23" spans="1:9" ht="16" customHeight="1">
      <c r="A23" s="1442" t="s">
        <v>462</v>
      </c>
      <c r="B23" s="1443"/>
      <c r="C23" s="1443"/>
      <c r="D23" s="1443"/>
      <c r="E23" s="125">
        <v>17</v>
      </c>
      <c r="F23" s="126"/>
      <c r="G23" s="126"/>
      <c r="H23" s="126"/>
      <c r="I23" s="830"/>
    </row>
    <row r="24" spans="1:9" ht="16" customHeight="1">
      <c r="A24" s="1442" t="s">
        <v>275</v>
      </c>
      <c r="B24" s="1443"/>
      <c r="C24" s="1443"/>
      <c r="D24" s="1443"/>
      <c r="E24" s="125">
        <v>7</v>
      </c>
      <c r="F24" s="126"/>
      <c r="G24" s="126"/>
      <c r="H24" s="126"/>
      <c r="I24" s="830"/>
    </row>
    <row r="25" spans="1:9" ht="16" customHeight="1">
      <c r="A25" s="1442" t="s">
        <v>463</v>
      </c>
      <c r="B25" s="1443"/>
      <c r="C25" s="1443"/>
      <c r="D25" s="1443"/>
      <c r="E25" s="125">
        <v>18</v>
      </c>
      <c r="F25" s="126"/>
      <c r="G25" s="126"/>
      <c r="H25" s="126"/>
      <c r="I25" s="830"/>
    </row>
    <row r="26" spans="1:9" ht="16" customHeight="1">
      <c r="A26" s="1442" t="s">
        <v>464</v>
      </c>
      <c r="B26" s="1443"/>
      <c r="C26" s="1443"/>
      <c r="D26" s="1443"/>
      <c r="E26" s="125">
        <v>18</v>
      </c>
      <c r="F26" s="126"/>
      <c r="G26" s="126"/>
      <c r="H26" s="126"/>
      <c r="I26" s="830"/>
    </row>
    <row r="27" spans="1:9" ht="16" customHeight="1">
      <c r="A27" s="1442" t="s">
        <v>465</v>
      </c>
      <c r="B27" s="1443"/>
      <c r="C27" s="1443"/>
      <c r="D27" s="1443"/>
      <c r="E27" s="125">
        <v>18</v>
      </c>
      <c r="F27" s="126"/>
      <c r="G27" s="126"/>
      <c r="H27" s="126"/>
      <c r="I27" s="830"/>
    </row>
    <row r="28" spans="1:9" ht="16" customHeight="1">
      <c r="A28" s="1442" t="s">
        <v>466</v>
      </c>
      <c r="B28" s="1443"/>
      <c r="C28" s="1443"/>
      <c r="D28" s="1443"/>
      <c r="E28" s="125">
        <v>19</v>
      </c>
      <c r="F28" s="126"/>
      <c r="G28" s="126"/>
      <c r="H28" s="126"/>
      <c r="I28" s="830"/>
    </row>
    <row r="29" spans="1:9" ht="16" customHeight="1">
      <c r="A29" s="1442" t="s">
        <v>467</v>
      </c>
      <c r="B29" s="1443"/>
      <c r="C29" s="1443"/>
      <c r="D29" s="1443"/>
      <c r="E29" s="125">
        <v>19</v>
      </c>
      <c r="F29" s="126"/>
      <c r="G29" s="126"/>
      <c r="H29" s="126"/>
      <c r="I29" s="830"/>
    </row>
    <row r="30" spans="1:9" ht="16" customHeight="1">
      <c r="A30" s="1442" t="s">
        <v>468</v>
      </c>
      <c r="B30" s="1443"/>
      <c r="C30" s="1443"/>
      <c r="D30" s="1443"/>
      <c r="E30" s="125">
        <v>19</v>
      </c>
      <c r="F30" s="126"/>
      <c r="G30" s="126"/>
      <c r="H30" s="126"/>
      <c r="I30" s="830"/>
    </row>
    <row r="31" spans="1:9" ht="16" customHeight="1">
      <c r="A31" s="1456" t="s">
        <v>469</v>
      </c>
      <c r="B31" s="1457"/>
      <c r="C31" s="1457"/>
      <c r="D31" s="1457"/>
      <c r="E31" s="431"/>
      <c r="F31" s="124">
        <f>SUM(F23:F30)</f>
        <v>0</v>
      </c>
      <c r="G31" s="577"/>
      <c r="H31" s="577"/>
      <c r="I31" s="831"/>
    </row>
    <row r="32" spans="1:9" ht="16" customHeight="1">
      <c r="A32" s="1458" t="s">
        <v>470</v>
      </c>
      <c r="B32" s="1459"/>
      <c r="C32" s="1459"/>
      <c r="D32" s="1459"/>
      <c r="E32" s="432"/>
      <c r="F32" s="356">
        <f>F15+F21+F31</f>
        <v>0</v>
      </c>
      <c r="G32" s="577"/>
      <c r="H32" s="577"/>
      <c r="I32" s="831"/>
    </row>
    <row r="33" spans="1:9" ht="25.5" customHeight="1">
      <c r="A33" s="1451" t="s">
        <v>471</v>
      </c>
      <c r="B33" s="1452"/>
      <c r="C33" s="1452"/>
      <c r="D33" s="1452"/>
      <c r="E33" s="1452"/>
      <c r="F33" s="1453"/>
      <c r="G33" s="428" t="s">
        <v>1718</v>
      </c>
      <c r="H33" s="428" t="s">
        <v>472</v>
      </c>
      <c r="I33" s="832" t="s">
        <v>473</v>
      </c>
    </row>
    <row r="34" spans="1:9" ht="16" customHeight="1">
      <c r="A34" s="1442" t="s">
        <v>474</v>
      </c>
      <c r="B34" s="1443"/>
      <c r="C34" s="1443"/>
      <c r="D34" s="1443"/>
      <c r="E34" s="1443"/>
      <c r="F34" s="1444"/>
      <c r="G34" s="64"/>
      <c r="H34" s="126"/>
      <c r="I34" s="830"/>
    </row>
    <row r="35" spans="1:9" ht="16" customHeight="1">
      <c r="A35" s="1442" t="s">
        <v>1754</v>
      </c>
      <c r="B35" s="1443"/>
      <c r="C35" s="1443"/>
      <c r="D35" s="1443"/>
      <c r="E35" s="1443"/>
      <c r="F35" s="1444"/>
      <c r="G35" s="64"/>
      <c r="H35" s="126"/>
      <c r="I35" s="830"/>
    </row>
    <row r="36" spans="1:9" ht="16" customHeight="1">
      <c r="A36" s="1442" t="s">
        <v>475</v>
      </c>
      <c r="B36" s="1443"/>
      <c r="C36" s="1443"/>
      <c r="D36" s="1443"/>
      <c r="E36" s="1443"/>
      <c r="F36" s="1444"/>
      <c r="G36" s="64"/>
      <c r="H36" s="126"/>
      <c r="I36" s="830"/>
    </row>
    <row r="37" spans="1:9" ht="16" customHeight="1">
      <c r="A37" s="1442" t="s">
        <v>476</v>
      </c>
      <c r="B37" s="1443"/>
      <c r="C37" s="1443"/>
      <c r="D37" s="1443"/>
      <c r="E37" s="1443"/>
      <c r="F37" s="1444"/>
      <c r="G37" s="64"/>
      <c r="H37" s="126"/>
      <c r="I37" s="830"/>
    </row>
    <row r="38" spans="1:9" ht="16" customHeight="1">
      <c r="A38" s="1442" t="s">
        <v>477</v>
      </c>
      <c r="B38" s="1443"/>
      <c r="C38" s="1443"/>
      <c r="D38" s="1443"/>
      <c r="E38" s="1443"/>
      <c r="F38" s="1444"/>
      <c r="G38" s="64"/>
      <c r="H38" s="126"/>
      <c r="I38" s="830"/>
    </row>
    <row r="39" spans="1:9" ht="16" customHeight="1">
      <c r="A39" s="1442" t="s">
        <v>478</v>
      </c>
      <c r="B39" s="1443"/>
      <c r="C39" s="1443"/>
      <c r="D39" s="1443"/>
      <c r="E39" s="1443"/>
      <c r="F39" s="1444"/>
      <c r="G39" s="64"/>
      <c r="H39" s="126"/>
      <c r="I39" s="830"/>
    </row>
    <row r="40" spans="1:9" ht="16" customHeight="1">
      <c r="A40" s="1442" t="s">
        <v>479</v>
      </c>
      <c r="B40" s="1443"/>
      <c r="C40" s="1443"/>
      <c r="D40" s="1443"/>
      <c r="E40" s="1443"/>
      <c r="F40" s="1444"/>
      <c r="G40" s="64"/>
      <c r="H40" s="126"/>
      <c r="I40" s="830"/>
    </row>
    <row r="41" spans="1:9" ht="16" customHeight="1">
      <c r="A41" s="1448" t="s">
        <v>1755</v>
      </c>
      <c r="B41" s="1449"/>
      <c r="C41" s="1449"/>
      <c r="D41" s="1449"/>
      <c r="E41" s="1449"/>
      <c r="F41" s="1450"/>
      <c r="G41" s="64"/>
      <c r="H41" s="126"/>
      <c r="I41" s="830"/>
    </row>
    <row r="42" spans="1:9" ht="16" customHeight="1">
      <c r="A42" s="1448" t="s">
        <v>1756</v>
      </c>
      <c r="B42" s="1449"/>
      <c r="C42" s="1449"/>
      <c r="D42" s="1449"/>
      <c r="E42" s="1449"/>
      <c r="F42" s="1450"/>
      <c r="G42" s="64"/>
      <c r="H42" s="126"/>
      <c r="I42" s="830"/>
    </row>
    <row r="43" spans="1:9" ht="16" customHeight="1">
      <c r="A43" s="1448" t="s">
        <v>1757</v>
      </c>
      <c r="B43" s="1449"/>
      <c r="C43" s="1449"/>
      <c r="D43" s="1449"/>
      <c r="E43" s="1449"/>
      <c r="F43" s="1450"/>
      <c r="G43" s="64"/>
      <c r="H43" s="126"/>
      <c r="I43" s="830"/>
    </row>
    <row r="44" spans="1:9" ht="16" customHeight="1">
      <c r="A44" s="1448" t="s">
        <v>1758</v>
      </c>
      <c r="B44" s="1449"/>
      <c r="C44" s="1449"/>
      <c r="D44" s="1449"/>
      <c r="E44" s="1449"/>
      <c r="F44" s="1450"/>
      <c r="G44" s="64"/>
      <c r="H44" s="126"/>
      <c r="I44" s="830"/>
    </row>
    <row r="45" spans="1:9" ht="16" customHeight="1" thickBot="1">
      <c r="A45" s="1445" t="s">
        <v>480</v>
      </c>
      <c r="B45" s="1446"/>
      <c r="C45" s="1446"/>
      <c r="D45" s="1446"/>
      <c r="E45" s="1446"/>
      <c r="F45" s="1447"/>
      <c r="G45" s="833">
        <f>SUM(G34:G44)</f>
        <v>0</v>
      </c>
      <c r="H45" s="834">
        <f>SUM(H34:H40)</f>
        <v>0</v>
      </c>
      <c r="I45" s="835">
        <f>SUM(I34:I40)</f>
        <v>0</v>
      </c>
    </row>
    <row r="46" spans="1:9">
      <c r="A46" s="1462" t="s">
        <v>1759</v>
      </c>
      <c r="B46" s="1462"/>
      <c r="C46" s="1462"/>
      <c r="D46" s="1462"/>
      <c r="E46" s="1462"/>
      <c r="F46" s="1462"/>
      <c r="G46" s="1462"/>
      <c r="H46" s="1462"/>
      <c r="I46" s="1462"/>
    </row>
    <row r="47" spans="1:9">
      <c r="A47" s="1462" t="s">
        <v>1760</v>
      </c>
      <c r="B47" s="1462"/>
      <c r="C47" s="1462"/>
      <c r="D47" s="1462"/>
      <c r="E47" s="1462"/>
      <c r="F47" s="1462"/>
      <c r="G47" s="1462"/>
      <c r="H47" s="1462"/>
      <c r="I47" s="1462"/>
    </row>
    <row r="48" spans="1:9">
      <c r="A48" s="58" t="s">
        <v>1766</v>
      </c>
      <c r="B48" s="58"/>
      <c r="C48" s="58"/>
      <c r="D48" s="58"/>
      <c r="E48" s="58"/>
      <c r="F48" s="58"/>
      <c r="G48" s="58"/>
      <c r="H48" s="58"/>
      <c r="I48" s="58"/>
    </row>
    <row r="49" spans="1:9">
      <c r="A49" s="58" t="s">
        <v>1761</v>
      </c>
      <c r="B49" s="58"/>
      <c r="C49" s="58"/>
      <c r="D49" s="58"/>
      <c r="E49" s="58"/>
      <c r="F49" s="58"/>
      <c r="G49" s="58"/>
      <c r="H49" s="58"/>
      <c r="I49" s="58"/>
    </row>
    <row r="50" spans="1:9">
      <c r="A50" s="58" t="s">
        <v>1762</v>
      </c>
      <c r="B50" s="58"/>
      <c r="C50" s="58"/>
      <c r="D50" s="58"/>
      <c r="E50" s="58"/>
      <c r="F50" s="58"/>
      <c r="G50" s="58"/>
      <c r="H50" s="58"/>
      <c r="I50" s="58"/>
    </row>
    <row r="51" spans="1:9">
      <c r="A51" s="58" t="s">
        <v>1763</v>
      </c>
      <c r="B51" s="58"/>
      <c r="C51" s="58"/>
      <c r="D51" s="58"/>
      <c r="E51" s="58"/>
      <c r="F51" s="58"/>
      <c r="G51" s="58"/>
      <c r="H51" s="58"/>
      <c r="I51" s="58"/>
    </row>
    <row r="52" spans="1:9">
      <c r="A52" s="58" t="s">
        <v>1764</v>
      </c>
      <c r="B52" s="58"/>
      <c r="C52" s="58"/>
      <c r="D52" s="58"/>
      <c r="E52" s="58"/>
      <c r="F52" s="58"/>
      <c r="G52" s="58"/>
      <c r="H52" s="58"/>
      <c r="I52" s="58"/>
    </row>
    <row r="53" spans="1:9">
      <c r="A53" s="58" t="s">
        <v>1765</v>
      </c>
      <c r="B53" s="58"/>
      <c r="C53" s="58"/>
      <c r="D53" s="58"/>
      <c r="E53" s="58"/>
      <c r="F53" s="58"/>
      <c r="G53" s="58"/>
      <c r="H53" s="58"/>
      <c r="I53" s="58"/>
    </row>
  </sheetData>
  <sheetProtection selectLockedCells="1"/>
  <mergeCells count="49">
    <mergeCell ref="A46:I46"/>
    <mergeCell ref="A47:I47"/>
    <mergeCell ref="G8:I8"/>
    <mergeCell ref="A8:D9"/>
    <mergeCell ref="E8:E9"/>
    <mergeCell ref="F8:F9"/>
    <mergeCell ref="A21:D21"/>
    <mergeCell ref="A10:D10"/>
    <mergeCell ref="A11:D11"/>
    <mergeCell ref="A12:D12"/>
    <mergeCell ref="A13:D13"/>
    <mergeCell ref="A14:D14"/>
    <mergeCell ref="A15:D15"/>
    <mergeCell ref="A16:D16"/>
    <mergeCell ref="A17:D17"/>
    <mergeCell ref="A18:D18"/>
    <mergeCell ref="A19:D19"/>
    <mergeCell ref="A20:D20"/>
    <mergeCell ref="A7:I7"/>
    <mergeCell ref="A1:I1"/>
    <mergeCell ref="H2:I2"/>
    <mergeCell ref="B4:G4"/>
    <mergeCell ref="C5:E5"/>
    <mergeCell ref="C3:I3"/>
    <mergeCell ref="C6:E6"/>
    <mergeCell ref="A33:F33"/>
    <mergeCell ref="A22:D22"/>
    <mergeCell ref="A23:D23"/>
    <mergeCell ref="A24:D24"/>
    <mergeCell ref="A25:D25"/>
    <mergeCell ref="A26:D26"/>
    <mergeCell ref="A27:D27"/>
    <mergeCell ref="A28:D28"/>
    <mergeCell ref="A29:D29"/>
    <mergeCell ref="A30:D30"/>
    <mergeCell ref="A31:D31"/>
    <mergeCell ref="A32:D32"/>
    <mergeCell ref="A40:F40"/>
    <mergeCell ref="A45:F45"/>
    <mergeCell ref="A34:F34"/>
    <mergeCell ref="A35:F35"/>
    <mergeCell ref="A36:F36"/>
    <mergeCell ref="A37:F37"/>
    <mergeCell ref="A38:F38"/>
    <mergeCell ref="A39:F39"/>
    <mergeCell ref="A41:F41"/>
    <mergeCell ref="A42:F42"/>
    <mergeCell ref="A43:F43"/>
    <mergeCell ref="A44:F44"/>
  </mergeCells>
  <dataValidations count="1">
    <dataValidation type="whole" allowBlank="1" showInputMessage="1" showErrorMessage="1" errorTitle="Attention !" error="Valeur numérique attendue" sqref="F10:I14 F16:I20 F22:I30 H34:I44" xr:uid="{00000000-0002-0000-0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6">
    <pageSetUpPr fitToPage="1"/>
  </sheetPr>
  <dimension ref="A1:I20"/>
  <sheetViews>
    <sheetView showGridLines="0" topLeftCell="A12" workbookViewId="0">
      <selection activeCell="A15" sqref="A8:I15"/>
    </sheetView>
  </sheetViews>
  <sheetFormatPr baseColWidth="10" defaultRowHeight="14.5"/>
  <cols>
    <col min="2" max="2" width="16.54296875" customWidth="1"/>
    <col min="3" max="3" width="7" customWidth="1"/>
    <col min="4" max="4" width="5.54296875" customWidth="1"/>
    <col min="5" max="5" width="5.81640625" customWidth="1"/>
    <col min="6" max="7" width="13.54296875" customWidth="1"/>
    <col min="8" max="8" width="17.8164062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1639</v>
      </c>
      <c r="I2" s="1460"/>
    </row>
    <row r="3" spans="1:9" s="127" customFormat="1" ht="15" customHeight="1">
      <c r="A3" s="7" t="s">
        <v>26</v>
      </c>
      <c r="B3" s="373"/>
      <c r="C3" s="1221">
        <f>'NOTE 1'!C3</f>
        <v>0</v>
      </c>
      <c r="D3" s="1221"/>
      <c r="E3" s="1221"/>
      <c r="F3" s="1221"/>
      <c r="G3" s="1221"/>
      <c r="H3" s="1221"/>
      <c r="I3" s="1221"/>
    </row>
    <row r="4" spans="1:9" s="127" customFormat="1" ht="15" customHeight="1">
      <c r="A4" s="7" t="s">
        <v>27</v>
      </c>
      <c r="B4" s="1223">
        <f>'NOTE 1'!B4</f>
        <v>0</v>
      </c>
      <c r="C4" s="1223"/>
      <c r="D4" s="1223"/>
      <c r="E4" s="1223"/>
      <c r="F4" s="1223"/>
      <c r="G4" s="1223"/>
      <c r="H4" s="61" t="s">
        <v>28</v>
      </c>
      <c r="I4" s="44">
        <f>'NOTE 1'!I4</f>
        <v>0</v>
      </c>
    </row>
    <row r="5" spans="1:9" s="127" customFormat="1" ht="15" customHeight="1">
      <c r="A5" s="7" t="s">
        <v>2018</v>
      </c>
      <c r="B5" s="7"/>
      <c r="C5" s="1223">
        <f>'NOTE 1'!C5</f>
        <v>0</v>
      </c>
      <c r="D5" s="1223"/>
      <c r="E5" s="1223"/>
      <c r="F5" s="43" t="s">
        <v>30</v>
      </c>
      <c r="G5" s="44">
        <f>'NOTE 1'!G5</f>
        <v>0</v>
      </c>
      <c r="H5" s="61" t="s">
        <v>31</v>
      </c>
      <c r="I5" s="111">
        <f>'NOTE 1'!I5</f>
        <v>0</v>
      </c>
    </row>
    <row r="6" spans="1:9" s="127" customFormat="1" ht="15" customHeight="1">
      <c r="A6" s="7" t="s">
        <v>2026</v>
      </c>
      <c r="B6" s="7"/>
      <c r="C6" s="1461">
        <f>'NOTE 1'!C6</f>
        <v>0</v>
      </c>
      <c r="D6" s="1461"/>
      <c r="E6" s="1461"/>
      <c r="F6" s="262"/>
      <c r="G6" s="44"/>
      <c r="H6" s="263"/>
      <c r="I6" s="44"/>
    </row>
    <row r="7" spans="1:9" ht="35.15" customHeight="1" thickBot="1">
      <c r="A7" s="1169" t="s">
        <v>1511</v>
      </c>
      <c r="B7" s="1169"/>
      <c r="C7" s="1169"/>
      <c r="D7" s="1169"/>
      <c r="E7" s="1169"/>
      <c r="F7" s="1169"/>
      <c r="G7" s="1169"/>
      <c r="H7" s="1169"/>
      <c r="I7" s="1169"/>
    </row>
    <row r="8" spans="1:9" ht="19.5" customHeight="1">
      <c r="A8" s="1479" t="s">
        <v>1767</v>
      </c>
      <c r="B8" s="1480"/>
      <c r="C8" s="1480"/>
      <c r="D8" s="1480"/>
      <c r="E8" s="1480"/>
      <c r="F8" s="1480"/>
      <c r="G8" s="1480"/>
      <c r="H8" s="1480"/>
      <c r="I8" s="1481"/>
    </row>
    <row r="9" spans="1:9" ht="119.25" customHeight="1">
      <c r="A9" s="1482"/>
      <c r="B9" s="1483"/>
      <c r="C9" s="1483"/>
      <c r="D9" s="1483"/>
      <c r="E9" s="1483"/>
      <c r="F9" s="1483"/>
      <c r="G9" s="1483"/>
      <c r="H9" s="1483"/>
      <c r="I9" s="1484"/>
    </row>
    <row r="10" spans="1:9" ht="19.5" customHeight="1">
      <c r="A10" s="1473" t="s">
        <v>481</v>
      </c>
      <c r="B10" s="1474"/>
      <c r="C10" s="1474"/>
      <c r="D10" s="1474"/>
      <c r="E10" s="1474"/>
      <c r="F10" s="1474"/>
      <c r="G10" s="1474"/>
      <c r="H10" s="1474"/>
      <c r="I10" s="1475"/>
    </row>
    <row r="11" spans="1:9" ht="119.25" customHeight="1">
      <c r="A11" s="1482"/>
      <c r="B11" s="1483"/>
      <c r="C11" s="1483"/>
      <c r="D11" s="1483"/>
      <c r="E11" s="1483"/>
      <c r="F11" s="1483"/>
      <c r="G11" s="1483"/>
      <c r="H11" s="1483"/>
      <c r="I11" s="1484"/>
    </row>
    <row r="12" spans="1:9" ht="19.5" customHeight="1">
      <c r="A12" s="1473" t="s">
        <v>482</v>
      </c>
      <c r="B12" s="1474"/>
      <c r="C12" s="1474"/>
      <c r="D12" s="1474"/>
      <c r="E12" s="1474"/>
      <c r="F12" s="1474"/>
      <c r="G12" s="1474"/>
      <c r="H12" s="1474"/>
      <c r="I12" s="1475"/>
    </row>
    <row r="13" spans="1:9" ht="119.25" customHeight="1">
      <c r="A13" s="1482"/>
      <c r="B13" s="1483"/>
      <c r="C13" s="1483"/>
      <c r="D13" s="1483"/>
      <c r="E13" s="1483"/>
      <c r="F13" s="1483"/>
      <c r="G13" s="1483"/>
      <c r="H13" s="1483"/>
      <c r="I13" s="1484"/>
    </row>
    <row r="14" spans="1:9" ht="32.25" customHeight="1">
      <c r="A14" s="1473" t="s">
        <v>1772</v>
      </c>
      <c r="B14" s="1474"/>
      <c r="C14" s="1474"/>
      <c r="D14" s="1474"/>
      <c r="E14" s="1474"/>
      <c r="F14" s="1474"/>
      <c r="G14" s="1474"/>
      <c r="H14" s="1474"/>
      <c r="I14" s="1475"/>
    </row>
    <row r="15" spans="1:9" ht="119.25" customHeight="1" thickBot="1">
      <c r="A15" s="1476"/>
      <c r="B15" s="1477"/>
      <c r="C15" s="1477"/>
      <c r="D15" s="1477"/>
      <c r="E15" s="1477"/>
      <c r="F15" s="1477"/>
      <c r="G15" s="1477"/>
      <c r="H15" s="1477"/>
      <c r="I15" s="1478"/>
    </row>
    <row r="16" spans="1:9" ht="5.25" customHeight="1">
      <c r="A16" s="575"/>
      <c r="B16" s="575"/>
      <c r="C16" s="575"/>
      <c r="D16" s="575"/>
      <c r="E16" s="575"/>
      <c r="F16" s="575"/>
      <c r="G16" s="575"/>
      <c r="H16" s="575"/>
      <c r="I16" s="575"/>
    </row>
    <row r="17" spans="1:9">
      <c r="A17" s="1485" t="s">
        <v>1768</v>
      </c>
      <c r="B17" s="1485"/>
      <c r="C17" s="1485"/>
      <c r="D17" s="1485"/>
      <c r="E17" s="1485"/>
      <c r="F17" s="574"/>
      <c r="G17" s="574"/>
      <c r="H17" s="574"/>
      <c r="I17" s="574"/>
    </row>
    <row r="18" spans="1:9">
      <c r="A18" s="1486" t="s">
        <v>1771</v>
      </c>
      <c r="B18" s="1486"/>
      <c r="C18" s="1486"/>
      <c r="D18" s="1486"/>
      <c r="E18" s="1486"/>
      <c r="F18" s="1486"/>
      <c r="G18" s="1486"/>
      <c r="H18" s="1486"/>
      <c r="I18" s="1486"/>
    </row>
    <row r="19" spans="1:9" ht="27" customHeight="1">
      <c r="A19" s="1486" t="s">
        <v>1769</v>
      </c>
      <c r="B19" s="1486"/>
      <c r="C19" s="1486"/>
      <c r="D19" s="1486"/>
      <c r="E19" s="1486"/>
      <c r="F19" s="1486"/>
      <c r="G19" s="1486"/>
      <c r="H19" s="1486"/>
      <c r="I19" s="1486"/>
    </row>
    <row r="20" spans="1:9" ht="36" customHeight="1">
      <c r="A20" s="1486" t="s">
        <v>1770</v>
      </c>
      <c r="B20" s="1486"/>
      <c r="C20" s="1486"/>
      <c r="D20" s="1486"/>
      <c r="E20" s="1486"/>
      <c r="F20" s="1486"/>
      <c r="G20" s="1486"/>
      <c r="H20" s="1486"/>
      <c r="I20" s="1486"/>
    </row>
  </sheetData>
  <sheetProtection selectLockedCells="1"/>
  <mergeCells count="19">
    <mergeCell ref="A17:E17"/>
    <mergeCell ref="A18:I18"/>
    <mergeCell ref="A19:I19"/>
    <mergeCell ref="A20:I20"/>
    <mergeCell ref="A7:I7"/>
    <mergeCell ref="A1:I1"/>
    <mergeCell ref="H2:I2"/>
    <mergeCell ref="C3:I3"/>
    <mergeCell ref="B4:G4"/>
    <mergeCell ref="C5:E5"/>
    <mergeCell ref="C6:E6"/>
    <mergeCell ref="A14:I14"/>
    <mergeCell ref="A15:I15"/>
    <mergeCell ref="A8:I8"/>
    <mergeCell ref="A9:I9"/>
    <mergeCell ref="A10:I10"/>
    <mergeCell ref="A11:I11"/>
    <mergeCell ref="A12:I12"/>
    <mergeCell ref="A13:I13"/>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7">
    <pageSetUpPr fitToPage="1"/>
  </sheetPr>
  <dimension ref="A1:J38"/>
  <sheetViews>
    <sheetView showGridLines="0" workbookViewId="0">
      <selection activeCell="A8" sqref="A8:J30"/>
    </sheetView>
  </sheetViews>
  <sheetFormatPr baseColWidth="10" defaultRowHeight="14.5"/>
  <cols>
    <col min="2" max="2" width="16.453125" customWidth="1"/>
    <col min="3" max="3" width="27.453125" customWidth="1"/>
    <col min="4" max="10" width="16.54296875" customWidth="1"/>
  </cols>
  <sheetData>
    <row r="1" spans="1:10">
      <c r="A1" s="1134" t="s">
        <v>183</v>
      </c>
      <c r="B1" s="1134"/>
      <c r="C1" s="1134"/>
      <c r="D1" s="1134"/>
      <c r="E1" s="1134"/>
      <c r="F1" s="1134"/>
      <c r="G1" s="1134"/>
      <c r="H1" s="1134"/>
      <c r="I1" s="1134"/>
      <c r="J1" s="1134"/>
    </row>
    <row r="2" spans="1:10" ht="25" customHeight="1">
      <c r="A2" s="40"/>
      <c r="B2" s="40"/>
      <c r="C2" s="40"/>
      <c r="D2" s="40"/>
      <c r="E2" s="40"/>
      <c r="F2" s="40"/>
      <c r="G2" s="40"/>
      <c r="I2" s="1135" t="s">
        <v>1918</v>
      </c>
      <c r="J2" s="1137"/>
    </row>
    <row r="3" spans="1:10" s="127" customFormat="1" ht="15" customHeight="1">
      <c r="A3" s="7" t="s">
        <v>26</v>
      </c>
      <c r="B3" s="7"/>
      <c r="C3" s="1221">
        <f>'NOTE 1'!C3</f>
        <v>0</v>
      </c>
      <c r="D3" s="1221"/>
      <c r="E3" s="1221"/>
      <c r="F3" s="1221"/>
      <c r="G3" s="1221"/>
      <c r="H3" s="1221"/>
      <c r="I3" s="1221"/>
      <c r="J3" s="1221"/>
    </row>
    <row r="4" spans="1:10" s="127" customFormat="1" ht="15" customHeight="1">
      <c r="A4" s="7" t="s">
        <v>27</v>
      </c>
      <c r="B4" s="1221">
        <f>'NOTE 1'!B4</f>
        <v>0</v>
      </c>
      <c r="C4" s="1221"/>
      <c r="D4" s="1221"/>
      <c r="E4" s="1221"/>
      <c r="F4" s="1221"/>
      <c r="G4" s="1221"/>
      <c r="H4" s="1221"/>
      <c r="I4" s="61" t="s">
        <v>28</v>
      </c>
      <c r="J4" s="119">
        <f>'NOTE 1'!I4</f>
        <v>0</v>
      </c>
    </row>
    <row r="5" spans="1:10" s="127" customFormat="1" ht="15" customHeight="1">
      <c r="A5" s="7" t="s">
        <v>2021</v>
      </c>
      <c r="B5" s="7"/>
      <c r="C5" s="1221">
        <f>'NOTE 1'!C5</f>
        <v>0</v>
      </c>
      <c r="D5" s="1221"/>
      <c r="E5" s="1221"/>
      <c r="F5" s="43" t="s">
        <v>30</v>
      </c>
      <c r="G5" s="1508">
        <f>'NOTE 1'!G5</f>
        <v>0</v>
      </c>
      <c r="H5" s="1508"/>
      <c r="I5" s="61" t="s">
        <v>31</v>
      </c>
      <c r="J5" s="44">
        <f>'NOTE 1'!I5</f>
        <v>0</v>
      </c>
    </row>
    <row r="6" spans="1:10" s="127" customFormat="1" ht="15" customHeight="1">
      <c r="A6" s="7" t="s">
        <v>2026</v>
      </c>
      <c r="B6" s="7"/>
      <c r="C6" s="300">
        <f>'NOTE 1'!C6</f>
        <v>0</v>
      </c>
      <c r="D6" s="44"/>
      <c r="E6" s="44"/>
      <c r="F6" s="262"/>
      <c r="G6" s="59"/>
      <c r="H6" s="59"/>
      <c r="I6" s="263"/>
      <c r="J6" s="44"/>
    </row>
    <row r="7" spans="1:10" ht="35.15" customHeight="1" thickBot="1">
      <c r="A7" s="1169" t="s">
        <v>1917</v>
      </c>
      <c r="B7" s="1169"/>
      <c r="C7" s="1169"/>
      <c r="D7" s="1169"/>
      <c r="E7" s="1169"/>
      <c r="F7" s="1169"/>
      <c r="G7" s="1169"/>
      <c r="H7" s="1169"/>
      <c r="I7" s="1169"/>
      <c r="J7" s="1169"/>
    </row>
    <row r="8" spans="1:10" s="3" customFormat="1" ht="15" customHeight="1">
      <c r="A8" s="1509" t="s">
        <v>483</v>
      </c>
      <c r="B8" s="1510"/>
      <c r="C8" s="1510"/>
      <c r="D8" s="836" t="s">
        <v>95</v>
      </c>
      <c r="E8" s="1513" t="s">
        <v>1552</v>
      </c>
      <c r="F8" s="1514"/>
      <c r="G8" s="1515"/>
      <c r="H8" s="1513" t="s">
        <v>1553</v>
      </c>
      <c r="I8" s="1515"/>
      <c r="J8" s="837" t="s">
        <v>500</v>
      </c>
    </row>
    <row r="9" spans="1:10" s="3" customFormat="1" ht="32.25" customHeight="1">
      <c r="A9" s="1511"/>
      <c r="B9" s="1512"/>
      <c r="C9" s="1512"/>
      <c r="D9" s="1516" t="s">
        <v>484</v>
      </c>
      <c r="E9" s="1518" t="s">
        <v>1150</v>
      </c>
      <c r="F9" s="1520" t="s">
        <v>486</v>
      </c>
      <c r="G9" s="1516" t="s">
        <v>1151</v>
      </c>
      <c r="H9" s="1518" t="s">
        <v>488</v>
      </c>
      <c r="I9" s="1516" t="s">
        <v>486</v>
      </c>
      <c r="J9" s="1522" t="s">
        <v>489</v>
      </c>
    </row>
    <row r="10" spans="1:10" s="3" customFormat="1" ht="24" customHeight="1">
      <c r="A10" s="1488" t="s">
        <v>490</v>
      </c>
      <c r="B10" s="1489"/>
      <c r="C10" s="1490"/>
      <c r="D10" s="1517"/>
      <c r="E10" s="1519"/>
      <c r="F10" s="1521"/>
      <c r="G10" s="1517"/>
      <c r="H10" s="1519"/>
      <c r="I10" s="1517"/>
      <c r="J10" s="1523"/>
    </row>
    <row r="11" spans="1:10" ht="16" customHeight="1">
      <c r="A11" s="1491" t="s">
        <v>305</v>
      </c>
      <c r="B11" s="1492"/>
      <c r="C11" s="1493"/>
      <c r="D11" s="182">
        <f>SUM(D12:D15)</f>
        <v>0</v>
      </c>
      <c r="E11" s="181">
        <f t="shared" ref="E11:I11" si="0">SUM(E12:E15)</f>
        <v>0</v>
      </c>
      <c r="F11" s="108">
        <f t="shared" si="0"/>
        <v>0</v>
      </c>
      <c r="G11" s="182">
        <f t="shared" si="0"/>
        <v>0</v>
      </c>
      <c r="H11" s="181">
        <f t="shared" si="0"/>
        <v>0</v>
      </c>
      <c r="I11" s="180">
        <f t="shared" si="0"/>
        <v>0</v>
      </c>
      <c r="J11" s="838">
        <f>D11+E11+F11+G11-H11-I11</f>
        <v>0</v>
      </c>
    </row>
    <row r="12" spans="1:10" ht="17.149999999999999" customHeight="1">
      <c r="A12" s="1494" t="s">
        <v>491</v>
      </c>
      <c r="B12" s="1495"/>
      <c r="C12" s="1495"/>
      <c r="D12" s="183"/>
      <c r="E12" s="129"/>
      <c r="F12" s="126"/>
      <c r="G12" s="183"/>
      <c r="H12" s="129"/>
      <c r="I12" s="128"/>
      <c r="J12" s="839">
        <f>D12+E12+F12+G12-H12-I12</f>
        <v>0</v>
      </c>
    </row>
    <row r="13" spans="1:10" ht="17.149999999999999" customHeight="1">
      <c r="A13" s="1494" t="s">
        <v>492</v>
      </c>
      <c r="B13" s="1495"/>
      <c r="C13" s="1495"/>
      <c r="D13" s="183"/>
      <c r="E13" s="129"/>
      <c r="F13" s="126"/>
      <c r="G13" s="183"/>
      <c r="H13" s="129"/>
      <c r="I13" s="128"/>
      <c r="J13" s="839">
        <f t="shared" ref="J13:J29" si="1">D13+E13+F13+G13-H13-I13</f>
        <v>0</v>
      </c>
    </row>
    <row r="14" spans="1:10" ht="17.149999999999999" customHeight="1">
      <c r="A14" s="1494" t="s">
        <v>210</v>
      </c>
      <c r="B14" s="1495"/>
      <c r="C14" s="1495"/>
      <c r="D14" s="183"/>
      <c r="E14" s="129"/>
      <c r="F14" s="126"/>
      <c r="G14" s="183"/>
      <c r="H14" s="129"/>
      <c r="I14" s="128"/>
      <c r="J14" s="839">
        <f t="shared" si="1"/>
        <v>0</v>
      </c>
    </row>
    <row r="15" spans="1:10" ht="17.149999999999999" customHeight="1">
      <c r="A15" s="1487" t="s">
        <v>306</v>
      </c>
      <c r="B15" s="1138"/>
      <c r="C15" s="1138"/>
      <c r="D15" s="183"/>
      <c r="E15" s="129"/>
      <c r="F15" s="126"/>
      <c r="G15" s="183"/>
      <c r="H15" s="129"/>
      <c r="I15" s="128"/>
      <c r="J15" s="839">
        <f t="shared" si="1"/>
        <v>0</v>
      </c>
    </row>
    <row r="16" spans="1:10" ht="17.149999999999999" customHeight="1">
      <c r="A16" s="1491" t="s">
        <v>307</v>
      </c>
      <c r="B16" s="1492"/>
      <c r="C16" s="1493"/>
      <c r="D16" s="182">
        <f>SUM(D17:D23)</f>
        <v>0</v>
      </c>
      <c r="E16" s="181">
        <f t="shared" ref="E16:I16" si="2">SUM(E17:E23)</f>
        <v>0</v>
      </c>
      <c r="F16" s="108">
        <f t="shared" si="2"/>
        <v>0</v>
      </c>
      <c r="G16" s="182">
        <f t="shared" si="2"/>
        <v>0</v>
      </c>
      <c r="H16" s="181">
        <f t="shared" si="2"/>
        <v>0</v>
      </c>
      <c r="I16" s="180">
        <f t="shared" si="2"/>
        <v>0</v>
      </c>
      <c r="J16" s="838">
        <f t="shared" si="1"/>
        <v>0</v>
      </c>
    </row>
    <row r="17" spans="1:10" ht="17.149999999999999" customHeight="1">
      <c r="A17" s="1487" t="s">
        <v>493</v>
      </c>
      <c r="B17" s="1138"/>
      <c r="C17" s="1138"/>
      <c r="D17" s="183"/>
      <c r="E17" s="129"/>
      <c r="F17" s="126"/>
      <c r="G17" s="183"/>
      <c r="H17" s="129"/>
      <c r="I17" s="128"/>
      <c r="J17" s="839">
        <f t="shared" si="1"/>
        <v>0</v>
      </c>
    </row>
    <row r="18" spans="1:10" ht="17.149999999999999" customHeight="1">
      <c r="A18" s="1487" t="s">
        <v>494</v>
      </c>
      <c r="B18" s="1138"/>
      <c r="C18" s="1138"/>
      <c r="D18" s="183"/>
      <c r="E18" s="129"/>
      <c r="F18" s="126"/>
      <c r="G18" s="183"/>
      <c r="H18" s="129"/>
      <c r="I18" s="128"/>
      <c r="J18" s="839">
        <f t="shared" si="1"/>
        <v>0</v>
      </c>
    </row>
    <row r="19" spans="1:10" ht="17.149999999999999" customHeight="1">
      <c r="A19" s="1487" t="s">
        <v>495</v>
      </c>
      <c r="B19" s="1138"/>
      <c r="C19" s="1138"/>
      <c r="D19" s="183"/>
      <c r="E19" s="129"/>
      <c r="F19" s="126"/>
      <c r="G19" s="183"/>
      <c r="H19" s="129"/>
      <c r="I19" s="128"/>
      <c r="J19" s="839">
        <f t="shared" si="1"/>
        <v>0</v>
      </c>
    </row>
    <row r="20" spans="1:10" ht="17.149999999999999" customHeight="1">
      <c r="A20" s="1487" t="s">
        <v>496</v>
      </c>
      <c r="B20" s="1138"/>
      <c r="C20" s="1138"/>
      <c r="D20" s="183"/>
      <c r="E20" s="129"/>
      <c r="F20" s="126"/>
      <c r="G20" s="183"/>
      <c r="H20" s="129"/>
      <c r="I20" s="128"/>
      <c r="J20" s="839">
        <f t="shared" si="1"/>
        <v>0</v>
      </c>
    </row>
    <row r="21" spans="1:10" ht="17.149999999999999" customHeight="1">
      <c r="A21" s="1487" t="s">
        <v>308</v>
      </c>
      <c r="B21" s="1138"/>
      <c r="C21" s="1138"/>
      <c r="D21" s="183"/>
      <c r="E21" s="129"/>
      <c r="F21" s="126"/>
      <c r="G21" s="183"/>
      <c r="H21" s="129"/>
      <c r="I21" s="128"/>
      <c r="J21" s="839">
        <f t="shared" si="1"/>
        <v>0</v>
      </c>
    </row>
    <row r="22" spans="1:10" ht="17.149999999999999" customHeight="1">
      <c r="A22" s="1487" t="s">
        <v>234</v>
      </c>
      <c r="B22" s="1138"/>
      <c r="C22" s="1138"/>
      <c r="D22" s="183"/>
      <c r="E22" s="129"/>
      <c r="F22" s="126"/>
      <c r="G22" s="183"/>
      <c r="H22" s="129"/>
      <c r="I22" s="128">
        <v>0</v>
      </c>
      <c r="J22" s="839">
        <f t="shared" si="1"/>
        <v>0</v>
      </c>
    </row>
    <row r="23" spans="1:10" ht="17.149999999999999" customHeight="1">
      <c r="A23" s="1487" t="s">
        <v>238</v>
      </c>
      <c r="B23" s="1138"/>
      <c r="C23" s="1138"/>
      <c r="D23" s="183"/>
      <c r="E23" s="129"/>
      <c r="F23" s="126"/>
      <c r="G23" s="183"/>
      <c r="H23" s="129"/>
      <c r="I23" s="128"/>
      <c r="J23" s="839">
        <f t="shared" si="1"/>
        <v>0</v>
      </c>
    </row>
    <row r="24" spans="1:10" ht="17.149999999999999" customHeight="1">
      <c r="A24" s="1499" t="s">
        <v>497</v>
      </c>
      <c r="B24" s="1500"/>
      <c r="C24" s="1501"/>
      <c r="D24" s="189"/>
      <c r="E24" s="190"/>
      <c r="F24" s="140"/>
      <c r="G24" s="189"/>
      <c r="H24" s="190"/>
      <c r="I24" s="191"/>
      <c r="J24" s="839">
        <f t="shared" si="1"/>
        <v>0</v>
      </c>
    </row>
    <row r="25" spans="1:10" s="1" customFormat="1" ht="17.149999999999999" customHeight="1">
      <c r="A25" s="1505" t="s">
        <v>1773</v>
      </c>
      <c r="B25" s="1506"/>
      <c r="C25" s="1507"/>
      <c r="D25" s="183"/>
      <c r="E25" s="129"/>
      <c r="F25" s="126"/>
      <c r="G25" s="183"/>
      <c r="H25" s="129"/>
      <c r="I25" s="128"/>
      <c r="J25" s="839">
        <f t="shared" si="1"/>
        <v>0</v>
      </c>
    </row>
    <row r="26" spans="1:10" s="1" customFormat="1" ht="17.149999999999999" customHeight="1">
      <c r="A26" s="1505" t="s">
        <v>1774</v>
      </c>
      <c r="B26" s="1506"/>
      <c r="C26" s="1507"/>
      <c r="D26" s="183"/>
      <c r="E26" s="129"/>
      <c r="F26" s="126"/>
      <c r="G26" s="183"/>
      <c r="H26" s="129"/>
      <c r="I26" s="128"/>
      <c r="J26" s="839">
        <f t="shared" si="1"/>
        <v>0</v>
      </c>
    </row>
    <row r="27" spans="1:10" ht="17.149999999999999" customHeight="1">
      <c r="A27" s="1491" t="s">
        <v>111</v>
      </c>
      <c r="B27" s="1492"/>
      <c r="C27" s="1493"/>
      <c r="D27" s="182">
        <f>SUM(D28:D29)</f>
        <v>0</v>
      </c>
      <c r="E27" s="181">
        <f t="shared" ref="E27:I27" si="3">SUM(E28:E29)</f>
        <v>0</v>
      </c>
      <c r="F27" s="108">
        <f t="shared" si="3"/>
        <v>0</v>
      </c>
      <c r="G27" s="182">
        <f t="shared" si="3"/>
        <v>0</v>
      </c>
      <c r="H27" s="181">
        <f t="shared" si="3"/>
        <v>0</v>
      </c>
      <c r="I27" s="180">
        <f t="shared" si="3"/>
        <v>0</v>
      </c>
      <c r="J27" s="838">
        <f t="shared" si="1"/>
        <v>0</v>
      </c>
    </row>
    <row r="28" spans="1:10" ht="17.149999999999999" customHeight="1">
      <c r="A28" s="1502" t="s">
        <v>248</v>
      </c>
      <c r="B28" s="1503"/>
      <c r="C28" s="1504"/>
      <c r="D28" s="183"/>
      <c r="E28" s="129"/>
      <c r="F28" s="126"/>
      <c r="G28" s="183"/>
      <c r="H28" s="129"/>
      <c r="I28" s="128"/>
      <c r="J28" s="839">
        <f t="shared" si="1"/>
        <v>0</v>
      </c>
    </row>
    <row r="29" spans="1:10" ht="17.149999999999999" customHeight="1">
      <c r="A29" s="1487" t="s">
        <v>309</v>
      </c>
      <c r="B29" s="1138"/>
      <c r="C29" s="1138"/>
      <c r="D29" s="183"/>
      <c r="E29" s="129"/>
      <c r="F29" s="126"/>
      <c r="G29" s="183"/>
      <c r="H29" s="129"/>
      <c r="I29" s="128"/>
      <c r="J29" s="839">
        <f t="shared" si="1"/>
        <v>0</v>
      </c>
    </row>
    <row r="30" spans="1:10" ht="17.149999999999999" customHeight="1" thickBot="1">
      <c r="A30" s="1496" t="s">
        <v>303</v>
      </c>
      <c r="B30" s="1497"/>
      <c r="C30" s="1498"/>
      <c r="D30" s="840">
        <f t="shared" ref="D30:J30" si="4">D11+D16+ D24 +D27</f>
        <v>0</v>
      </c>
      <c r="E30" s="840">
        <f t="shared" si="4"/>
        <v>0</v>
      </c>
      <c r="F30" s="840">
        <f t="shared" si="4"/>
        <v>0</v>
      </c>
      <c r="G30" s="840">
        <f t="shared" si="4"/>
        <v>0</v>
      </c>
      <c r="H30" s="840">
        <f t="shared" si="4"/>
        <v>0</v>
      </c>
      <c r="I30" s="840">
        <f t="shared" si="4"/>
        <v>0</v>
      </c>
      <c r="J30" s="841">
        <f t="shared" si="4"/>
        <v>0</v>
      </c>
    </row>
    <row r="31" spans="1:10" s="3" customFormat="1" ht="10.5">
      <c r="A31" s="581" t="s">
        <v>1547</v>
      </c>
    </row>
    <row r="32" spans="1:10" s="3" customFormat="1" ht="12" customHeight="1">
      <c r="A32" s="633" t="s">
        <v>1666</v>
      </c>
      <c r="E32" s="633" t="s">
        <v>1670</v>
      </c>
    </row>
    <row r="33" spans="1:5" s="3" customFormat="1" ht="12" customHeight="1">
      <c r="A33" s="633" t="s">
        <v>1667</v>
      </c>
      <c r="E33" s="633" t="s">
        <v>1671</v>
      </c>
    </row>
    <row r="34" spans="1:5" s="3" customFormat="1" ht="12" customHeight="1">
      <c r="A34" s="633" t="s">
        <v>1668</v>
      </c>
      <c r="E34" s="633" t="s">
        <v>1775</v>
      </c>
    </row>
    <row r="35" spans="1:5" s="3" customFormat="1" ht="12" customHeight="1">
      <c r="A35" s="633" t="s">
        <v>1669</v>
      </c>
      <c r="E35" s="633" t="s">
        <v>1776</v>
      </c>
    </row>
    <row r="36" spans="1:5" s="3" customFormat="1" ht="12" customHeight="1">
      <c r="A36" s="634" t="s">
        <v>1958</v>
      </c>
      <c r="B36" s="440"/>
      <c r="C36" s="440"/>
    </row>
    <row r="37" spans="1:5" s="3" customFormat="1" ht="12" customHeight="1">
      <c r="A37" s="634" t="s">
        <v>1959</v>
      </c>
      <c r="B37" s="440"/>
      <c r="C37" s="440"/>
    </row>
    <row r="38" spans="1:5" s="3" customFormat="1" ht="12" customHeight="1">
      <c r="A38" s="634" t="s">
        <v>1960</v>
      </c>
      <c r="B38" s="440"/>
      <c r="C38" s="440"/>
    </row>
  </sheetData>
  <sheetProtection selectLockedCells="1"/>
  <mergeCells count="39">
    <mergeCell ref="A7:J7"/>
    <mergeCell ref="A8:C8"/>
    <mergeCell ref="A9:C9"/>
    <mergeCell ref="E8:G8"/>
    <mergeCell ref="H8:I8"/>
    <mergeCell ref="D9:D10"/>
    <mergeCell ref="E9:E10"/>
    <mergeCell ref="F9:F10"/>
    <mergeCell ref="G9:G10"/>
    <mergeCell ref="H9:H10"/>
    <mergeCell ref="I9:I10"/>
    <mergeCell ref="J9:J10"/>
    <mergeCell ref="A1:J1"/>
    <mergeCell ref="I2:J2"/>
    <mergeCell ref="C3:J3"/>
    <mergeCell ref="B4:H4"/>
    <mergeCell ref="C5:E5"/>
    <mergeCell ref="G5:H5"/>
    <mergeCell ref="A30:C30"/>
    <mergeCell ref="A22:C22"/>
    <mergeCell ref="A23:C23"/>
    <mergeCell ref="A24:C24"/>
    <mergeCell ref="A27:C27"/>
    <mergeCell ref="A28:C28"/>
    <mergeCell ref="A29:C29"/>
    <mergeCell ref="A26:C26"/>
    <mergeCell ref="A25:C25"/>
    <mergeCell ref="A21:C21"/>
    <mergeCell ref="A10:C10"/>
    <mergeCell ref="A11:C11"/>
    <mergeCell ref="A12:C12"/>
    <mergeCell ref="A13:C13"/>
    <mergeCell ref="A14:C14"/>
    <mergeCell ref="A20:C20"/>
    <mergeCell ref="A15:C15"/>
    <mergeCell ref="A16:C16"/>
    <mergeCell ref="A17:C17"/>
    <mergeCell ref="A18:C18"/>
    <mergeCell ref="A19:C19"/>
  </mergeCells>
  <dataValidations count="1">
    <dataValidation type="whole" allowBlank="1" showInputMessage="1" showErrorMessage="1" errorTitle="Attention !" error="Valeur numérique attendue" sqref="D12:I15 D17:I26 D28:I29" xr:uid="{00000000-0002-0000-0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8">
    <pageSetUpPr fitToPage="1"/>
  </sheetPr>
  <dimension ref="A1:L18"/>
  <sheetViews>
    <sheetView showGridLines="0" workbookViewId="0">
      <selection activeCell="A8" sqref="A8:L15"/>
    </sheetView>
  </sheetViews>
  <sheetFormatPr baseColWidth="10" defaultRowHeight="14.5"/>
  <cols>
    <col min="2" max="2" width="15.54296875" customWidth="1"/>
    <col min="3" max="3" width="5.453125" customWidth="1"/>
    <col min="4" max="4" width="17.54296875" customWidth="1"/>
    <col min="5" max="5" width="9.453125" customWidth="1"/>
    <col min="6" max="6" width="15.54296875" customWidth="1"/>
    <col min="7" max="12" width="14.81640625" customWidth="1"/>
  </cols>
  <sheetData>
    <row r="1" spans="1:12">
      <c r="A1" s="1134" t="s">
        <v>183</v>
      </c>
      <c r="B1" s="1134"/>
      <c r="C1" s="1134"/>
      <c r="D1" s="1134"/>
      <c r="E1" s="1134"/>
      <c r="F1" s="1134"/>
      <c r="G1" s="1134"/>
      <c r="H1" s="1134"/>
      <c r="I1" s="1134"/>
      <c r="J1" s="1134"/>
      <c r="K1" s="1134"/>
      <c r="L1" s="1134"/>
    </row>
    <row r="2" spans="1:12" ht="25" customHeight="1">
      <c r="A2" s="40"/>
      <c r="B2" s="40"/>
      <c r="C2" s="40"/>
      <c r="D2" s="40"/>
      <c r="E2" s="40"/>
      <c r="F2" s="40"/>
      <c r="G2" s="40"/>
      <c r="K2" s="1135" t="s">
        <v>1920</v>
      </c>
      <c r="L2" s="1137"/>
    </row>
    <row r="3" spans="1:12" s="127" customFormat="1" ht="15" customHeight="1">
      <c r="A3" s="7" t="s">
        <v>26</v>
      </c>
      <c r="B3" s="7"/>
      <c r="C3" s="1221">
        <f>'NOTE 1'!C3</f>
        <v>0</v>
      </c>
      <c r="D3" s="1221"/>
      <c r="E3" s="1221"/>
      <c r="F3" s="1221"/>
      <c r="G3" s="1221"/>
      <c r="H3" s="1221"/>
      <c r="I3" s="1221"/>
      <c r="J3" s="1221"/>
      <c r="K3" s="1221"/>
      <c r="L3" s="1221"/>
    </row>
    <row r="4" spans="1:12" s="127" customFormat="1" ht="15" customHeight="1">
      <c r="A4" s="7" t="s">
        <v>27</v>
      </c>
      <c r="B4" s="1221">
        <f>'NOTE 1'!B4</f>
        <v>0</v>
      </c>
      <c r="C4" s="1221"/>
      <c r="D4" s="1221"/>
      <c r="E4" s="1221"/>
      <c r="F4" s="1221"/>
      <c r="G4" s="1221"/>
      <c r="H4" s="1221"/>
      <c r="I4" s="1221"/>
      <c r="J4" s="1221"/>
      <c r="K4" s="61" t="s">
        <v>28</v>
      </c>
      <c r="L4" s="119">
        <f>'NOTE 1'!I4</f>
        <v>0</v>
      </c>
    </row>
    <row r="5" spans="1:12" s="127" customFormat="1" ht="15" customHeight="1">
      <c r="A5" s="7" t="s">
        <v>2021</v>
      </c>
      <c r="B5" s="7"/>
      <c r="C5" s="1221">
        <f>'NOTE 1'!C5</f>
        <v>0</v>
      </c>
      <c r="D5" s="1221"/>
      <c r="E5" s="1221"/>
      <c r="F5" s="1221"/>
      <c r="G5" s="1221"/>
      <c r="H5" s="43" t="s">
        <v>30</v>
      </c>
      <c r="I5" s="1215">
        <f>'NOTE 1'!G5</f>
        <v>0</v>
      </c>
      <c r="J5" s="1215"/>
      <c r="K5" s="61" t="s">
        <v>31</v>
      </c>
      <c r="L5" s="44">
        <f>'NOTE 1'!I5</f>
        <v>0</v>
      </c>
    </row>
    <row r="6" spans="1:12" s="127" customFormat="1" ht="15" customHeight="1">
      <c r="A6" s="7" t="s">
        <v>2026</v>
      </c>
      <c r="B6" s="7"/>
      <c r="C6" s="1461">
        <f>'NOTE 1'!C6</f>
        <v>0</v>
      </c>
      <c r="D6" s="1461"/>
      <c r="E6" s="1461"/>
      <c r="F6" s="1461"/>
      <c r="G6" s="1461"/>
      <c r="H6" s="262"/>
      <c r="I6" s="59"/>
      <c r="J6" s="44"/>
      <c r="K6" s="263"/>
      <c r="L6" s="44"/>
    </row>
    <row r="7" spans="1:12" ht="35.15" customHeight="1" thickBot="1">
      <c r="A7" s="1169" t="s">
        <v>1919</v>
      </c>
      <c r="B7" s="1169"/>
      <c r="C7" s="1169"/>
      <c r="D7" s="1169"/>
      <c r="E7" s="1169"/>
      <c r="F7" s="1169"/>
      <c r="G7" s="1169"/>
      <c r="H7" s="1169"/>
      <c r="I7" s="1169"/>
      <c r="J7" s="1169"/>
      <c r="K7" s="1169"/>
      <c r="L7" s="1169"/>
    </row>
    <row r="8" spans="1:12" ht="15" customHeight="1">
      <c r="A8" s="1527" t="s">
        <v>483</v>
      </c>
      <c r="B8" s="1528"/>
      <c r="C8" s="1528"/>
      <c r="D8" s="1528"/>
      <c r="E8" s="843"/>
      <c r="F8" s="844" t="s">
        <v>95</v>
      </c>
      <c r="G8" s="1529" t="s">
        <v>498</v>
      </c>
      <c r="H8" s="1529"/>
      <c r="I8" s="1529"/>
      <c r="J8" s="1529" t="s">
        <v>499</v>
      </c>
      <c r="K8" s="1529"/>
      <c r="L8" s="845" t="s">
        <v>500</v>
      </c>
    </row>
    <row r="9" spans="1:12" ht="53.25" customHeight="1">
      <c r="A9" s="1530"/>
      <c r="B9" s="1531"/>
      <c r="C9" s="1531"/>
      <c r="D9" s="1531"/>
      <c r="E9" s="1524" t="s">
        <v>501</v>
      </c>
      <c r="F9" s="1520" t="s">
        <v>484</v>
      </c>
      <c r="G9" s="1520" t="s">
        <v>485</v>
      </c>
      <c r="H9" s="1520" t="s">
        <v>502</v>
      </c>
      <c r="I9" s="1520" t="s">
        <v>487</v>
      </c>
      <c r="J9" s="1520" t="s">
        <v>488</v>
      </c>
      <c r="K9" s="1520" t="s">
        <v>502</v>
      </c>
      <c r="L9" s="1525" t="s">
        <v>489</v>
      </c>
    </row>
    <row r="10" spans="1:12" ht="12.75" customHeight="1">
      <c r="A10" s="1488" t="s">
        <v>490</v>
      </c>
      <c r="B10" s="1489"/>
      <c r="C10" s="1489"/>
      <c r="D10" s="1490"/>
      <c r="E10" s="1521"/>
      <c r="F10" s="1521"/>
      <c r="G10" s="1521"/>
      <c r="H10" s="1521"/>
      <c r="I10" s="1521"/>
      <c r="J10" s="1521"/>
      <c r="K10" s="1521"/>
      <c r="L10" s="1526"/>
    </row>
    <row r="11" spans="1:12" ht="17.149999999999999" customHeight="1">
      <c r="A11" s="1487" t="s">
        <v>503</v>
      </c>
      <c r="B11" s="1138"/>
      <c r="C11" s="1138"/>
      <c r="D11" s="1138"/>
      <c r="E11" s="134"/>
      <c r="F11" s="64"/>
      <c r="G11" s="64"/>
      <c r="H11" s="64"/>
      <c r="I11" s="64"/>
      <c r="J11" s="64"/>
      <c r="K11" s="64"/>
      <c r="L11" s="846">
        <f>F11+G11+H11+I11-J11-K11</f>
        <v>0</v>
      </c>
    </row>
    <row r="12" spans="1:12" ht="17.149999999999999" customHeight="1">
      <c r="A12" s="1487" t="s">
        <v>226</v>
      </c>
      <c r="B12" s="1138"/>
      <c r="C12" s="1138"/>
      <c r="D12" s="1138"/>
      <c r="E12" s="134"/>
      <c r="F12" s="64"/>
      <c r="G12" s="64"/>
      <c r="H12" s="64"/>
      <c r="I12" s="64"/>
      <c r="J12" s="64"/>
      <c r="K12" s="64"/>
      <c r="L12" s="846">
        <f t="shared" ref="L12:L14" si="0">F12+G12+H12+I12-J12-K12</f>
        <v>0</v>
      </c>
    </row>
    <row r="13" spans="1:12" ht="17.149999999999999" customHeight="1">
      <c r="A13" s="1487" t="s">
        <v>1550</v>
      </c>
      <c r="B13" s="1138"/>
      <c r="C13" s="1138"/>
      <c r="D13" s="1138"/>
      <c r="E13" s="134"/>
      <c r="F13" s="64"/>
      <c r="G13" s="64"/>
      <c r="H13" s="64"/>
      <c r="I13" s="64"/>
      <c r="J13" s="64"/>
      <c r="K13" s="64"/>
      <c r="L13" s="846">
        <f t="shared" si="0"/>
        <v>0</v>
      </c>
    </row>
    <row r="14" spans="1:12" ht="17.149999999999999" customHeight="1">
      <c r="A14" s="1487" t="s">
        <v>238</v>
      </c>
      <c r="B14" s="1138"/>
      <c r="C14" s="1138"/>
      <c r="D14" s="1138"/>
      <c r="E14" s="134"/>
      <c r="F14" s="64"/>
      <c r="G14" s="64"/>
      <c r="H14" s="64"/>
      <c r="I14" s="64"/>
      <c r="J14" s="64"/>
      <c r="K14" s="64"/>
      <c r="L14" s="846">
        <f t="shared" si="0"/>
        <v>0</v>
      </c>
    </row>
    <row r="15" spans="1:12" ht="15.75" customHeight="1" thickBot="1">
      <c r="A15" s="1496" t="s">
        <v>1551</v>
      </c>
      <c r="B15" s="1497"/>
      <c r="C15" s="1497"/>
      <c r="D15" s="1498"/>
      <c r="E15" s="847"/>
      <c r="F15" s="848">
        <f>SUM(F11:F14)</f>
        <v>0</v>
      </c>
      <c r="G15" s="848">
        <f t="shared" ref="G15:L15" si="1">SUM(G11:G14)</f>
        <v>0</v>
      </c>
      <c r="H15" s="848">
        <f t="shared" si="1"/>
        <v>0</v>
      </c>
      <c r="I15" s="848">
        <f t="shared" si="1"/>
        <v>0</v>
      </c>
      <c r="J15" s="848">
        <f t="shared" si="1"/>
        <v>0</v>
      </c>
      <c r="K15" s="848">
        <f t="shared" si="1"/>
        <v>0</v>
      </c>
      <c r="L15" s="849">
        <f t="shared" si="1"/>
        <v>0</v>
      </c>
    </row>
    <row r="16" spans="1:12" s="3" customFormat="1" ht="10.5">
      <c r="A16" s="635" t="s">
        <v>1548</v>
      </c>
      <c r="B16" s="842"/>
      <c r="C16" s="842"/>
      <c r="D16" s="842"/>
      <c r="E16" s="842"/>
      <c r="F16" s="842"/>
      <c r="G16" s="842"/>
      <c r="H16" s="842"/>
      <c r="I16" s="842"/>
      <c r="J16" s="842"/>
      <c r="K16" s="842"/>
      <c r="L16" s="842"/>
    </row>
    <row r="17" spans="1:1" s="3" customFormat="1" ht="10.5">
      <c r="A17" s="636" t="s">
        <v>1650</v>
      </c>
    </row>
    <row r="18" spans="1:1" s="3" customFormat="1" ht="10.5">
      <c r="A18" s="588" t="s">
        <v>1777</v>
      </c>
    </row>
  </sheetData>
  <sheetProtection selectLockedCells="1"/>
  <mergeCells count="26">
    <mergeCell ref="I9:I10"/>
    <mergeCell ref="J9:J10"/>
    <mergeCell ref="K9:K10"/>
    <mergeCell ref="L9:L10"/>
    <mergeCell ref="A1:L1"/>
    <mergeCell ref="K2:L2"/>
    <mergeCell ref="C3:L3"/>
    <mergeCell ref="B4:J4"/>
    <mergeCell ref="C5:G5"/>
    <mergeCell ref="I5:J5"/>
    <mergeCell ref="C6:G6"/>
    <mergeCell ref="A7:L7"/>
    <mergeCell ref="A8:D8"/>
    <mergeCell ref="G8:I8"/>
    <mergeCell ref="J8:K8"/>
    <mergeCell ref="A9:D9"/>
    <mergeCell ref="E9:E10"/>
    <mergeCell ref="F9:F10"/>
    <mergeCell ref="G9:G10"/>
    <mergeCell ref="H9:H10"/>
    <mergeCell ref="A15:D15"/>
    <mergeCell ref="A11:D11"/>
    <mergeCell ref="A12:D12"/>
    <mergeCell ref="A10:D10"/>
    <mergeCell ref="A13:D13"/>
    <mergeCell ref="A14:D14"/>
  </mergeCells>
  <dataValidations count="1">
    <dataValidation type="whole" allowBlank="1" showInputMessage="1" showErrorMessage="1" errorTitle="Attention !" error="Valeur numérique attendue" sqref="F11:K14" xr:uid="{00000000-0002-0000-0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9">
    <pageSetUpPr fitToPage="1"/>
  </sheetPr>
  <dimension ref="A1:O28"/>
  <sheetViews>
    <sheetView showGridLines="0" topLeftCell="A8" zoomScaleNormal="100" workbookViewId="0">
      <selection activeCell="P24" sqref="P24"/>
    </sheetView>
  </sheetViews>
  <sheetFormatPr baseColWidth="10" defaultRowHeight="14.5"/>
  <cols>
    <col min="2" max="2" width="16.453125" customWidth="1"/>
    <col min="3" max="3" width="20.54296875" customWidth="1"/>
    <col min="4" max="15" width="9" customWidth="1"/>
  </cols>
  <sheetData>
    <row r="1" spans="1:15">
      <c r="A1" s="1134" t="s">
        <v>183</v>
      </c>
      <c r="B1" s="1134"/>
      <c r="C1" s="1134"/>
      <c r="D1" s="1134"/>
      <c r="E1" s="1134"/>
      <c r="F1" s="1134"/>
      <c r="G1" s="1134"/>
      <c r="H1" s="1134"/>
      <c r="I1" s="1134"/>
      <c r="J1" s="1134"/>
      <c r="K1" s="1134"/>
      <c r="L1" s="1134"/>
      <c r="M1" s="1134"/>
      <c r="N1" s="1134"/>
      <c r="O1" s="1134"/>
    </row>
    <row r="2" spans="1:15" ht="25" customHeight="1">
      <c r="A2" s="40"/>
      <c r="B2" s="40"/>
      <c r="C2" s="40"/>
      <c r="D2" s="40"/>
      <c r="E2" s="40"/>
      <c r="F2" s="40"/>
      <c r="G2" s="40"/>
      <c r="N2" s="1135" t="s">
        <v>1921</v>
      </c>
      <c r="O2" s="1137"/>
    </row>
    <row r="3" spans="1:15" s="1" customFormat="1">
      <c r="A3" s="7" t="s">
        <v>26</v>
      </c>
      <c r="B3" s="7"/>
      <c r="C3" s="1560">
        <f>'NOTE 1'!C3</f>
        <v>0</v>
      </c>
      <c r="D3" s="1560"/>
      <c r="E3" s="1560"/>
      <c r="F3" s="1560"/>
      <c r="G3" s="1560"/>
      <c r="H3" s="1560"/>
      <c r="I3" s="1560"/>
      <c r="J3" s="1560"/>
      <c r="K3" s="1560"/>
      <c r="L3" s="1221"/>
      <c r="M3" s="1221"/>
      <c r="N3" s="1221"/>
      <c r="O3" s="1221"/>
    </row>
    <row r="4" spans="1:15" s="1" customFormat="1">
      <c r="A4" s="7" t="s">
        <v>27</v>
      </c>
      <c r="B4" s="1147">
        <f>'NOTE 1'!B4</f>
        <v>0</v>
      </c>
      <c r="C4" s="1147"/>
      <c r="D4" s="1147"/>
      <c r="E4" s="1147"/>
      <c r="F4" s="1147"/>
      <c r="G4" s="1147"/>
      <c r="H4" s="1147"/>
      <c r="I4" s="1147"/>
      <c r="J4" s="1147"/>
      <c r="K4" s="1147"/>
      <c r="L4" s="1561" t="s">
        <v>28</v>
      </c>
      <c r="M4" s="1561"/>
      <c r="N4" s="1215">
        <f>'NOTE 1'!I4</f>
        <v>0</v>
      </c>
      <c r="O4" s="1215"/>
    </row>
    <row r="5" spans="1:15" s="1" customFormat="1">
      <c r="A5" s="7" t="s">
        <v>2021</v>
      </c>
      <c r="B5" s="7"/>
      <c r="C5" s="1221">
        <f>'NOTE 1'!C5</f>
        <v>0</v>
      </c>
      <c r="D5" s="1221"/>
      <c r="E5" s="1221"/>
      <c r="F5" s="1221"/>
      <c r="G5" s="1221"/>
      <c r="H5" s="1562" t="s">
        <v>30</v>
      </c>
      <c r="I5" s="1562"/>
      <c r="J5" s="1215">
        <f>'NOTE 1'!G5</f>
        <v>0</v>
      </c>
      <c r="K5" s="1215"/>
      <c r="L5" s="1562" t="s">
        <v>31</v>
      </c>
      <c r="M5" s="1562"/>
      <c r="N5" s="1215">
        <f>'NOTE 1'!I5</f>
        <v>0</v>
      </c>
      <c r="O5" s="1215"/>
    </row>
    <row r="6" spans="1:15" s="1" customFormat="1">
      <c r="A6" s="7" t="s">
        <v>2026</v>
      </c>
      <c r="B6" s="7"/>
      <c r="C6" s="300">
        <f>'NOTE 1'!C6</f>
        <v>0</v>
      </c>
      <c r="D6" s="263"/>
      <c r="E6" s="263"/>
      <c r="F6" s="59"/>
      <c r="G6" s="44"/>
      <c r="H6" s="263"/>
      <c r="I6" s="263"/>
      <c r="J6" s="263"/>
      <c r="K6" s="263"/>
      <c r="L6" s="263"/>
      <c r="M6" s="263"/>
      <c r="N6" s="44"/>
      <c r="O6" s="44"/>
    </row>
    <row r="7" spans="1:15" ht="35.15" customHeight="1" thickBot="1">
      <c r="A7" s="1169" t="s">
        <v>1922</v>
      </c>
      <c r="B7" s="1169"/>
      <c r="C7" s="1169"/>
      <c r="D7" s="1169"/>
      <c r="E7" s="1169"/>
      <c r="F7" s="1169"/>
      <c r="G7" s="1169"/>
      <c r="H7" s="1169"/>
      <c r="I7" s="1169"/>
      <c r="J7" s="1169"/>
      <c r="K7" s="1169"/>
      <c r="L7" s="1169"/>
      <c r="M7" s="1169"/>
      <c r="N7" s="1169"/>
      <c r="O7" s="1169"/>
    </row>
    <row r="8" spans="1:15">
      <c r="A8" s="1553" t="s">
        <v>483</v>
      </c>
      <c r="B8" s="1554"/>
      <c r="C8" s="1555"/>
      <c r="D8" s="1556" t="s">
        <v>95</v>
      </c>
      <c r="E8" s="1556"/>
      <c r="F8" s="1556" t="s">
        <v>327</v>
      </c>
      <c r="G8" s="1556"/>
      <c r="H8" s="1558" t="s">
        <v>330</v>
      </c>
      <c r="I8" s="1480"/>
      <c r="J8" s="1480"/>
      <c r="K8" s="1559"/>
      <c r="L8" s="1558" t="s">
        <v>333</v>
      </c>
      <c r="M8" s="1559"/>
      <c r="N8" s="1556" t="s">
        <v>1781</v>
      </c>
      <c r="O8" s="1557"/>
    </row>
    <row r="9" spans="1:15" ht="15" customHeight="1">
      <c r="A9" s="1563"/>
      <c r="B9" s="1564"/>
      <c r="C9" s="1565"/>
      <c r="D9" s="1566" t="s">
        <v>504</v>
      </c>
      <c r="E9" s="1567"/>
      <c r="F9" s="1576" t="s">
        <v>1778</v>
      </c>
      <c r="G9" s="1577"/>
      <c r="H9" s="1576" t="s">
        <v>1779</v>
      </c>
      <c r="I9" s="1578"/>
      <c r="J9" s="1578"/>
      <c r="K9" s="1577"/>
      <c r="L9" s="1566" t="s">
        <v>486</v>
      </c>
      <c r="M9" s="1567"/>
      <c r="N9" s="1569" t="s">
        <v>1719</v>
      </c>
      <c r="O9" s="1570"/>
    </row>
    <row r="10" spans="1:15" ht="54.75" customHeight="1">
      <c r="A10" s="1571" t="s">
        <v>490</v>
      </c>
      <c r="B10" s="1572"/>
      <c r="C10" s="1573"/>
      <c r="D10" s="1568"/>
      <c r="E10" s="1470"/>
      <c r="F10" s="1574" t="s">
        <v>1784</v>
      </c>
      <c r="G10" s="1575"/>
      <c r="H10" s="1568" t="s">
        <v>1785</v>
      </c>
      <c r="I10" s="1470"/>
      <c r="J10" s="1568" t="s">
        <v>1780</v>
      </c>
      <c r="K10" s="1470"/>
      <c r="L10" s="1568"/>
      <c r="M10" s="1470"/>
      <c r="N10" s="1569"/>
      <c r="O10" s="1570"/>
    </row>
    <row r="11" spans="1:15" ht="17.149999999999999" customHeight="1">
      <c r="A11" s="1550" t="s">
        <v>491</v>
      </c>
      <c r="B11" s="1551"/>
      <c r="C11" s="1552"/>
      <c r="D11" s="1547"/>
      <c r="E11" s="1548"/>
      <c r="F11" s="1547"/>
      <c r="G11" s="1548"/>
      <c r="H11" s="1547"/>
      <c r="I11" s="1548"/>
      <c r="J11" s="1547"/>
      <c r="K11" s="1548"/>
      <c r="L11" s="1549"/>
      <c r="M11" s="1548"/>
      <c r="N11" s="1544">
        <f>D11+F11-H11-J11-L11</f>
        <v>0</v>
      </c>
      <c r="O11" s="1545"/>
    </row>
    <row r="12" spans="1:15" ht="17.149999999999999" customHeight="1">
      <c r="A12" s="1487" t="s">
        <v>506</v>
      </c>
      <c r="B12" s="1138"/>
      <c r="C12" s="1546"/>
      <c r="D12" s="1547"/>
      <c r="E12" s="1548"/>
      <c r="F12" s="1547"/>
      <c r="G12" s="1548"/>
      <c r="H12" s="1547"/>
      <c r="I12" s="1548"/>
      <c r="J12" s="1547"/>
      <c r="K12" s="1548"/>
      <c r="L12" s="1549"/>
      <c r="M12" s="1548"/>
      <c r="N12" s="1544">
        <f t="shared" ref="N12:N14" si="0">D12+F12-H12-J12-L12</f>
        <v>0</v>
      </c>
      <c r="O12" s="1545"/>
    </row>
    <row r="13" spans="1:15" ht="17.149999999999999" customHeight="1">
      <c r="A13" s="1487" t="s">
        <v>210</v>
      </c>
      <c r="B13" s="1138"/>
      <c r="C13" s="1546"/>
      <c r="D13" s="1547"/>
      <c r="E13" s="1548"/>
      <c r="F13" s="1547"/>
      <c r="G13" s="1548"/>
      <c r="H13" s="1547"/>
      <c r="I13" s="1548"/>
      <c r="J13" s="1547"/>
      <c r="K13" s="1548"/>
      <c r="L13" s="1549"/>
      <c r="M13" s="1548"/>
      <c r="N13" s="1544">
        <f t="shared" si="0"/>
        <v>0</v>
      </c>
      <c r="O13" s="1545"/>
    </row>
    <row r="14" spans="1:15" ht="17.149999999999999" customHeight="1">
      <c r="A14" s="1487" t="s">
        <v>306</v>
      </c>
      <c r="B14" s="1138"/>
      <c r="C14" s="1546"/>
      <c r="D14" s="1547"/>
      <c r="E14" s="1548"/>
      <c r="F14" s="1547"/>
      <c r="G14" s="1548"/>
      <c r="H14" s="1547"/>
      <c r="I14" s="1548"/>
      <c r="J14" s="1547"/>
      <c r="K14" s="1548"/>
      <c r="L14" s="1549"/>
      <c r="M14" s="1548"/>
      <c r="N14" s="1544">
        <f t="shared" si="0"/>
        <v>0</v>
      </c>
      <c r="O14" s="1545"/>
    </row>
    <row r="15" spans="1:15" ht="17.149999999999999" customHeight="1">
      <c r="A15" s="1534" t="s">
        <v>305</v>
      </c>
      <c r="B15" s="1535"/>
      <c r="C15" s="1536"/>
      <c r="D15" s="1537">
        <f>SUM(D11:E14)</f>
        <v>0</v>
      </c>
      <c r="E15" s="1538"/>
      <c r="F15" s="1537">
        <f t="shared" ref="F15" si="1">SUM(F11:G14)</f>
        <v>0</v>
      </c>
      <c r="G15" s="1538"/>
      <c r="H15" s="1537">
        <f t="shared" ref="H15:L15" si="2">SUM(H11:I14)</f>
        <v>0</v>
      </c>
      <c r="I15" s="1538"/>
      <c r="J15" s="1537">
        <f t="shared" si="2"/>
        <v>0</v>
      </c>
      <c r="K15" s="1538"/>
      <c r="L15" s="1537">
        <f t="shared" si="2"/>
        <v>0</v>
      </c>
      <c r="M15" s="1538"/>
      <c r="N15" s="1537">
        <f t="shared" ref="N15" si="3">SUM(N11:O14)</f>
        <v>0</v>
      </c>
      <c r="O15" s="1539"/>
    </row>
    <row r="16" spans="1:15" ht="17.149999999999999" customHeight="1">
      <c r="A16" s="1487" t="s">
        <v>507</v>
      </c>
      <c r="B16" s="1138"/>
      <c r="C16" s="1546"/>
      <c r="D16" s="1547"/>
      <c r="E16" s="1548"/>
      <c r="F16" s="1547"/>
      <c r="G16" s="1548"/>
      <c r="H16" s="1547"/>
      <c r="I16" s="1548"/>
      <c r="J16" s="1547"/>
      <c r="K16" s="1548"/>
      <c r="L16" s="1549"/>
      <c r="M16" s="1548"/>
      <c r="N16" s="1544">
        <f>D16+F16-H16-J16-L16</f>
        <v>0</v>
      </c>
      <c r="O16" s="1545"/>
    </row>
    <row r="17" spans="1:15" ht="17.149999999999999" customHeight="1">
      <c r="A17" s="1487" t="s">
        <v>508</v>
      </c>
      <c r="B17" s="1138"/>
      <c r="C17" s="1546"/>
      <c r="D17" s="1547"/>
      <c r="E17" s="1548"/>
      <c r="F17" s="1547"/>
      <c r="G17" s="1548"/>
      <c r="H17" s="1547"/>
      <c r="I17" s="1548"/>
      <c r="J17" s="1547"/>
      <c r="K17" s="1548"/>
      <c r="L17" s="1549"/>
      <c r="M17" s="1548"/>
      <c r="N17" s="1544">
        <f t="shared" ref="N17:N22" si="4">D17+F17-H17-J17-L17</f>
        <v>0</v>
      </c>
      <c r="O17" s="1545"/>
    </row>
    <row r="18" spans="1:15" ht="17.149999999999999" customHeight="1">
      <c r="A18" s="1487" t="s">
        <v>509</v>
      </c>
      <c r="B18" s="1138"/>
      <c r="C18" s="1546"/>
      <c r="D18" s="1547"/>
      <c r="E18" s="1548"/>
      <c r="F18" s="1547"/>
      <c r="G18" s="1548"/>
      <c r="H18" s="1547"/>
      <c r="I18" s="1548"/>
      <c r="J18" s="1547"/>
      <c r="K18" s="1548"/>
      <c r="L18" s="1549"/>
      <c r="M18" s="1548"/>
      <c r="N18" s="1544">
        <f t="shared" si="4"/>
        <v>0</v>
      </c>
      <c r="O18" s="1545"/>
    </row>
    <row r="19" spans="1:15" ht="17.149999999999999" customHeight="1">
      <c r="A19" s="1487" t="s">
        <v>510</v>
      </c>
      <c r="B19" s="1138"/>
      <c r="C19" s="1546"/>
      <c r="D19" s="1547"/>
      <c r="E19" s="1548"/>
      <c r="F19" s="1547"/>
      <c r="G19" s="1548"/>
      <c r="H19" s="1547"/>
      <c r="I19" s="1548"/>
      <c r="J19" s="1547"/>
      <c r="K19" s="1548"/>
      <c r="L19" s="1549"/>
      <c r="M19" s="1548"/>
      <c r="N19" s="1544">
        <f t="shared" si="4"/>
        <v>0</v>
      </c>
      <c r="O19" s="1545"/>
    </row>
    <row r="20" spans="1:15" ht="17.149999999999999" customHeight="1">
      <c r="A20" s="1487" t="s">
        <v>511</v>
      </c>
      <c r="B20" s="1138"/>
      <c r="C20" s="1546"/>
      <c r="D20" s="1547"/>
      <c r="E20" s="1548"/>
      <c r="F20" s="1547"/>
      <c r="G20" s="1548"/>
      <c r="H20" s="1547"/>
      <c r="I20" s="1548"/>
      <c r="J20" s="1547"/>
      <c r="K20" s="1548"/>
      <c r="L20" s="1549"/>
      <c r="M20" s="1548"/>
      <c r="N20" s="1544">
        <f t="shared" si="4"/>
        <v>0</v>
      </c>
      <c r="O20" s="1545"/>
    </row>
    <row r="21" spans="1:15" ht="17.149999999999999" customHeight="1">
      <c r="A21" s="1487" t="s">
        <v>234</v>
      </c>
      <c r="B21" s="1138"/>
      <c r="C21" s="1546"/>
      <c r="D21" s="1547"/>
      <c r="E21" s="1548"/>
      <c r="F21" s="1547"/>
      <c r="G21" s="1548"/>
      <c r="H21" s="1547"/>
      <c r="I21" s="1548"/>
      <c r="J21" s="1547"/>
      <c r="K21" s="1548"/>
      <c r="L21" s="1549"/>
      <c r="M21" s="1548"/>
      <c r="N21" s="1544">
        <f t="shared" si="4"/>
        <v>0</v>
      </c>
      <c r="O21" s="1545"/>
    </row>
    <row r="22" spans="1:15" ht="17.149999999999999" customHeight="1">
      <c r="A22" s="1487" t="s">
        <v>238</v>
      </c>
      <c r="B22" s="1138"/>
      <c r="C22" s="1546"/>
      <c r="D22" s="1547"/>
      <c r="E22" s="1548"/>
      <c r="F22" s="1547"/>
      <c r="G22" s="1548"/>
      <c r="H22" s="1547"/>
      <c r="I22" s="1548"/>
      <c r="J22" s="1547"/>
      <c r="K22" s="1548"/>
      <c r="L22" s="1549"/>
      <c r="M22" s="1548"/>
      <c r="N22" s="1544">
        <f t="shared" si="4"/>
        <v>0</v>
      </c>
      <c r="O22" s="1545"/>
    </row>
    <row r="23" spans="1:15" ht="17.149999999999999" customHeight="1">
      <c r="A23" s="1534" t="s">
        <v>307</v>
      </c>
      <c r="B23" s="1535"/>
      <c r="C23" s="1536"/>
      <c r="D23" s="1537">
        <f>SUM(D16:E22)</f>
        <v>0</v>
      </c>
      <c r="E23" s="1538"/>
      <c r="F23" s="1537">
        <f t="shared" ref="F23" si="5">SUM(F16:G22)</f>
        <v>0</v>
      </c>
      <c r="G23" s="1538"/>
      <c r="H23" s="1537">
        <f t="shared" ref="H23:L23" si="6">SUM(H16:I22)</f>
        <v>0</v>
      </c>
      <c r="I23" s="1538"/>
      <c r="J23" s="1537">
        <f t="shared" si="6"/>
        <v>0</v>
      </c>
      <c r="K23" s="1538"/>
      <c r="L23" s="1537">
        <f t="shared" si="6"/>
        <v>0</v>
      </c>
      <c r="M23" s="1538"/>
      <c r="N23" s="1537">
        <f t="shared" ref="N23" si="7">SUM(N16:O22)</f>
        <v>0</v>
      </c>
      <c r="O23" s="1539"/>
    </row>
    <row r="24" spans="1:15" ht="15.75" customHeight="1" thickBot="1">
      <c r="A24" s="1540" t="s">
        <v>303</v>
      </c>
      <c r="B24" s="1541"/>
      <c r="C24" s="1542"/>
      <c r="D24" s="1532">
        <f>D15+D23</f>
        <v>0</v>
      </c>
      <c r="E24" s="1543"/>
      <c r="F24" s="1532">
        <f t="shared" ref="F24" si="8">F15+F23</f>
        <v>0</v>
      </c>
      <c r="G24" s="1543"/>
      <c r="H24" s="1532">
        <f t="shared" ref="H24:L24" si="9">H15+H23</f>
        <v>0</v>
      </c>
      <c r="I24" s="1543"/>
      <c r="J24" s="1532">
        <f t="shared" si="9"/>
        <v>0</v>
      </c>
      <c r="K24" s="1543"/>
      <c r="L24" s="1532">
        <f t="shared" si="9"/>
        <v>0</v>
      </c>
      <c r="M24" s="1543"/>
      <c r="N24" s="1532">
        <f t="shared" ref="N24" si="10">N15+N23</f>
        <v>0</v>
      </c>
      <c r="O24" s="1533"/>
    </row>
    <row r="25" spans="1:15" s="3" customFormat="1" ht="10.5">
      <c r="A25" s="581" t="s">
        <v>1547</v>
      </c>
    </row>
    <row r="26" spans="1:15" s="3" customFormat="1" ht="10.5">
      <c r="A26" s="637" t="s">
        <v>1672</v>
      </c>
    </row>
    <row r="27" spans="1:15" s="3" customFormat="1" ht="9.75" customHeight="1">
      <c r="A27" s="638" t="s">
        <v>1782</v>
      </c>
      <c r="B27" s="440"/>
    </row>
    <row r="28" spans="1:15" s="3" customFormat="1" ht="10.5">
      <c r="A28" s="638" t="s">
        <v>1783</v>
      </c>
      <c r="B28" s="440"/>
    </row>
  </sheetData>
  <sheetProtection selectLockedCells="1"/>
  <mergeCells count="126">
    <mergeCell ref="A9:C9"/>
    <mergeCell ref="D9:E10"/>
    <mergeCell ref="N9:O10"/>
    <mergeCell ref="A10:C10"/>
    <mergeCell ref="L9:M10"/>
    <mergeCell ref="A7:O7"/>
    <mergeCell ref="F10:G10"/>
    <mergeCell ref="F9:G9"/>
    <mergeCell ref="H10:I10"/>
    <mergeCell ref="J10:K10"/>
    <mergeCell ref="H9:K9"/>
    <mergeCell ref="H8:K8"/>
    <mergeCell ref="C5:G5"/>
    <mergeCell ref="A8:C8"/>
    <mergeCell ref="D8:E8"/>
    <mergeCell ref="F8:G8"/>
    <mergeCell ref="N8:O8"/>
    <mergeCell ref="L8:M8"/>
    <mergeCell ref="A1:O1"/>
    <mergeCell ref="N2:O2"/>
    <mergeCell ref="C3:O3"/>
    <mergeCell ref="N4:O4"/>
    <mergeCell ref="L4:M4"/>
    <mergeCell ref="B4:K4"/>
    <mergeCell ref="H5:I5"/>
    <mergeCell ref="J5:K5"/>
    <mergeCell ref="L5:M5"/>
    <mergeCell ref="N5:O5"/>
    <mergeCell ref="A11:C11"/>
    <mergeCell ref="D11:E11"/>
    <mergeCell ref="F11:G11"/>
    <mergeCell ref="H11:I11"/>
    <mergeCell ref="N11:O11"/>
    <mergeCell ref="J11:K11"/>
    <mergeCell ref="L11:M11"/>
    <mergeCell ref="A12:C12"/>
    <mergeCell ref="D12:E12"/>
    <mergeCell ref="F12:G12"/>
    <mergeCell ref="H12:I12"/>
    <mergeCell ref="N12:O12"/>
    <mergeCell ref="J12:K12"/>
    <mergeCell ref="L12:M12"/>
    <mergeCell ref="A13:C13"/>
    <mergeCell ref="D13:E13"/>
    <mergeCell ref="F13:G13"/>
    <mergeCell ref="H13:I13"/>
    <mergeCell ref="N13:O13"/>
    <mergeCell ref="J13:K13"/>
    <mergeCell ref="L13:M13"/>
    <mergeCell ref="A14:C14"/>
    <mergeCell ref="D14:E14"/>
    <mergeCell ref="F14:G14"/>
    <mergeCell ref="H14:I14"/>
    <mergeCell ref="N14:O14"/>
    <mergeCell ref="J14:K14"/>
    <mergeCell ref="L14:M14"/>
    <mergeCell ref="A15:C15"/>
    <mergeCell ref="D15:E15"/>
    <mergeCell ref="F15:G15"/>
    <mergeCell ref="H15:I15"/>
    <mergeCell ref="N15:O15"/>
    <mergeCell ref="J15:K15"/>
    <mergeCell ref="L15:M15"/>
    <mergeCell ref="A16:C16"/>
    <mergeCell ref="D16:E16"/>
    <mergeCell ref="F16:G16"/>
    <mergeCell ref="H16:I16"/>
    <mergeCell ref="N16:O16"/>
    <mergeCell ref="J16:K16"/>
    <mergeCell ref="L16:M16"/>
    <mergeCell ref="A17:C17"/>
    <mergeCell ref="D17:E17"/>
    <mergeCell ref="F17:G17"/>
    <mergeCell ref="H17:I17"/>
    <mergeCell ref="N17:O17"/>
    <mergeCell ref="J17:K17"/>
    <mergeCell ref="L17:M17"/>
    <mergeCell ref="A18:C18"/>
    <mergeCell ref="D18:E18"/>
    <mergeCell ref="F18:G18"/>
    <mergeCell ref="H18:I18"/>
    <mergeCell ref="N18:O18"/>
    <mergeCell ref="J18:K18"/>
    <mergeCell ref="L18:M18"/>
    <mergeCell ref="A19:C19"/>
    <mergeCell ref="D19:E19"/>
    <mergeCell ref="F19:G19"/>
    <mergeCell ref="H19:I19"/>
    <mergeCell ref="N19:O19"/>
    <mergeCell ref="J19:K19"/>
    <mergeCell ref="L19:M19"/>
    <mergeCell ref="A20:C20"/>
    <mergeCell ref="D20:E20"/>
    <mergeCell ref="F20:G20"/>
    <mergeCell ref="H20:I20"/>
    <mergeCell ref="N20:O20"/>
    <mergeCell ref="J20:K20"/>
    <mergeCell ref="L20:M20"/>
    <mergeCell ref="N21:O21"/>
    <mergeCell ref="A22:C22"/>
    <mergeCell ref="D22:E22"/>
    <mergeCell ref="F22:G22"/>
    <mergeCell ref="H22:I22"/>
    <mergeCell ref="N22:O22"/>
    <mergeCell ref="A21:C21"/>
    <mergeCell ref="D21:E21"/>
    <mergeCell ref="F21:G21"/>
    <mergeCell ref="H21:I21"/>
    <mergeCell ref="J21:K21"/>
    <mergeCell ref="J22:K22"/>
    <mergeCell ref="L21:M21"/>
    <mergeCell ref="L22:M22"/>
    <mergeCell ref="N24:O24"/>
    <mergeCell ref="A23:C23"/>
    <mergeCell ref="D23:E23"/>
    <mergeCell ref="F23:G23"/>
    <mergeCell ref="H23:I23"/>
    <mergeCell ref="N23:O23"/>
    <mergeCell ref="A24:C24"/>
    <mergeCell ref="D24:E24"/>
    <mergeCell ref="F24:G24"/>
    <mergeCell ref="H24:I24"/>
    <mergeCell ref="J23:K23"/>
    <mergeCell ref="J24:K24"/>
    <mergeCell ref="L24:M24"/>
    <mergeCell ref="L23:M23"/>
  </mergeCells>
  <dataValidations count="1">
    <dataValidation type="whole" allowBlank="1" showInputMessage="1" showErrorMessage="1" errorTitle="Attention !" error="Valeur numérique attendue" sqref="D11:J14 L16:L22 D16:J22 L11:L14" xr:uid="{00000000-0002-0000-1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26"/>
  <sheetViews>
    <sheetView showGridLines="0" topLeftCell="A8" workbookViewId="0">
      <selection activeCell="A8" sqref="A8:K24"/>
    </sheetView>
  </sheetViews>
  <sheetFormatPr baseColWidth="10" defaultRowHeight="14.5"/>
  <cols>
    <col min="2" max="2" width="16.453125" customWidth="1"/>
    <col min="3" max="3" width="20.54296875" customWidth="1"/>
    <col min="4" max="11" width="13.453125" customWidth="1"/>
  </cols>
  <sheetData>
    <row r="1" spans="1:11">
      <c r="A1" s="1134" t="s">
        <v>183</v>
      </c>
      <c r="B1" s="1134"/>
      <c r="C1" s="1134"/>
      <c r="D1" s="1134"/>
      <c r="E1" s="1134"/>
      <c r="F1" s="1134"/>
      <c r="G1" s="1134"/>
      <c r="H1" s="1134"/>
      <c r="I1" s="1134"/>
      <c r="J1" s="1134"/>
      <c r="K1" s="1134"/>
    </row>
    <row r="2" spans="1:11" ht="25" customHeight="1">
      <c r="A2" s="40"/>
      <c r="B2" s="40"/>
      <c r="C2" s="40"/>
      <c r="D2" s="40"/>
      <c r="E2" s="40"/>
      <c r="F2" s="40"/>
      <c r="G2" s="40"/>
      <c r="H2" s="23"/>
      <c r="I2" s="23"/>
      <c r="J2" s="1135" t="s">
        <v>1924</v>
      </c>
      <c r="K2" s="1137"/>
    </row>
    <row r="3" spans="1:11">
      <c r="A3" s="7" t="s">
        <v>26</v>
      </c>
      <c r="B3" s="7"/>
      <c r="C3" s="1560">
        <f>'NOTE 1'!C3</f>
        <v>0</v>
      </c>
      <c r="D3" s="1560"/>
      <c r="E3" s="1560"/>
      <c r="F3" s="1560"/>
      <c r="G3" s="1560"/>
      <c r="H3" s="1560"/>
      <c r="I3" s="1560"/>
      <c r="J3" s="1221"/>
      <c r="K3" s="1221"/>
    </row>
    <row r="4" spans="1:11">
      <c r="A4" s="7" t="s">
        <v>27</v>
      </c>
      <c r="B4" s="1158">
        <f>'NOTE 1'!B4</f>
        <v>0</v>
      </c>
      <c r="C4" s="1147"/>
      <c r="D4" s="1147"/>
      <c r="E4" s="1147"/>
      <c r="F4" s="1147"/>
      <c r="G4" s="1147"/>
      <c r="H4" s="1147"/>
      <c r="I4" s="1147"/>
      <c r="J4" s="569" t="s">
        <v>28</v>
      </c>
      <c r="K4" s="119">
        <f>'NOTE 1'!I4</f>
        <v>0</v>
      </c>
    </row>
    <row r="5" spans="1:11">
      <c r="A5" s="7" t="s">
        <v>2021</v>
      </c>
      <c r="B5" s="7"/>
      <c r="C5" s="1221">
        <f>'NOTE 1'!C5</f>
        <v>0</v>
      </c>
      <c r="D5" s="1221"/>
      <c r="E5" s="1386" t="s">
        <v>30</v>
      </c>
      <c r="F5" s="1386"/>
      <c r="G5" s="1168">
        <f>'NOTE 1'!G5</f>
        <v>0</v>
      </c>
      <c r="H5" s="1168"/>
      <c r="I5" s="1168"/>
      <c r="J5" s="61" t="s">
        <v>1741</v>
      </c>
      <c r="K5" s="119">
        <f>'NOTE 1'!I5</f>
        <v>0</v>
      </c>
    </row>
    <row r="6" spans="1:11">
      <c r="A6" s="7" t="s">
        <v>2026</v>
      </c>
      <c r="B6" s="7"/>
      <c r="C6" s="1461">
        <f>'NOTE 1'!C6</f>
        <v>0</v>
      </c>
      <c r="D6" s="1461"/>
      <c r="E6" s="263"/>
      <c r="F6" s="59"/>
      <c r="G6" s="44"/>
      <c r="H6" s="263"/>
      <c r="I6" s="263"/>
      <c r="J6" s="44"/>
      <c r="K6" s="44"/>
    </row>
    <row r="7" spans="1:11" ht="35.15" customHeight="1" thickBot="1">
      <c r="A7" s="1169" t="s">
        <v>1923</v>
      </c>
      <c r="B7" s="1169"/>
      <c r="C7" s="1169"/>
      <c r="D7" s="1169"/>
      <c r="E7" s="1169"/>
      <c r="F7" s="1169"/>
      <c r="G7" s="1169"/>
      <c r="H7" s="1169"/>
      <c r="I7" s="1169"/>
      <c r="J7" s="1169"/>
      <c r="K7" s="1169"/>
    </row>
    <row r="8" spans="1:11">
      <c r="A8" s="1553" t="s">
        <v>483</v>
      </c>
      <c r="B8" s="1554"/>
      <c r="C8" s="1555"/>
      <c r="D8" s="1556" t="s">
        <v>95</v>
      </c>
      <c r="E8" s="1556"/>
      <c r="F8" s="1556" t="s">
        <v>327</v>
      </c>
      <c r="G8" s="1556"/>
      <c r="H8" s="1558" t="s">
        <v>330</v>
      </c>
      <c r="I8" s="1559"/>
      <c r="J8" s="1556" t="s">
        <v>500</v>
      </c>
      <c r="K8" s="1557"/>
    </row>
    <row r="9" spans="1:11">
      <c r="A9" s="1563"/>
      <c r="B9" s="1564"/>
      <c r="C9" s="1565"/>
      <c r="D9" s="1569" t="s">
        <v>1742</v>
      </c>
      <c r="E9" s="1569"/>
      <c r="F9" s="1569" t="s">
        <v>505</v>
      </c>
      <c r="G9" s="1569"/>
      <c r="H9" s="1569" t="s">
        <v>1743</v>
      </c>
      <c r="I9" s="1569"/>
      <c r="J9" s="1569" t="s">
        <v>1744</v>
      </c>
      <c r="K9" s="1570"/>
    </row>
    <row r="10" spans="1:11" ht="46.5" customHeight="1">
      <c r="A10" s="1571" t="s">
        <v>490</v>
      </c>
      <c r="B10" s="1572"/>
      <c r="C10" s="1573"/>
      <c r="D10" s="1569"/>
      <c r="E10" s="1569"/>
      <c r="F10" s="1569"/>
      <c r="G10" s="1569"/>
      <c r="H10" s="1569"/>
      <c r="I10" s="1569"/>
      <c r="J10" s="1569"/>
      <c r="K10" s="1570"/>
    </row>
    <row r="11" spans="1:11" ht="17.149999999999999" customHeight="1">
      <c r="A11" s="1550" t="s">
        <v>491</v>
      </c>
      <c r="B11" s="1551"/>
      <c r="C11" s="1552"/>
      <c r="D11" s="1547"/>
      <c r="E11" s="1548"/>
      <c r="F11" s="1547"/>
      <c r="G11" s="1548"/>
      <c r="H11" s="1547"/>
      <c r="I11" s="1548"/>
      <c r="J11" s="1544">
        <f>D11+F11-H11</f>
        <v>0</v>
      </c>
      <c r="K11" s="1545"/>
    </row>
    <row r="12" spans="1:11" ht="17.149999999999999" customHeight="1">
      <c r="A12" s="1487" t="s">
        <v>506</v>
      </c>
      <c r="B12" s="1138"/>
      <c r="C12" s="1546"/>
      <c r="D12" s="1547"/>
      <c r="E12" s="1548"/>
      <c r="F12" s="1547"/>
      <c r="G12" s="1548"/>
      <c r="H12" s="1547"/>
      <c r="I12" s="1548"/>
      <c r="J12" s="1544">
        <f t="shared" ref="J12:J14" si="0">D12+F12-H12</f>
        <v>0</v>
      </c>
      <c r="K12" s="1545"/>
    </row>
    <row r="13" spans="1:11" ht="17.149999999999999" customHeight="1">
      <c r="A13" s="1487" t="s">
        <v>210</v>
      </c>
      <c r="B13" s="1138"/>
      <c r="C13" s="1546"/>
      <c r="D13" s="1547"/>
      <c r="E13" s="1548"/>
      <c r="F13" s="1547"/>
      <c r="G13" s="1548"/>
      <c r="H13" s="1547"/>
      <c r="I13" s="1548"/>
      <c r="J13" s="1544">
        <f t="shared" si="0"/>
        <v>0</v>
      </c>
      <c r="K13" s="1545"/>
    </row>
    <row r="14" spans="1:11" ht="17.149999999999999" customHeight="1">
      <c r="A14" s="1487" t="s">
        <v>306</v>
      </c>
      <c r="B14" s="1138"/>
      <c r="C14" s="1546"/>
      <c r="D14" s="1547"/>
      <c r="E14" s="1548"/>
      <c r="F14" s="1547"/>
      <c r="G14" s="1548"/>
      <c r="H14" s="1547"/>
      <c r="I14" s="1548"/>
      <c r="J14" s="1544">
        <f t="shared" si="0"/>
        <v>0</v>
      </c>
      <c r="K14" s="1545"/>
    </row>
    <row r="15" spans="1:11" ht="17.149999999999999" customHeight="1">
      <c r="A15" s="1534" t="s">
        <v>305</v>
      </c>
      <c r="B15" s="1535"/>
      <c r="C15" s="1536"/>
      <c r="D15" s="1537">
        <f>SUM(D11:E14)</f>
        <v>0</v>
      </c>
      <c r="E15" s="1538"/>
      <c r="F15" s="1537">
        <f t="shared" ref="F15" si="1">SUM(F11:G14)</f>
        <v>0</v>
      </c>
      <c r="G15" s="1538"/>
      <c r="H15" s="1537">
        <f t="shared" ref="H15" si="2">SUM(H11:I14)</f>
        <v>0</v>
      </c>
      <c r="I15" s="1538"/>
      <c r="J15" s="1537">
        <f t="shared" ref="J15" si="3">SUM(J11:K14)</f>
        <v>0</v>
      </c>
      <c r="K15" s="1539"/>
    </row>
    <row r="16" spans="1:11" ht="17.149999999999999" customHeight="1">
      <c r="A16" s="1487" t="s">
        <v>507</v>
      </c>
      <c r="B16" s="1138"/>
      <c r="C16" s="1546"/>
      <c r="D16" s="1547"/>
      <c r="E16" s="1548"/>
      <c r="F16" s="1547"/>
      <c r="G16" s="1548"/>
      <c r="H16" s="1547"/>
      <c r="I16" s="1548"/>
      <c r="J16" s="1544">
        <f>D16+F16-H16</f>
        <v>0</v>
      </c>
      <c r="K16" s="1545"/>
    </row>
    <row r="17" spans="1:11" ht="17.149999999999999" customHeight="1">
      <c r="A17" s="1487" t="s">
        <v>508</v>
      </c>
      <c r="B17" s="1138"/>
      <c r="C17" s="1546"/>
      <c r="D17" s="1547"/>
      <c r="E17" s="1548"/>
      <c r="F17" s="1547"/>
      <c r="G17" s="1548"/>
      <c r="H17" s="1547"/>
      <c r="I17" s="1548"/>
      <c r="J17" s="1544">
        <f t="shared" ref="J17:J22" si="4">D17+F17-H17</f>
        <v>0</v>
      </c>
      <c r="K17" s="1545"/>
    </row>
    <row r="18" spans="1:11" ht="17.149999999999999" customHeight="1">
      <c r="A18" s="1487" t="s">
        <v>509</v>
      </c>
      <c r="B18" s="1138"/>
      <c r="C18" s="1546"/>
      <c r="D18" s="1547"/>
      <c r="E18" s="1548"/>
      <c r="F18" s="1547"/>
      <c r="G18" s="1548"/>
      <c r="H18" s="1547"/>
      <c r="I18" s="1548"/>
      <c r="J18" s="1544">
        <f t="shared" si="4"/>
        <v>0</v>
      </c>
      <c r="K18" s="1545"/>
    </row>
    <row r="19" spans="1:11" ht="17.149999999999999" customHeight="1">
      <c r="A19" s="1487" t="s">
        <v>510</v>
      </c>
      <c r="B19" s="1138"/>
      <c r="C19" s="1546"/>
      <c r="D19" s="1547"/>
      <c r="E19" s="1548"/>
      <c r="F19" s="1547"/>
      <c r="G19" s="1548"/>
      <c r="H19" s="1547"/>
      <c r="I19" s="1548"/>
      <c r="J19" s="1544">
        <f t="shared" si="4"/>
        <v>0</v>
      </c>
      <c r="K19" s="1545"/>
    </row>
    <row r="20" spans="1:11" ht="17.149999999999999" customHeight="1">
      <c r="A20" s="1487" t="s">
        <v>511</v>
      </c>
      <c r="B20" s="1138"/>
      <c r="C20" s="1546"/>
      <c r="D20" s="1547"/>
      <c r="E20" s="1548"/>
      <c r="F20" s="1547"/>
      <c r="G20" s="1548"/>
      <c r="H20" s="1547"/>
      <c r="I20" s="1548"/>
      <c r="J20" s="1544">
        <f t="shared" si="4"/>
        <v>0</v>
      </c>
      <c r="K20" s="1545"/>
    </row>
    <row r="21" spans="1:11" ht="17.149999999999999" customHeight="1">
      <c r="A21" s="1487" t="s">
        <v>234</v>
      </c>
      <c r="B21" s="1138"/>
      <c r="C21" s="1546"/>
      <c r="D21" s="1547"/>
      <c r="E21" s="1548"/>
      <c r="F21" s="1547"/>
      <c r="G21" s="1548"/>
      <c r="H21" s="1547"/>
      <c r="I21" s="1548"/>
      <c r="J21" s="1544">
        <f t="shared" si="4"/>
        <v>0</v>
      </c>
      <c r="K21" s="1545"/>
    </row>
    <row r="22" spans="1:11" ht="17.149999999999999" customHeight="1">
      <c r="A22" s="1487" t="s">
        <v>238</v>
      </c>
      <c r="B22" s="1138"/>
      <c r="C22" s="1546"/>
      <c r="D22" s="1547"/>
      <c r="E22" s="1548"/>
      <c r="F22" s="1547"/>
      <c r="G22" s="1548"/>
      <c r="H22" s="1547"/>
      <c r="I22" s="1548"/>
      <c r="J22" s="1544">
        <f t="shared" si="4"/>
        <v>0</v>
      </c>
      <c r="K22" s="1545"/>
    </row>
    <row r="23" spans="1:11" ht="17.149999999999999" customHeight="1">
      <c r="A23" s="1534" t="s">
        <v>307</v>
      </c>
      <c r="B23" s="1535"/>
      <c r="C23" s="1536"/>
      <c r="D23" s="1537">
        <f>SUM(D16:E22)</f>
        <v>0</v>
      </c>
      <c r="E23" s="1538"/>
      <c r="F23" s="1537">
        <f t="shared" ref="F23" si="5">SUM(F16:G22)</f>
        <v>0</v>
      </c>
      <c r="G23" s="1538"/>
      <c r="H23" s="1537">
        <f t="shared" ref="H23" si="6">SUM(H16:I22)</f>
        <v>0</v>
      </c>
      <c r="I23" s="1538"/>
      <c r="J23" s="1537">
        <f t="shared" ref="J23" si="7">SUM(J16:K22)</f>
        <v>0</v>
      </c>
      <c r="K23" s="1539"/>
    </row>
    <row r="24" spans="1:11" ht="17.149999999999999" customHeight="1" thickBot="1">
      <c r="A24" s="1540" t="s">
        <v>303</v>
      </c>
      <c r="B24" s="1541"/>
      <c r="C24" s="1542"/>
      <c r="D24" s="1532">
        <f>D15+D23</f>
        <v>0</v>
      </c>
      <c r="E24" s="1543"/>
      <c r="F24" s="1532">
        <f t="shared" ref="F24" si="8">F15+F23</f>
        <v>0</v>
      </c>
      <c r="G24" s="1543"/>
      <c r="H24" s="1532">
        <f t="shared" ref="H24" si="9">H15+H23</f>
        <v>0</v>
      </c>
      <c r="I24" s="1543"/>
      <c r="J24" s="1532">
        <f t="shared" ref="J24" si="10">J15+J23</f>
        <v>0</v>
      </c>
      <c r="K24" s="1533"/>
    </row>
    <row r="25" spans="1:11" s="3" customFormat="1" ht="10.5">
      <c r="A25" s="581" t="s">
        <v>1547</v>
      </c>
      <c r="B25" s="440"/>
      <c r="C25" s="440"/>
      <c r="D25" s="440"/>
      <c r="E25" s="440"/>
      <c r="F25" s="440"/>
      <c r="G25" s="440"/>
      <c r="H25" s="440"/>
      <c r="I25" s="440"/>
      <c r="J25" s="440"/>
      <c r="K25" s="440"/>
    </row>
    <row r="26" spans="1:11" s="3" customFormat="1" ht="10.5">
      <c r="A26" s="639" t="s">
        <v>1686</v>
      </c>
      <c r="B26" s="440"/>
      <c r="C26" s="440"/>
      <c r="D26" s="440"/>
      <c r="E26" s="440"/>
      <c r="F26" s="440"/>
      <c r="G26" s="440"/>
      <c r="H26" s="440"/>
      <c r="I26" s="440"/>
      <c r="J26" s="440"/>
      <c r="K26" s="440"/>
    </row>
  </sheetData>
  <mergeCells count="90">
    <mergeCell ref="A23:C23"/>
    <mergeCell ref="D23:E23"/>
    <mergeCell ref="F23:G23"/>
    <mergeCell ref="H23:I23"/>
    <mergeCell ref="J23:K23"/>
    <mergeCell ref="A24:C24"/>
    <mergeCell ref="D24:E24"/>
    <mergeCell ref="F24:G24"/>
    <mergeCell ref="H24:I24"/>
    <mergeCell ref="J24:K24"/>
    <mergeCell ref="A21:C21"/>
    <mergeCell ref="D21:E21"/>
    <mergeCell ref="F21:G21"/>
    <mergeCell ref="H21:I21"/>
    <mergeCell ref="J21:K21"/>
    <mergeCell ref="A22:C22"/>
    <mergeCell ref="D22:E22"/>
    <mergeCell ref="F22:G22"/>
    <mergeCell ref="H22:I22"/>
    <mergeCell ref="J22:K22"/>
    <mergeCell ref="A19:C19"/>
    <mergeCell ref="D19:E19"/>
    <mergeCell ref="F19:G19"/>
    <mergeCell ref="H19:I19"/>
    <mergeCell ref="J19:K19"/>
    <mergeCell ref="A20:C20"/>
    <mergeCell ref="D20:E20"/>
    <mergeCell ref="F20:G20"/>
    <mergeCell ref="H20:I20"/>
    <mergeCell ref="J20:K20"/>
    <mergeCell ref="A17:C17"/>
    <mergeCell ref="D17:E17"/>
    <mergeCell ref="F17:G17"/>
    <mergeCell ref="H17:I17"/>
    <mergeCell ref="J17:K17"/>
    <mergeCell ref="A18:C18"/>
    <mergeCell ref="D18:E18"/>
    <mergeCell ref="F18:G18"/>
    <mergeCell ref="H18:I18"/>
    <mergeCell ref="J18:K18"/>
    <mergeCell ref="A15:C15"/>
    <mergeCell ref="D15:E15"/>
    <mergeCell ref="F15:G15"/>
    <mergeCell ref="H15:I15"/>
    <mergeCell ref="J15:K15"/>
    <mergeCell ref="A16:C16"/>
    <mergeCell ref="D16:E16"/>
    <mergeCell ref="F16:G16"/>
    <mergeCell ref="H16:I16"/>
    <mergeCell ref="J16:K16"/>
    <mergeCell ref="A13:C13"/>
    <mergeCell ref="D13:E13"/>
    <mergeCell ref="F13:G13"/>
    <mergeCell ref="H13:I13"/>
    <mergeCell ref="J13:K13"/>
    <mergeCell ref="A14:C14"/>
    <mergeCell ref="D14:E14"/>
    <mergeCell ref="F14:G14"/>
    <mergeCell ref="H14:I14"/>
    <mergeCell ref="J14:K14"/>
    <mergeCell ref="A11:C11"/>
    <mergeCell ref="D11:E11"/>
    <mergeCell ref="F11:G11"/>
    <mergeCell ref="H11:I11"/>
    <mergeCell ref="J11:K11"/>
    <mergeCell ref="A12:C12"/>
    <mergeCell ref="D12:E12"/>
    <mergeCell ref="F12:G12"/>
    <mergeCell ref="H12:I12"/>
    <mergeCell ref="J12:K12"/>
    <mergeCell ref="A9:C9"/>
    <mergeCell ref="D9:E10"/>
    <mergeCell ref="F9:G10"/>
    <mergeCell ref="H9:I10"/>
    <mergeCell ref="J9:K10"/>
    <mergeCell ref="A10:C10"/>
    <mergeCell ref="C6:D6"/>
    <mergeCell ref="A7:K7"/>
    <mergeCell ref="A8:C8"/>
    <mergeCell ref="D8:E8"/>
    <mergeCell ref="F8:G8"/>
    <mergeCell ref="H8:I8"/>
    <mergeCell ref="J8:K8"/>
    <mergeCell ref="A1:K1"/>
    <mergeCell ref="J2:K2"/>
    <mergeCell ref="C3:K3"/>
    <mergeCell ref="B4:I4"/>
    <mergeCell ref="C5:D5"/>
    <mergeCell ref="E5:F5"/>
    <mergeCell ref="G5:I5"/>
  </mergeCells>
  <dataValidations count="1">
    <dataValidation type="whole" allowBlank="1" showInputMessage="1" showErrorMessage="1" errorTitle="Attention !" error="Valeur numérique attendue" sqref="D11:I14 D16:I22" xr:uid="{00000000-0002-0000-1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pageSetUpPr fitToPage="1"/>
  </sheetPr>
  <dimension ref="A1:H26"/>
  <sheetViews>
    <sheetView showGridLines="0" topLeftCell="A7" zoomScaleNormal="100" workbookViewId="0">
      <selection activeCell="A8" sqref="A8:H24"/>
    </sheetView>
  </sheetViews>
  <sheetFormatPr baseColWidth="10" defaultRowHeight="14.5"/>
  <cols>
    <col min="2" max="2" width="17" customWidth="1"/>
    <col min="3" max="3" width="27.54296875" customWidth="1"/>
    <col min="4" max="8" width="17.453125" customWidth="1"/>
  </cols>
  <sheetData>
    <row r="1" spans="1:8">
      <c r="A1" s="1134" t="s">
        <v>183</v>
      </c>
      <c r="B1" s="1134"/>
      <c r="C1" s="1134"/>
      <c r="D1" s="1134"/>
      <c r="E1" s="1134"/>
      <c r="F1" s="1134"/>
      <c r="G1" s="1134"/>
      <c r="H1" s="1134"/>
    </row>
    <row r="2" spans="1:8" ht="25" customHeight="1">
      <c r="A2" s="40"/>
      <c r="B2" s="40"/>
      <c r="C2" s="40"/>
      <c r="D2" s="40"/>
      <c r="E2" s="40"/>
      <c r="F2" s="40"/>
      <c r="G2" s="1135" t="s">
        <v>1926</v>
      </c>
      <c r="H2" s="1137"/>
    </row>
    <row r="3" spans="1:8" s="127" customFormat="1" ht="15" customHeight="1">
      <c r="A3" s="7" t="s">
        <v>26</v>
      </c>
      <c r="B3" s="7"/>
      <c r="C3" s="1221">
        <f>'NOTE 1'!C3</f>
        <v>0</v>
      </c>
      <c r="D3" s="1221"/>
      <c r="E3" s="1221"/>
      <c r="F3" s="1221"/>
      <c r="G3" s="1221"/>
      <c r="H3" s="1221"/>
    </row>
    <row r="4" spans="1:8" s="127" customFormat="1" ht="15" customHeight="1">
      <c r="A4" s="7" t="s">
        <v>27</v>
      </c>
      <c r="B4" s="1221">
        <f>'NOTE 1'!B4</f>
        <v>0</v>
      </c>
      <c r="C4" s="1221"/>
      <c r="D4" s="1221"/>
      <c r="E4" s="1221"/>
      <c r="F4" s="1221"/>
      <c r="G4" s="61" t="s">
        <v>28</v>
      </c>
      <c r="H4" s="119">
        <f>'NOTE 1'!I4</f>
        <v>0</v>
      </c>
    </row>
    <row r="5" spans="1:8" s="127" customFormat="1" ht="15" customHeight="1">
      <c r="A5" s="7" t="s">
        <v>2021</v>
      </c>
      <c r="B5" s="7"/>
      <c r="C5" s="112">
        <f>'NOTE 1'!C5</f>
        <v>0</v>
      </c>
      <c r="D5" s="43" t="s">
        <v>30</v>
      </c>
      <c r="E5" s="1214">
        <f>'NOTE 1'!G5</f>
        <v>0</v>
      </c>
      <c r="F5" s="1214"/>
      <c r="G5" s="61" t="s">
        <v>31</v>
      </c>
      <c r="H5" s="44">
        <f>'NOTE 1'!I5</f>
        <v>0</v>
      </c>
    </row>
    <row r="6" spans="1:8" s="127" customFormat="1" ht="15" customHeight="1">
      <c r="A6" s="7" t="s">
        <v>2024</v>
      </c>
      <c r="B6" s="7"/>
      <c r="C6" s="300">
        <f>'NOTE 1'!C6</f>
        <v>0</v>
      </c>
      <c r="D6" s="262"/>
      <c r="E6" s="59"/>
      <c r="F6" s="59"/>
      <c r="G6" s="263"/>
      <c r="H6" s="44"/>
    </row>
    <row r="7" spans="1:8" ht="35.15" customHeight="1" thickBot="1">
      <c r="A7" s="1169" t="s">
        <v>1925</v>
      </c>
      <c r="B7" s="1169"/>
      <c r="C7" s="1169"/>
      <c r="D7" s="1169"/>
      <c r="E7" s="1169"/>
      <c r="F7" s="1169"/>
      <c r="G7" s="1169"/>
      <c r="H7" s="1169"/>
    </row>
    <row r="8" spans="1:8" s="3" customFormat="1" ht="37.5" customHeight="1">
      <c r="A8" s="1527" t="s">
        <v>483</v>
      </c>
      <c r="B8" s="1528"/>
      <c r="C8" s="1579"/>
      <c r="D8" s="850" t="s">
        <v>512</v>
      </c>
      <c r="E8" s="850" t="s">
        <v>513</v>
      </c>
      <c r="F8" s="850" t="s">
        <v>1122</v>
      </c>
      <c r="G8" s="850" t="s">
        <v>514</v>
      </c>
      <c r="H8" s="851" t="s">
        <v>515</v>
      </c>
    </row>
    <row r="9" spans="1:8" s="3" customFormat="1" ht="20.25" customHeight="1">
      <c r="A9" s="1488" t="s">
        <v>490</v>
      </c>
      <c r="B9" s="1489"/>
      <c r="C9" s="1490"/>
      <c r="D9" s="303" t="s">
        <v>95</v>
      </c>
      <c r="E9" s="303" t="s">
        <v>327</v>
      </c>
      <c r="F9" s="303" t="s">
        <v>516</v>
      </c>
      <c r="G9" s="303" t="s">
        <v>333</v>
      </c>
      <c r="H9" s="852" t="s">
        <v>517</v>
      </c>
    </row>
    <row r="10" spans="1:8" s="1" customFormat="1" ht="17.149999999999999" customHeight="1">
      <c r="A10" s="1487" t="s">
        <v>202</v>
      </c>
      <c r="B10" s="1138"/>
      <c r="C10" s="1546"/>
      <c r="D10" s="64"/>
      <c r="E10" s="64"/>
      <c r="F10" s="46">
        <f t="shared" ref="F10:F13" si="0">D10-E10</f>
        <v>0</v>
      </c>
      <c r="G10" s="64"/>
      <c r="H10" s="846">
        <f t="shared" ref="H10:H13" si="1">G10-F10</f>
        <v>0</v>
      </c>
    </row>
    <row r="11" spans="1:8" s="1" customFormat="1" ht="17.149999999999999" customHeight="1">
      <c r="A11" s="1487" t="s">
        <v>506</v>
      </c>
      <c r="B11" s="1138"/>
      <c r="C11" s="1546"/>
      <c r="D11" s="64"/>
      <c r="E11" s="64"/>
      <c r="F11" s="46">
        <f t="shared" si="0"/>
        <v>0</v>
      </c>
      <c r="G11" s="64"/>
      <c r="H11" s="846">
        <f t="shared" si="1"/>
        <v>0</v>
      </c>
    </row>
    <row r="12" spans="1:8" s="1" customFormat="1" ht="17.149999999999999" customHeight="1">
      <c r="A12" s="1487" t="s">
        <v>210</v>
      </c>
      <c r="B12" s="1138"/>
      <c r="C12" s="1546"/>
      <c r="D12" s="64"/>
      <c r="E12" s="64"/>
      <c r="F12" s="46">
        <f t="shared" si="0"/>
        <v>0</v>
      </c>
      <c r="G12" s="64"/>
      <c r="H12" s="846">
        <f t="shared" si="1"/>
        <v>0</v>
      </c>
    </row>
    <row r="13" spans="1:8" s="1" customFormat="1" ht="17.149999999999999" customHeight="1">
      <c r="A13" s="1487" t="s">
        <v>306</v>
      </c>
      <c r="B13" s="1138"/>
      <c r="C13" s="1546"/>
      <c r="D13" s="64"/>
      <c r="E13" s="64"/>
      <c r="F13" s="46">
        <f t="shared" si="0"/>
        <v>0</v>
      </c>
      <c r="G13" s="64"/>
      <c r="H13" s="846">
        <f t="shared" si="1"/>
        <v>0</v>
      </c>
    </row>
    <row r="14" spans="1:8" s="1" customFormat="1" ht="17.149999999999999" customHeight="1">
      <c r="A14" s="1534" t="s">
        <v>305</v>
      </c>
      <c r="B14" s="1535"/>
      <c r="C14" s="1536"/>
      <c r="D14" s="130">
        <f>SUM(D10:D13)</f>
        <v>0</v>
      </c>
      <c r="E14" s="130">
        <f>SUM(E10:E13)</f>
        <v>0</v>
      </c>
      <c r="F14" s="130">
        <f>SUM(F10:F13)</f>
        <v>0</v>
      </c>
      <c r="G14" s="130">
        <f>SUM(G10:G13)</f>
        <v>0</v>
      </c>
      <c r="H14" s="853">
        <f>SUM(H10:H13)</f>
        <v>0</v>
      </c>
    </row>
    <row r="15" spans="1:8" s="1" customFormat="1" ht="17.149999999999999" customHeight="1">
      <c r="A15" s="1487" t="s">
        <v>503</v>
      </c>
      <c r="B15" s="1138"/>
      <c r="C15" s="1546"/>
      <c r="D15" s="64"/>
      <c r="E15" s="64"/>
      <c r="F15" s="46">
        <f>D15-E15</f>
        <v>0</v>
      </c>
      <c r="G15" s="64"/>
      <c r="H15" s="846">
        <f>G15-F15</f>
        <v>0</v>
      </c>
    </row>
    <row r="16" spans="1:8" s="1" customFormat="1" ht="17.149999999999999" customHeight="1">
      <c r="A16" s="1487" t="s">
        <v>226</v>
      </c>
      <c r="B16" s="1138"/>
      <c r="C16" s="1546"/>
      <c r="D16" s="64"/>
      <c r="E16" s="64"/>
      <c r="F16" s="46">
        <f t="shared" ref="F16:F19" si="2">D16-E16</f>
        <v>0</v>
      </c>
      <c r="G16" s="64"/>
      <c r="H16" s="846">
        <f t="shared" ref="H16:H19" si="3">G16-F16</f>
        <v>0</v>
      </c>
    </row>
    <row r="17" spans="1:8" s="1" customFormat="1" ht="17.149999999999999" customHeight="1">
      <c r="A17" s="1487" t="s">
        <v>511</v>
      </c>
      <c r="B17" s="1138"/>
      <c r="C17" s="1546"/>
      <c r="D17" s="64"/>
      <c r="E17" s="64"/>
      <c r="F17" s="46">
        <f t="shared" si="2"/>
        <v>0</v>
      </c>
      <c r="G17" s="64"/>
      <c r="H17" s="846">
        <f t="shared" si="3"/>
        <v>0</v>
      </c>
    </row>
    <row r="18" spans="1:8" s="1" customFormat="1" ht="17.149999999999999" customHeight="1">
      <c r="A18" s="1487" t="s">
        <v>234</v>
      </c>
      <c r="B18" s="1138"/>
      <c r="C18" s="1546"/>
      <c r="D18" s="64"/>
      <c r="E18" s="64"/>
      <c r="F18" s="46">
        <f t="shared" si="2"/>
        <v>0</v>
      </c>
      <c r="G18" s="64"/>
      <c r="H18" s="846">
        <f t="shared" si="3"/>
        <v>0</v>
      </c>
    </row>
    <row r="19" spans="1:8" s="1" customFormat="1" ht="17.149999999999999" customHeight="1">
      <c r="A19" s="1487" t="s">
        <v>238</v>
      </c>
      <c r="B19" s="1138"/>
      <c r="C19" s="1546"/>
      <c r="D19" s="64"/>
      <c r="E19" s="64"/>
      <c r="F19" s="46">
        <f t="shared" si="2"/>
        <v>0</v>
      </c>
      <c r="G19" s="64"/>
      <c r="H19" s="846">
        <f t="shared" si="3"/>
        <v>0</v>
      </c>
    </row>
    <row r="20" spans="1:8" s="1" customFormat="1" ht="17.149999999999999" customHeight="1">
      <c r="A20" s="1534" t="s">
        <v>307</v>
      </c>
      <c r="B20" s="1535"/>
      <c r="C20" s="1536"/>
      <c r="D20" s="130">
        <f>SUM(D15:D19)</f>
        <v>0</v>
      </c>
      <c r="E20" s="130">
        <f t="shared" ref="E20:H20" si="4">SUM(E15:E19)</f>
        <v>0</v>
      </c>
      <c r="F20" s="130">
        <f t="shared" si="4"/>
        <v>0</v>
      </c>
      <c r="G20" s="130">
        <f t="shared" si="4"/>
        <v>0</v>
      </c>
      <c r="H20" s="853">
        <f t="shared" si="4"/>
        <v>0</v>
      </c>
    </row>
    <row r="21" spans="1:8" s="1" customFormat="1" ht="17.149999999999999" customHeight="1">
      <c r="A21" s="1487" t="s">
        <v>518</v>
      </c>
      <c r="B21" s="1138"/>
      <c r="C21" s="1546"/>
      <c r="D21" s="64"/>
      <c r="E21" s="64"/>
      <c r="F21" s="46">
        <f>D21-E21</f>
        <v>0</v>
      </c>
      <c r="G21" s="64"/>
      <c r="H21" s="846">
        <f>G21-F21</f>
        <v>0</v>
      </c>
    </row>
    <row r="22" spans="1:8" s="1" customFormat="1" ht="17.149999999999999" customHeight="1">
      <c r="A22" s="1487" t="s">
        <v>309</v>
      </c>
      <c r="B22" s="1138"/>
      <c r="C22" s="1546"/>
      <c r="D22" s="64"/>
      <c r="E22" s="64"/>
      <c r="F22" s="46">
        <f>D22-E22</f>
        <v>0</v>
      </c>
      <c r="G22" s="64"/>
      <c r="H22" s="846">
        <f>G22-F22</f>
        <v>0</v>
      </c>
    </row>
    <row r="23" spans="1:8" s="1" customFormat="1" ht="17.149999999999999" customHeight="1">
      <c r="A23" s="1534" t="s">
        <v>111</v>
      </c>
      <c r="B23" s="1535"/>
      <c r="C23" s="1536"/>
      <c r="D23" s="130">
        <f>SUM(D21:D22)</f>
        <v>0</v>
      </c>
      <c r="E23" s="130">
        <f t="shared" ref="E23:H23" si="5">SUM(E21:E22)</f>
        <v>0</v>
      </c>
      <c r="F23" s="130">
        <f t="shared" si="5"/>
        <v>0</v>
      </c>
      <c r="G23" s="130">
        <f t="shared" si="5"/>
        <v>0</v>
      </c>
      <c r="H23" s="853">
        <f t="shared" si="5"/>
        <v>0</v>
      </c>
    </row>
    <row r="24" spans="1:8" s="1" customFormat="1" ht="16.5" customHeight="1" thickBot="1">
      <c r="A24" s="1496" t="s">
        <v>303</v>
      </c>
      <c r="B24" s="1497"/>
      <c r="C24" s="1498"/>
      <c r="D24" s="848">
        <f>D14+D20+D23</f>
        <v>0</v>
      </c>
      <c r="E24" s="848">
        <f t="shared" ref="E24:H24" si="6">E14+E20+E23</f>
        <v>0</v>
      </c>
      <c r="F24" s="848">
        <f t="shared" si="6"/>
        <v>0</v>
      </c>
      <c r="G24" s="848">
        <f t="shared" si="6"/>
        <v>0</v>
      </c>
      <c r="H24" s="849">
        <f t="shared" si="6"/>
        <v>0</v>
      </c>
    </row>
    <row r="25" spans="1:8" s="3" customFormat="1" ht="10.5">
      <c r="A25" s="636" t="s">
        <v>1547</v>
      </c>
    </row>
    <row r="26" spans="1:8" s="3" customFormat="1" ht="10.5">
      <c r="A26" s="576" t="s">
        <v>1673</v>
      </c>
    </row>
  </sheetData>
  <sheetProtection selectLockedCells="1"/>
  <mergeCells count="23">
    <mergeCell ref="A23:C23"/>
    <mergeCell ref="A24:C24"/>
    <mergeCell ref="A17:C17"/>
    <mergeCell ref="A1:H1"/>
    <mergeCell ref="G2:H2"/>
    <mergeCell ref="E5:F5"/>
    <mergeCell ref="A7:H7"/>
    <mergeCell ref="A10:C10"/>
    <mergeCell ref="A19:C19"/>
    <mergeCell ref="A20:C20"/>
    <mergeCell ref="A21:C21"/>
    <mergeCell ref="A22:C22"/>
    <mergeCell ref="A16:C16"/>
    <mergeCell ref="B4:F4"/>
    <mergeCell ref="C3:H3"/>
    <mergeCell ref="A8:C8"/>
    <mergeCell ref="A9:C9"/>
    <mergeCell ref="A18:C18"/>
    <mergeCell ref="A12:C12"/>
    <mergeCell ref="A13:C13"/>
    <mergeCell ref="A14:C14"/>
    <mergeCell ref="A15:C15"/>
    <mergeCell ref="A11:C11"/>
  </mergeCells>
  <dataValidations count="1">
    <dataValidation type="whole" allowBlank="1" showInputMessage="1" showErrorMessage="1" errorTitle="Attention !" error="Valeur numérique attendue" sqref="D10:E13 G10:G13 D15:E19 D21:E22 G21:G22 G15:G19" xr:uid="{00000000-0002-0000-1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pageSetUpPr fitToPage="1"/>
  </sheetPr>
  <dimension ref="A1:I23"/>
  <sheetViews>
    <sheetView showGridLines="0" workbookViewId="0">
      <selection activeCell="A8" sqref="A8:I23"/>
    </sheetView>
  </sheetViews>
  <sheetFormatPr baseColWidth="10" defaultRowHeight="14.5"/>
  <cols>
    <col min="2" max="2" width="15.54296875" customWidth="1"/>
    <col min="3" max="3" width="15.81640625" customWidth="1"/>
    <col min="4" max="4" width="14.453125" customWidth="1"/>
    <col min="5" max="5" width="11.453125" customWidth="1"/>
    <col min="6" max="6" width="12.54296875" customWidth="1"/>
    <col min="7" max="7" width="13" customWidth="1"/>
    <col min="8" max="9" width="12.54296875" customWidth="1"/>
  </cols>
  <sheetData>
    <row r="1" spans="1:9">
      <c r="A1" s="1134" t="s">
        <v>183</v>
      </c>
      <c r="B1" s="1134"/>
      <c r="C1" s="1134"/>
      <c r="D1" s="1134"/>
      <c r="E1" s="1134"/>
      <c r="F1" s="1134"/>
      <c r="G1" s="1134"/>
      <c r="H1" s="1134"/>
      <c r="I1" s="1134"/>
    </row>
    <row r="2" spans="1:9" ht="25" customHeight="1">
      <c r="A2" s="40"/>
      <c r="B2" s="40"/>
      <c r="C2" s="40"/>
      <c r="D2" s="40"/>
      <c r="E2" s="40"/>
      <c r="G2" s="29"/>
      <c r="H2" s="1279" t="s">
        <v>1928</v>
      </c>
      <c r="I2" s="1281"/>
    </row>
    <row r="3" spans="1:9" s="127" customFormat="1" ht="15" customHeight="1">
      <c r="A3" s="7" t="s">
        <v>26</v>
      </c>
      <c r="B3" s="7"/>
      <c r="C3" s="1221">
        <f>'NOTE 1'!C3</f>
        <v>0</v>
      </c>
      <c r="D3" s="1221"/>
      <c r="E3" s="1221"/>
      <c r="F3" s="1221"/>
      <c r="G3" s="1221"/>
      <c r="H3" s="1221"/>
      <c r="I3" s="1221"/>
    </row>
    <row r="4" spans="1:9" s="127" customFormat="1" ht="15" customHeight="1">
      <c r="A4" s="7" t="s">
        <v>27</v>
      </c>
      <c r="B4" s="112">
        <f>'NOTE 1'!B4</f>
        <v>0</v>
      </c>
      <c r="C4" s="112"/>
      <c r="D4" s="112"/>
      <c r="E4" s="112"/>
      <c r="F4" s="306"/>
      <c r="G4" s="307"/>
      <c r="H4" s="61" t="s">
        <v>28</v>
      </c>
      <c r="I4" s="44">
        <f>'NOTE 1'!I4</f>
        <v>0</v>
      </c>
    </row>
    <row r="5" spans="1:9" s="127" customFormat="1" ht="15" customHeight="1">
      <c r="A5" s="7" t="s">
        <v>2021</v>
      </c>
      <c r="B5" s="7"/>
      <c r="C5" s="289">
        <f>'NOTE 1'!C5</f>
        <v>0</v>
      </c>
      <c r="D5" s="43" t="s">
        <v>30</v>
      </c>
      <c r="E5" s="44">
        <f>'NOTE 1'!G5</f>
        <v>0</v>
      </c>
      <c r="F5" s="305"/>
      <c r="G5" s="263"/>
      <c r="H5" s="61" t="s">
        <v>31</v>
      </c>
      <c r="I5" s="111">
        <f>'NOTE 1'!I5</f>
        <v>0</v>
      </c>
    </row>
    <row r="6" spans="1:9" s="127" customFormat="1" ht="15" customHeight="1">
      <c r="A6" s="7" t="s">
        <v>2024</v>
      </c>
      <c r="B6" s="7"/>
      <c r="C6" s="1158">
        <f>'NOTE 1'!C6</f>
        <v>0</v>
      </c>
      <c r="D6" s="1158"/>
      <c r="E6" s="59"/>
      <c r="F6" s="263"/>
      <c r="G6" s="263"/>
      <c r="H6" s="263"/>
      <c r="I6" s="44"/>
    </row>
    <row r="7" spans="1:9" ht="35.15" customHeight="1" thickBot="1">
      <c r="A7" s="1169" t="s">
        <v>1927</v>
      </c>
      <c r="B7" s="1169"/>
      <c r="C7" s="1169"/>
      <c r="D7" s="1169"/>
      <c r="E7" s="1169"/>
      <c r="F7" s="1169"/>
      <c r="G7" s="1169"/>
      <c r="H7" s="1169"/>
      <c r="I7" s="1169"/>
    </row>
    <row r="8" spans="1:9" ht="15" customHeight="1">
      <c r="A8" s="1594" t="s">
        <v>519</v>
      </c>
      <c r="B8" s="1595"/>
      <c r="C8" s="1595"/>
      <c r="D8" s="1595"/>
      <c r="E8" s="1595"/>
      <c r="F8" s="1595"/>
      <c r="G8" s="1595"/>
      <c r="H8" s="1595"/>
      <c r="I8" s="1596"/>
    </row>
    <row r="9" spans="1:9" ht="108" customHeight="1">
      <c r="A9" s="1597"/>
      <c r="B9" s="1598"/>
      <c r="C9" s="1598"/>
      <c r="D9" s="1598"/>
      <c r="E9" s="1598"/>
      <c r="F9" s="1598"/>
      <c r="G9" s="1598"/>
      <c r="H9" s="1598"/>
      <c r="I9" s="1599"/>
    </row>
    <row r="10" spans="1:9" ht="42.75" customHeight="1">
      <c r="A10" s="1600" t="s">
        <v>520</v>
      </c>
      <c r="B10" s="1601"/>
      <c r="C10" s="1601"/>
      <c r="D10" s="1601"/>
      <c r="E10" s="1601"/>
      <c r="F10" s="303" t="s">
        <v>1786</v>
      </c>
      <c r="G10" s="303" t="s">
        <v>1549</v>
      </c>
      <c r="H10" s="303" t="s">
        <v>212</v>
      </c>
      <c r="I10" s="852" t="s">
        <v>521</v>
      </c>
    </row>
    <row r="11" spans="1:9" ht="15.75" customHeight="1">
      <c r="A11" s="1583"/>
      <c r="B11" s="1584"/>
      <c r="C11" s="1584"/>
      <c r="D11" s="1584"/>
      <c r="E11" s="1584"/>
      <c r="F11" s="126"/>
      <c r="G11" s="126"/>
      <c r="H11" s="126"/>
      <c r="I11" s="830"/>
    </row>
    <row r="12" spans="1:9" ht="15.75" customHeight="1">
      <c r="A12" s="1583"/>
      <c r="B12" s="1584"/>
      <c r="C12" s="1584"/>
      <c r="D12" s="1584"/>
      <c r="E12" s="1584"/>
      <c r="F12" s="126"/>
      <c r="G12" s="126"/>
      <c r="H12" s="126"/>
      <c r="I12" s="830"/>
    </row>
    <row r="13" spans="1:9" ht="15.75" customHeight="1">
      <c r="A13" s="1583"/>
      <c r="B13" s="1584"/>
      <c r="C13" s="1584"/>
      <c r="D13" s="1584"/>
      <c r="E13" s="1584"/>
      <c r="F13" s="126"/>
      <c r="G13" s="126"/>
      <c r="H13" s="126"/>
      <c r="I13" s="830"/>
    </row>
    <row r="14" spans="1:9" ht="15.75" customHeight="1">
      <c r="A14" s="1583"/>
      <c r="B14" s="1584"/>
      <c r="C14" s="1584"/>
      <c r="D14" s="1584"/>
      <c r="E14" s="1584"/>
      <c r="F14" s="126"/>
      <c r="G14" s="126"/>
      <c r="H14" s="126"/>
      <c r="I14" s="830"/>
    </row>
    <row r="15" spans="1:9" ht="15.75" customHeight="1">
      <c r="A15" s="1583"/>
      <c r="B15" s="1584"/>
      <c r="C15" s="1584"/>
      <c r="D15" s="1584"/>
      <c r="E15" s="1584"/>
      <c r="F15" s="126"/>
      <c r="G15" s="126"/>
      <c r="H15" s="126"/>
      <c r="I15" s="830"/>
    </row>
    <row r="16" spans="1:9" ht="15.75" customHeight="1">
      <c r="A16" s="1583"/>
      <c r="B16" s="1584"/>
      <c r="C16" s="1584"/>
      <c r="D16" s="1584"/>
      <c r="E16" s="1584"/>
      <c r="F16" s="126"/>
      <c r="G16" s="126"/>
      <c r="H16" s="126"/>
      <c r="I16" s="830"/>
    </row>
    <row r="17" spans="1:9" ht="15.75" customHeight="1">
      <c r="A17" s="1583"/>
      <c r="B17" s="1584"/>
      <c r="C17" s="1584"/>
      <c r="D17" s="1584"/>
      <c r="E17" s="1584"/>
      <c r="F17" s="126"/>
      <c r="G17" s="126"/>
      <c r="H17" s="126"/>
      <c r="I17" s="830"/>
    </row>
    <row r="18" spans="1:9" ht="15.75" customHeight="1">
      <c r="A18" s="1585" t="s">
        <v>303</v>
      </c>
      <c r="B18" s="1586"/>
      <c r="C18" s="1586"/>
      <c r="D18" s="1586"/>
      <c r="E18" s="1586"/>
      <c r="F18" s="304">
        <f>SUM(F11:F17)</f>
        <v>0</v>
      </c>
      <c r="G18" s="304">
        <f t="shared" ref="G18:I18" si="0">SUM(G11:G17)</f>
        <v>0</v>
      </c>
      <c r="H18" s="304">
        <f t="shared" si="0"/>
        <v>0</v>
      </c>
      <c r="I18" s="854">
        <f t="shared" si="0"/>
        <v>0</v>
      </c>
    </row>
    <row r="19" spans="1:9" ht="15" customHeight="1">
      <c r="A19" s="1580" t="s">
        <v>522</v>
      </c>
      <c r="B19" s="1581"/>
      <c r="C19" s="1581"/>
      <c r="D19" s="1581"/>
      <c r="E19" s="1581"/>
      <c r="F19" s="1581"/>
      <c r="G19" s="1581"/>
      <c r="H19" s="1581"/>
      <c r="I19" s="1582"/>
    </row>
    <row r="20" spans="1:9" ht="108" customHeight="1">
      <c r="A20" s="1587"/>
      <c r="B20" s="1588"/>
      <c r="C20" s="1588"/>
      <c r="D20" s="1588"/>
      <c r="E20" s="1588"/>
      <c r="F20" s="1588"/>
      <c r="G20" s="1588"/>
      <c r="H20" s="1588"/>
      <c r="I20" s="1589"/>
    </row>
    <row r="21" spans="1:9" ht="15" customHeight="1">
      <c r="A21" s="1580" t="s">
        <v>523</v>
      </c>
      <c r="B21" s="1581"/>
      <c r="C21" s="1581"/>
      <c r="D21" s="1581"/>
      <c r="E21" s="1581"/>
      <c r="F21" s="1581"/>
      <c r="G21" s="1581"/>
      <c r="H21" s="1581"/>
      <c r="I21" s="1582"/>
    </row>
    <row r="22" spans="1:9" ht="108" customHeight="1">
      <c r="A22" s="1482"/>
      <c r="B22" s="1483"/>
      <c r="C22" s="1483"/>
      <c r="D22" s="1483"/>
      <c r="E22" s="1483"/>
      <c r="F22" s="1483"/>
      <c r="G22" s="1483"/>
      <c r="H22" s="1483"/>
      <c r="I22" s="1484"/>
    </row>
    <row r="23" spans="1:9" ht="20.25" customHeight="1" thickBot="1">
      <c r="A23" s="1592" t="s">
        <v>524</v>
      </c>
      <c r="B23" s="1593"/>
      <c r="C23" s="1593"/>
      <c r="D23" s="1593"/>
      <c r="E23" s="1593"/>
      <c r="F23" s="1593"/>
      <c r="G23" s="1593"/>
      <c r="H23" s="1590"/>
      <c r="I23" s="1591"/>
    </row>
  </sheetData>
  <sheetProtection selectLockedCells="1"/>
  <mergeCells count="22">
    <mergeCell ref="H23:I23"/>
    <mergeCell ref="A23:G23"/>
    <mergeCell ref="A15:E15"/>
    <mergeCell ref="A1:I1"/>
    <mergeCell ref="C3:I3"/>
    <mergeCell ref="A7:I7"/>
    <mergeCell ref="A8:I8"/>
    <mergeCell ref="A9:I9"/>
    <mergeCell ref="A10:E10"/>
    <mergeCell ref="A11:E11"/>
    <mergeCell ref="A12:E12"/>
    <mergeCell ref="A13:E13"/>
    <mergeCell ref="A14:E14"/>
    <mergeCell ref="C6:D6"/>
    <mergeCell ref="H2:I2"/>
    <mergeCell ref="A22:I22"/>
    <mergeCell ref="A21:I21"/>
    <mergeCell ref="A16:E16"/>
    <mergeCell ref="A17:E17"/>
    <mergeCell ref="A18:E18"/>
    <mergeCell ref="A19:I19"/>
    <mergeCell ref="A20:I20"/>
  </mergeCells>
  <dataValidations count="1">
    <dataValidation type="whole" allowBlank="1" showInputMessage="1" showErrorMessage="1" errorTitle="Attention!" error="Valeur numérique attendue" sqref="F11:I17 H23:I23" xr:uid="{00000000-0002-0000-1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K41"/>
  <sheetViews>
    <sheetView showGridLines="0" zoomScaleNormal="100" workbookViewId="0">
      <selection activeCell="A8" sqref="A8:K30"/>
    </sheetView>
  </sheetViews>
  <sheetFormatPr baseColWidth="10" defaultColWidth="11.453125" defaultRowHeight="14.5"/>
  <cols>
    <col min="2" max="2" width="12.453125" customWidth="1"/>
    <col min="3" max="3" width="10.54296875" customWidth="1"/>
    <col min="4" max="4" width="13" customWidth="1"/>
    <col min="5" max="5" width="20.453125" customWidth="1"/>
    <col min="6" max="7" width="16.1796875" customWidth="1"/>
    <col min="8" max="8" width="11.54296875" customWidth="1"/>
    <col min="9" max="11" width="17.1796875" customWidth="1"/>
  </cols>
  <sheetData>
    <row r="1" spans="1:11">
      <c r="A1" s="1217" t="s">
        <v>183</v>
      </c>
      <c r="B1" s="1217"/>
      <c r="C1" s="1217"/>
      <c r="D1" s="1217"/>
      <c r="E1" s="1217"/>
      <c r="F1" s="1217"/>
      <c r="G1" s="1217"/>
      <c r="H1" s="1217"/>
      <c r="I1" s="1217"/>
      <c r="J1" s="1217"/>
      <c r="K1" s="1217"/>
    </row>
    <row r="2" spans="1:11" ht="25" customHeight="1">
      <c r="A2" s="40"/>
      <c r="B2" s="40"/>
      <c r="C2" s="40"/>
      <c r="D2" s="40"/>
      <c r="E2" s="40"/>
      <c r="F2" s="40"/>
      <c r="G2" s="40"/>
      <c r="J2" s="1135" t="s">
        <v>1640</v>
      </c>
      <c r="K2" s="1137"/>
    </row>
    <row r="3" spans="1:11" s="127" customFormat="1" ht="15" customHeight="1">
      <c r="A3" s="7" t="s">
        <v>26</v>
      </c>
      <c r="B3" s="7"/>
      <c r="C3" s="1627">
        <f>'NOTE 1'!C3</f>
        <v>0</v>
      </c>
      <c r="D3" s="1627"/>
      <c r="E3" s="1627"/>
      <c r="F3" s="1627"/>
      <c r="G3" s="1627"/>
      <c r="H3" s="1627"/>
      <c r="I3" s="1627"/>
      <c r="J3" s="1627"/>
      <c r="K3" s="1627"/>
    </row>
    <row r="4" spans="1:11" s="127" customFormat="1" ht="15" customHeight="1">
      <c r="A4" s="7" t="s">
        <v>27</v>
      </c>
      <c r="B4" s="1624">
        <f>'NOTE 1'!B4</f>
        <v>0</v>
      </c>
      <c r="C4" s="1624"/>
      <c r="D4" s="1624"/>
      <c r="E4" s="1624"/>
      <c r="F4" s="1624"/>
      <c r="G4" s="1624"/>
      <c r="H4" s="1624"/>
      <c r="I4" s="61" t="s">
        <v>28</v>
      </c>
      <c r="J4" s="1623">
        <f>'NOTE 1'!I4</f>
        <v>0</v>
      </c>
      <c r="K4" s="1623"/>
    </row>
    <row r="5" spans="1:11" s="127" customFormat="1" ht="15" customHeight="1">
      <c r="A5" s="7" t="s">
        <v>2021</v>
      </c>
      <c r="B5" s="7"/>
      <c r="C5" s="1624">
        <f>'NOTE 1'!C5</f>
        <v>0</v>
      </c>
      <c r="D5" s="1624"/>
      <c r="E5" s="1624"/>
      <c r="F5" s="43" t="s">
        <v>30</v>
      </c>
      <c r="G5" s="1625">
        <f>'NOTE 1'!G5</f>
        <v>0</v>
      </c>
      <c r="H5" s="1625"/>
      <c r="I5" s="61" t="s">
        <v>31</v>
      </c>
      <c r="J5" s="1623">
        <f>'NOTE 1'!I5</f>
        <v>0</v>
      </c>
      <c r="K5" s="1623"/>
    </row>
    <row r="6" spans="1:11" s="127" customFormat="1" ht="15" customHeight="1">
      <c r="A6" s="7" t="s">
        <v>2024</v>
      </c>
      <c r="B6" s="7"/>
      <c r="C6" s="1626">
        <f>'NOTE 1'!C6</f>
        <v>0</v>
      </c>
      <c r="D6" s="1626"/>
      <c r="E6" s="1626"/>
      <c r="F6" s="262"/>
      <c r="G6" s="59"/>
      <c r="H6" s="59"/>
      <c r="I6" s="263"/>
      <c r="J6" s="44"/>
      <c r="K6" s="305"/>
    </row>
    <row r="7" spans="1:11" ht="27.75" customHeight="1" thickBot="1">
      <c r="A7" s="1169" t="s">
        <v>1515</v>
      </c>
      <c r="B7" s="1169"/>
      <c r="C7" s="1169"/>
      <c r="D7" s="1169"/>
      <c r="E7" s="1169"/>
      <c r="F7" s="1169"/>
      <c r="G7" s="1169"/>
      <c r="H7" s="1169"/>
      <c r="I7" s="1169"/>
      <c r="J7" s="1169"/>
      <c r="K7" s="1169"/>
    </row>
    <row r="8" spans="1:11" ht="46.5" customHeight="1">
      <c r="A8" s="1607" t="s">
        <v>525</v>
      </c>
      <c r="B8" s="1608"/>
      <c r="C8" s="1608"/>
      <c r="D8" s="1608"/>
      <c r="E8" s="1609"/>
      <c r="F8" s="844" t="s">
        <v>526</v>
      </c>
      <c r="G8" s="844" t="s">
        <v>527</v>
      </c>
      <c r="H8" s="844" t="s">
        <v>528</v>
      </c>
      <c r="I8" s="844" t="s">
        <v>529</v>
      </c>
      <c r="J8" s="844" t="s">
        <v>530</v>
      </c>
      <c r="K8" s="845" t="s">
        <v>531</v>
      </c>
    </row>
    <row r="9" spans="1:11" ht="14.9" customHeight="1">
      <c r="A9" s="1442" t="s">
        <v>248</v>
      </c>
      <c r="B9" s="1443"/>
      <c r="C9" s="1443"/>
      <c r="D9" s="1444"/>
      <c r="E9" s="609"/>
      <c r="F9" s="126"/>
      <c r="G9" s="126"/>
      <c r="H9" s="433" t="str">
        <f>IF(G9,(F9-G9)/ABS(G9),IF(ISBLANK(G9),"",IF(F9,IF( F9 &gt; 0,1,-1),"")))</f>
        <v/>
      </c>
      <c r="I9" s="126"/>
      <c r="J9" s="126"/>
      <c r="K9" s="830"/>
    </row>
    <row r="10" spans="1:11" ht="14.9" customHeight="1">
      <c r="A10" s="1442" t="s">
        <v>532</v>
      </c>
      <c r="B10" s="1443"/>
      <c r="C10" s="1443"/>
      <c r="D10" s="1444"/>
      <c r="E10" s="609"/>
      <c r="F10" s="126"/>
      <c r="G10" s="126"/>
      <c r="H10" s="433" t="str">
        <f t="shared" ref="H10:H17" si="0">IF(G10,(F10-G10)/ABS(G10),IF(ISBLANK(G10),"",IF(F10,IF( F10 &gt; 0,1,-1),"")))</f>
        <v/>
      </c>
      <c r="I10" s="126"/>
      <c r="J10" s="126"/>
      <c r="K10" s="830"/>
    </row>
    <row r="11" spans="1:11" ht="14.9" customHeight="1">
      <c r="A11" s="1442" t="s">
        <v>533</v>
      </c>
      <c r="B11" s="1443"/>
      <c r="C11" s="1443"/>
      <c r="D11" s="1444"/>
      <c r="E11" s="609"/>
      <c r="F11" s="126"/>
      <c r="G11" s="126"/>
      <c r="H11" s="433" t="str">
        <f t="shared" si="0"/>
        <v/>
      </c>
      <c r="I11" s="126"/>
      <c r="J11" s="126"/>
      <c r="K11" s="830"/>
    </row>
    <row r="12" spans="1:11" ht="14.9" customHeight="1">
      <c r="A12" s="1442" t="s">
        <v>534</v>
      </c>
      <c r="B12" s="1443"/>
      <c r="C12" s="1443"/>
      <c r="D12" s="1444"/>
      <c r="E12" s="609"/>
      <c r="F12" s="126"/>
      <c r="G12" s="126"/>
      <c r="H12" s="433" t="str">
        <f t="shared" si="0"/>
        <v/>
      </c>
      <c r="I12" s="126"/>
      <c r="J12" s="126"/>
      <c r="K12" s="830"/>
    </row>
    <row r="13" spans="1:11" ht="14.9" customHeight="1">
      <c r="A13" s="1442" t="s">
        <v>535</v>
      </c>
      <c r="B13" s="1443"/>
      <c r="C13" s="1443"/>
      <c r="D13" s="1444"/>
      <c r="E13" s="609"/>
      <c r="F13" s="126"/>
      <c r="G13" s="126"/>
      <c r="H13" s="433" t="str">
        <f t="shared" si="0"/>
        <v/>
      </c>
      <c r="I13" s="126"/>
      <c r="J13" s="126"/>
      <c r="K13" s="830"/>
    </row>
    <row r="14" spans="1:11" ht="14.9" customHeight="1">
      <c r="A14" s="1442" t="s">
        <v>536</v>
      </c>
      <c r="B14" s="1443"/>
      <c r="C14" s="1443"/>
      <c r="D14" s="1444"/>
      <c r="E14" s="609"/>
      <c r="F14" s="126"/>
      <c r="G14" s="126"/>
      <c r="H14" s="433" t="str">
        <f t="shared" si="0"/>
        <v/>
      </c>
      <c r="I14" s="126"/>
      <c r="J14" s="126"/>
      <c r="K14" s="830"/>
    </row>
    <row r="15" spans="1:11" ht="14.9" customHeight="1">
      <c r="A15" s="1442" t="s">
        <v>537</v>
      </c>
      <c r="B15" s="1443"/>
      <c r="C15" s="1443"/>
      <c r="D15" s="1444"/>
      <c r="E15" s="609"/>
      <c r="F15" s="126"/>
      <c r="G15" s="126"/>
      <c r="H15" s="433" t="str">
        <f t="shared" si="0"/>
        <v/>
      </c>
      <c r="I15" s="126"/>
      <c r="J15" s="126"/>
      <c r="K15" s="830"/>
    </row>
    <row r="16" spans="1:11" ht="14.9" customHeight="1">
      <c r="A16" s="1448" t="s">
        <v>1787</v>
      </c>
      <c r="B16" s="1449"/>
      <c r="C16" s="1449"/>
      <c r="D16" s="1450"/>
      <c r="E16" s="609"/>
      <c r="F16" s="126"/>
      <c r="G16" s="126"/>
      <c r="H16" s="433" t="str">
        <f t="shared" si="0"/>
        <v/>
      </c>
      <c r="I16" s="126"/>
      <c r="J16" s="126"/>
      <c r="K16" s="830"/>
    </row>
    <row r="17" spans="1:11" ht="14.9" customHeight="1">
      <c r="A17" s="1448" t="s">
        <v>1788</v>
      </c>
      <c r="B17" s="1449"/>
      <c r="C17" s="1449"/>
      <c r="D17" s="1450"/>
      <c r="E17" s="609"/>
      <c r="F17" s="126"/>
      <c r="G17" s="126"/>
      <c r="H17" s="433" t="str">
        <f t="shared" si="0"/>
        <v/>
      </c>
      <c r="I17" s="126"/>
      <c r="J17" s="126"/>
      <c r="K17" s="830"/>
    </row>
    <row r="18" spans="1:11" ht="14.9" customHeight="1">
      <c r="A18" s="1612" t="s">
        <v>538</v>
      </c>
      <c r="B18" s="1613"/>
      <c r="C18" s="1613"/>
      <c r="D18" s="1614"/>
      <c r="E18" s="610"/>
      <c r="F18" s="143">
        <f>SUM(F9:F15)</f>
        <v>0</v>
      </c>
      <c r="G18" s="143">
        <f t="shared" ref="G18:K18" si="1">SUM(G9:G15)</f>
        <v>0</v>
      </c>
      <c r="H18" s="434" t="str">
        <f>IF(G18,(F18-G18)/G18,IF(ISBLANK(G18),"",IF(F18,1,"")))</f>
        <v/>
      </c>
      <c r="I18" s="611">
        <f t="shared" si="1"/>
        <v>0</v>
      </c>
      <c r="J18" s="611">
        <f t="shared" si="1"/>
        <v>0</v>
      </c>
      <c r="K18" s="857">
        <f t="shared" si="1"/>
        <v>0</v>
      </c>
    </row>
    <row r="19" spans="1:11" ht="14.9" customHeight="1">
      <c r="A19" s="1442" t="s">
        <v>1789</v>
      </c>
      <c r="B19" s="1443"/>
      <c r="C19" s="1443"/>
      <c r="D19" s="1444"/>
      <c r="E19" s="609"/>
      <c r="F19" s="126"/>
      <c r="G19" s="126"/>
      <c r="H19" s="433" t="str">
        <f>IF(G19,(F19-G19)/ABS(G19),IF(ISBLANK(G19),"",IF(F19,IF( F19 &gt; 0,1,-1),"")))</f>
        <v/>
      </c>
      <c r="I19" s="578"/>
      <c r="J19" s="578"/>
      <c r="K19" s="858"/>
    </row>
    <row r="20" spans="1:11" ht="14.9" customHeight="1">
      <c r="A20" s="1442" t="s">
        <v>1790</v>
      </c>
      <c r="B20" s="1443"/>
      <c r="C20" s="1443"/>
      <c r="D20" s="1444"/>
      <c r="E20" s="609"/>
      <c r="F20" s="126"/>
      <c r="G20" s="126"/>
      <c r="H20" s="433" t="str">
        <f>IF(G20,(F20-G20)/ABS(G20),IF(ISBLANK(G20),"",IF(F20,IF( F20 &gt; 0,1,-1),"")))</f>
        <v/>
      </c>
      <c r="I20" s="578"/>
      <c r="J20" s="578"/>
      <c r="K20" s="858"/>
    </row>
    <row r="21" spans="1:11" ht="14.9" customHeight="1">
      <c r="A21" s="1612" t="s">
        <v>539</v>
      </c>
      <c r="B21" s="1613"/>
      <c r="C21" s="1613"/>
      <c r="D21" s="1614"/>
      <c r="E21" s="610"/>
      <c r="F21" s="65">
        <f>F18+F19+F20</f>
        <v>0</v>
      </c>
      <c r="G21" s="65">
        <f>G18+G19+G20</f>
        <v>0</v>
      </c>
      <c r="H21" s="434" t="str">
        <f t="shared" ref="H21" si="2">IF(G21,(F21-G21)/G21,IF(ISBLANK(G21),"",IF(F21,1,"")))</f>
        <v/>
      </c>
      <c r="I21" s="579"/>
      <c r="J21" s="579"/>
      <c r="K21" s="859"/>
    </row>
    <row r="22" spans="1:11" ht="3" customHeight="1">
      <c r="A22" s="784"/>
      <c r="B22" s="8"/>
      <c r="C22" s="8"/>
      <c r="D22" s="8"/>
      <c r="E22" s="8"/>
      <c r="F22" s="8"/>
      <c r="G22" s="8"/>
      <c r="H22" s="8"/>
      <c r="I22" s="8"/>
      <c r="J22" s="8"/>
      <c r="K22" s="15"/>
    </row>
    <row r="23" spans="1:11">
      <c r="A23" s="1602" t="s">
        <v>540</v>
      </c>
      <c r="B23" s="1603"/>
      <c r="C23" s="1603"/>
      <c r="D23" s="1603"/>
      <c r="E23" s="1603"/>
      <c r="F23" s="1603"/>
      <c r="G23" s="1603"/>
      <c r="H23" s="1603"/>
      <c r="I23" s="1603"/>
      <c r="J23" s="1603"/>
      <c r="K23" s="1604"/>
    </row>
    <row r="24" spans="1:11" ht="35.25" customHeight="1">
      <c r="A24" s="1615" t="s">
        <v>541</v>
      </c>
      <c r="B24" s="1616"/>
      <c r="C24" s="1616"/>
      <c r="D24" s="1616"/>
      <c r="E24" s="1617" t="s">
        <v>542</v>
      </c>
      <c r="F24" s="1618"/>
      <c r="G24" s="303" t="s">
        <v>543</v>
      </c>
      <c r="H24" s="303" t="s">
        <v>544</v>
      </c>
      <c r="I24" s="303" t="s">
        <v>545</v>
      </c>
      <c r="J24" s="303" t="s">
        <v>1555</v>
      </c>
      <c r="K24" s="852" t="s">
        <v>1554</v>
      </c>
    </row>
    <row r="25" spans="1:11" ht="14.9" customHeight="1">
      <c r="A25" s="1610"/>
      <c r="B25" s="1611"/>
      <c r="C25" s="1611"/>
      <c r="D25" s="1611"/>
      <c r="E25" s="1605"/>
      <c r="F25" s="1606"/>
      <c r="G25" s="364"/>
      <c r="H25" s="363"/>
      <c r="I25" s="126"/>
      <c r="J25" s="126"/>
      <c r="K25" s="830"/>
    </row>
    <row r="26" spans="1:11" ht="14.9" customHeight="1">
      <c r="A26" s="1610"/>
      <c r="B26" s="1611"/>
      <c r="C26" s="1611"/>
      <c r="D26" s="1611"/>
      <c r="E26" s="1605"/>
      <c r="F26" s="1606"/>
      <c r="G26" s="364"/>
      <c r="H26" s="363"/>
      <c r="I26" s="126"/>
      <c r="J26" s="126"/>
      <c r="K26" s="830"/>
    </row>
    <row r="27" spans="1:11" ht="14.9" customHeight="1">
      <c r="A27" s="1610"/>
      <c r="B27" s="1611"/>
      <c r="C27" s="1611"/>
      <c r="D27" s="1611"/>
      <c r="E27" s="1605"/>
      <c r="F27" s="1606"/>
      <c r="G27" s="364"/>
      <c r="H27" s="363"/>
      <c r="I27" s="126"/>
      <c r="J27" s="126"/>
      <c r="K27" s="830"/>
    </row>
    <row r="28" spans="1:11" ht="14.9" customHeight="1">
      <c r="A28" s="1610"/>
      <c r="B28" s="1611"/>
      <c r="C28" s="1611"/>
      <c r="D28" s="1611"/>
      <c r="E28" s="1605"/>
      <c r="F28" s="1606"/>
      <c r="G28" s="364"/>
      <c r="H28" s="363"/>
      <c r="I28" s="126"/>
      <c r="J28" s="126"/>
      <c r="K28" s="830"/>
    </row>
    <row r="29" spans="1:11" ht="14.9" customHeight="1">
      <c r="A29" s="1610"/>
      <c r="B29" s="1611"/>
      <c r="C29" s="1611"/>
      <c r="D29" s="1611"/>
      <c r="E29" s="1605"/>
      <c r="F29" s="1606"/>
      <c r="G29" s="364"/>
      <c r="H29" s="363"/>
      <c r="I29" s="126"/>
      <c r="J29" s="126"/>
      <c r="K29" s="830"/>
    </row>
    <row r="30" spans="1:11" ht="14.9" customHeight="1" thickBot="1">
      <c r="A30" s="1619"/>
      <c r="B30" s="1620"/>
      <c r="C30" s="1620"/>
      <c r="D30" s="1620"/>
      <c r="E30" s="1621"/>
      <c r="F30" s="1622"/>
      <c r="G30" s="860"/>
      <c r="H30" s="861"/>
      <c r="I30" s="862"/>
      <c r="J30" s="862"/>
      <c r="K30" s="863"/>
    </row>
    <row r="31" spans="1:11" s="3" customFormat="1" ht="11.25" customHeight="1">
      <c r="A31" s="855" t="s">
        <v>1556</v>
      </c>
      <c r="B31" s="635"/>
      <c r="C31" s="635"/>
      <c r="D31" s="635"/>
      <c r="E31" s="856" t="s">
        <v>1557</v>
      </c>
      <c r="F31" s="635"/>
      <c r="G31" s="635"/>
      <c r="H31" s="635"/>
      <c r="I31" s="635"/>
      <c r="J31" s="635"/>
    </row>
    <row r="32" spans="1:11" s="3" customFormat="1" ht="10.5">
      <c r="A32" s="581" t="s">
        <v>1547</v>
      </c>
    </row>
    <row r="33" spans="1:6" s="3" customFormat="1" ht="10.5" customHeight="1">
      <c r="A33" s="633" t="s">
        <v>1674</v>
      </c>
      <c r="F33" s="640" t="s">
        <v>1676</v>
      </c>
    </row>
    <row r="34" spans="1:6" s="3" customFormat="1" ht="10.5" customHeight="1">
      <c r="A34" s="633" t="s">
        <v>1699</v>
      </c>
      <c r="F34" s="640" t="s">
        <v>1677</v>
      </c>
    </row>
    <row r="35" spans="1:6" s="3" customFormat="1" ht="10.5" customHeight="1">
      <c r="A35" s="633" t="s">
        <v>1675</v>
      </c>
    </row>
    <row r="36" spans="1:6" s="3" customFormat="1" ht="10.5" customHeight="1">
      <c r="A36" s="633" t="s">
        <v>1669</v>
      </c>
    </row>
    <row r="37" spans="1:6" s="3" customFormat="1" ht="10.5" customHeight="1">
      <c r="A37" s="634" t="s">
        <v>1961</v>
      </c>
    </row>
    <row r="38" spans="1:6" s="3" customFormat="1" ht="10.5" customHeight="1">
      <c r="A38" s="634" t="s">
        <v>1962</v>
      </c>
    </row>
    <row r="39" spans="1:6" s="3" customFormat="1" ht="10.5" customHeight="1">
      <c r="A39" s="634" t="s">
        <v>1963</v>
      </c>
    </row>
    <row r="40" spans="1:6" ht="10.5" customHeight="1">
      <c r="B40" s="132"/>
      <c r="C40" s="132"/>
      <c r="D40" s="132"/>
      <c r="E40" s="132"/>
    </row>
    <row r="41" spans="1:6" ht="10.5" customHeight="1">
      <c r="B41" s="132"/>
      <c r="C41" s="132"/>
      <c r="D41" s="132"/>
      <c r="E41" s="132"/>
    </row>
  </sheetData>
  <sheetProtection selectLockedCells="1"/>
  <mergeCells count="39">
    <mergeCell ref="A16:D16"/>
    <mergeCell ref="A17:D17"/>
    <mergeCell ref="J2:K2"/>
    <mergeCell ref="J4:K4"/>
    <mergeCell ref="A13:D13"/>
    <mergeCell ref="A12:D12"/>
    <mergeCell ref="B4:H4"/>
    <mergeCell ref="C5:E5"/>
    <mergeCell ref="G5:H5"/>
    <mergeCell ref="A9:D9"/>
    <mergeCell ref="A10:D10"/>
    <mergeCell ref="A11:D11"/>
    <mergeCell ref="C6:E6"/>
    <mergeCell ref="J5:K5"/>
    <mergeCell ref="A7:K7"/>
    <mergeCell ref="C3:K3"/>
    <mergeCell ref="A30:D30"/>
    <mergeCell ref="E30:F30"/>
    <mergeCell ref="A26:D26"/>
    <mergeCell ref="E26:F26"/>
    <mergeCell ref="A29:D29"/>
    <mergeCell ref="E29:F29"/>
    <mergeCell ref="A27:D27"/>
    <mergeCell ref="A1:K1"/>
    <mergeCell ref="A23:K23"/>
    <mergeCell ref="E27:F27"/>
    <mergeCell ref="E28:F28"/>
    <mergeCell ref="A8:E8"/>
    <mergeCell ref="A28:D28"/>
    <mergeCell ref="A14:D14"/>
    <mergeCell ref="A15:D15"/>
    <mergeCell ref="A18:D18"/>
    <mergeCell ref="A19:D19"/>
    <mergeCell ref="A20:D20"/>
    <mergeCell ref="A21:D21"/>
    <mergeCell ref="A24:D24"/>
    <mergeCell ref="E24:F24"/>
    <mergeCell ref="A25:D25"/>
    <mergeCell ref="E25:F25"/>
  </mergeCells>
  <dataValidations count="1">
    <dataValidation type="whole" allowBlank="1" showInputMessage="1" showErrorMessage="1" errorTitle="Attention!" error="Valeur numérique attendue" sqref="F9:G17 I9:K17 F19:G20 I19:K20 I25:K30 G25:G30" xr:uid="{00000000-0002-0000-14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8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pageSetUpPr fitToPage="1"/>
  </sheetPr>
  <dimension ref="A1:I29"/>
  <sheetViews>
    <sheetView showGridLines="0" topLeftCell="A9" workbookViewId="0">
      <selection activeCell="A21" sqref="A21:I26"/>
    </sheetView>
  </sheetViews>
  <sheetFormatPr baseColWidth="10" defaultRowHeight="14.5"/>
  <cols>
    <col min="1" max="1" width="11.453125" customWidth="1"/>
    <col min="2" max="2" width="16.81640625" customWidth="1"/>
    <col min="3" max="3" width="12.453125" customWidth="1"/>
    <col min="4" max="4" width="3.54296875" customWidth="1"/>
    <col min="5" max="5" width="15.453125" customWidth="1"/>
    <col min="6" max="6" width="7.54296875" customWidth="1"/>
    <col min="7" max="7" width="5.54296875" customWidth="1"/>
    <col min="8" max="8" width="15" customWidth="1"/>
    <col min="9" max="9" width="12"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1641</v>
      </c>
      <c r="I2" s="1460"/>
    </row>
    <row r="3" spans="1:9" s="1" customFormat="1" ht="15" customHeight="1">
      <c r="A3" s="7" t="s">
        <v>26</v>
      </c>
      <c r="B3" s="7"/>
      <c r="C3" s="1221">
        <f>'NOTE 1'!C3</f>
        <v>0</v>
      </c>
      <c r="D3" s="1221"/>
      <c r="E3" s="1221"/>
      <c r="F3" s="1221"/>
      <c r="G3" s="1221"/>
      <c r="H3" s="1221"/>
      <c r="I3" s="1221"/>
    </row>
    <row r="4" spans="1:9" s="1" customFormat="1" ht="15" customHeight="1">
      <c r="A4" s="7" t="s">
        <v>27</v>
      </c>
      <c r="B4" s="1221">
        <f>'NOTE 1'!B4</f>
        <v>0</v>
      </c>
      <c r="C4" s="1223"/>
      <c r="D4" s="1223"/>
      <c r="E4" s="1223"/>
      <c r="F4" s="1223"/>
      <c r="G4" s="1223"/>
      <c r="H4" s="61" t="s">
        <v>28</v>
      </c>
      <c r="I4" s="44">
        <f>'NOTE 1'!I4</f>
        <v>0</v>
      </c>
    </row>
    <row r="5" spans="1:9" s="1" customFormat="1" ht="15" customHeight="1">
      <c r="A5" s="7" t="s">
        <v>2021</v>
      </c>
      <c r="B5" s="7"/>
      <c r="C5" s="1223">
        <f>'NOTE 1'!C5</f>
        <v>0</v>
      </c>
      <c r="D5" s="1223"/>
      <c r="E5" s="43" t="s">
        <v>30</v>
      </c>
      <c r="F5" s="1214">
        <f>'NOTE 1'!G5</f>
        <v>0</v>
      </c>
      <c r="G5" s="1214"/>
      <c r="H5" s="61" t="s">
        <v>31</v>
      </c>
      <c r="I5" s="111">
        <f>'NOTE 1'!I5</f>
        <v>0</v>
      </c>
    </row>
    <row r="6" spans="1:9" s="1" customFormat="1" ht="15" customHeight="1">
      <c r="A6" s="7" t="s">
        <v>2024</v>
      </c>
      <c r="B6" s="7"/>
      <c r="C6" s="1461">
        <f>'NOTE 1'!C6</f>
        <v>0</v>
      </c>
      <c r="D6" s="1461"/>
      <c r="E6" s="262"/>
      <c r="F6" s="44"/>
      <c r="G6" s="44"/>
      <c r="H6" s="263"/>
      <c r="I6" s="44"/>
    </row>
    <row r="7" spans="1:9" ht="35.15" customHeight="1">
      <c r="A7" s="1169" t="s">
        <v>1559</v>
      </c>
      <c r="B7" s="1169"/>
      <c r="C7" s="1169"/>
      <c r="D7" s="1169"/>
      <c r="E7" s="1169"/>
      <c r="F7" s="1169"/>
      <c r="G7" s="1169"/>
      <c r="H7" s="1169"/>
      <c r="I7" s="1169"/>
    </row>
    <row r="8" spans="1:9" ht="31.5" customHeight="1" thickBot="1">
      <c r="A8" s="1169" t="s">
        <v>1560</v>
      </c>
      <c r="B8" s="1169"/>
      <c r="C8" s="1169"/>
      <c r="D8" s="1169"/>
      <c r="E8" s="1169"/>
      <c r="F8" s="1169"/>
      <c r="G8" s="1169"/>
      <c r="H8" s="1169"/>
      <c r="I8" s="1169"/>
    </row>
    <row r="9" spans="1:9" ht="31.5" customHeight="1">
      <c r="A9" s="1632" t="s">
        <v>525</v>
      </c>
      <c r="B9" s="1633"/>
      <c r="C9" s="1633"/>
      <c r="D9" s="1633"/>
      <c r="E9" s="1633" t="s">
        <v>526</v>
      </c>
      <c r="F9" s="1633"/>
      <c r="G9" s="1633" t="s">
        <v>527</v>
      </c>
      <c r="H9" s="1633"/>
      <c r="I9" s="865" t="s">
        <v>546</v>
      </c>
    </row>
    <row r="10" spans="1:9" ht="17.149999999999999" customHeight="1">
      <c r="A10" s="1442" t="s">
        <v>547</v>
      </c>
      <c r="B10" s="1443"/>
      <c r="C10" s="1443"/>
      <c r="D10" s="1443"/>
      <c r="E10" s="1547"/>
      <c r="F10" s="1548"/>
      <c r="G10" s="1547"/>
      <c r="H10" s="1548"/>
      <c r="I10" s="866" t="str">
        <f>IF(G10,(E10-G10)/G10,IF(ISBLANK(G10),"",IF(E10,IF( E10 &gt; 0,1,-1),"")))</f>
        <v/>
      </c>
    </row>
    <row r="11" spans="1:9" ht="17.149999999999999" customHeight="1">
      <c r="A11" s="1442" t="s">
        <v>548</v>
      </c>
      <c r="B11" s="1443"/>
      <c r="C11" s="1443"/>
      <c r="D11" s="1443"/>
      <c r="E11" s="1547"/>
      <c r="F11" s="1548"/>
      <c r="G11" s="1547"/>
      <c r="H11" s="1548"/>
      <c r="I11" s="866" t="str">
        <f>IF(G11,(E11-G11)/G11,IF(ISBLANK(G11),"",IF(E11,IF( E11 &gt; 0,1,-1),"")))</f>
        <v/>
      </c>
    </row>
    <row r="12" spans="1:9" ht="17.149999999999999" customHeight="1">
      <c r="A12" s="1612" t="s">
        <v>538</v>
      </c>
      <c r="B12" s="1613"/>
      <c r="C12" s="1613"/>
      <c r="D12" s="1613"/>
      <c r="E12" s="1634">
        <f>SUM(E10:F11)</f>
        <v>0</v>
      </c>
      <c r="F12" s="1634"/>
      <c r="G12" s="1634">
        <f>SUM(G10:H11)</f>
        <v>0</v>
      </c>
      <c r="H12" s="1634"/>
      <c r="I12" s="867" t="str">
        <f>IF(G12,(E12-G12)/G12,IF(ISBLANK(G12),"",IF(E12,IF( E12 &gt; 0,1,-1),"")))</f>
        <v/>
      </c>
    </row>
    <row r="13" spans="1:9" ht="17.149999999999999" customHeight="1">
      <c r="A13" s="1442" t="s">
        <v>549</v>
      </c>
      <c r="B13" s="1443"/>
      <c r="C13" s="1443"/>
      <c r="D13" s="1443"/>
      <c r="E13" s="1631"/>
      <c r="F13" s="1631"/>
      <c r="G13" s="1631"/>
      <c r="H13" s="1631"/>
      <c r="I13" s="866" t="str">
        <f>IF(G13,(E13-G13)/G13,IF(ISBLANK(G13),"",IF(E13,IF( E13 &gt; 0,1,-1),"")))</f>
        <v/>
      </c>
    </row>
    <row r="14" spans="1:9" ht="17.149999999999999" customHeight="1" thickBot="1">
      <c r="A14" s="1629" t="s">
        <v>626</v>
      </c>
      <c r="B14" s="1630"/>
      <c r="C14" s="1630"/>
      <c r="D14" s="1630"/>
      <c r="E14" s="1628">
        <f>E12+E13</f>
        <v>0</v>
      </c>
      <c r="F14" s="1628"/>
      <c r="G14" s="1628">
        <f>G12+G13</f>
        <v>0</v>
      </c>
      <c r="H14" s="1628"/>
      <c r="I14" s="869" t="str">
        <f>IF(G14,(E14-G14)/G14,IF(ISBLANK(G14),"",IF(E14,IF( E14 &gt; 0,1,-1),"")))</f>
        <v/>
      </c>
    </row>
    <row r="15" spans="1:9" s="132" customFormat="1" ht="17.149999999999999" customHeight="1">
      <c r="A15" s="301" t="s">
        <v>1561</v>
      </c>
    </row>
    <row r="16" spans="1:9" s="132" customFormat="1" ht="12">
      <c r="A16" s="302" t="s">
        <v>1562</v>
      </c>
    </row>
    <row r="17" spans="1:9" s="132" customFormat="1" ht="15" customHeight="1">
      <c r="A17" s="302" t="s">
        <v>1558</v>
      </c>
    </row>
    <row r="18" spans="1:9" s="132" customFormat="1" ht="15" customHeight="1">
      <c r="A18" s="302"/>
    </row>
    <row r="19" spans="1:9" ht="16.5" customHeight="1">
      <c r="A19" s="1169" t="s">
        <v>550</v>
      </c>
      <c r="B19" s="1169"/>
      <c r="C19" s="1169"/>
      <c r="D19" s="1169"/>
      <c r="E19" s="1169"/>
      <c r="F19" s="1169"/>
      <c r="G19" s="1169"/>
      <c r="H19" s="1169"/>
      <c r="I19" s="1169"/>
    </row>
    <row r="20" spans="1:9" ht="15" thickBot="1">
      <c r="A20" s="7"/>
      <c r="B20" s="7"/>
      <c r="C20" s="7"/>
      <c r="D20" s="135"/>
      <c r="E20" s="7"/>
      <c r="F20" s="7"/>
      <c r="G20" s="7"/>
      <c r="H20" s="132"/>
      <c r="I20" s="132"/>
    </row>
    <row r="21" spans="1:9" ht="31.5" customHeight="1">
      <c r="A21" s="1632" t="s">
        <v>525</v>
      </c>
      <c r="B21" s="1633"/>
      <c r="C21" s="1633"/>
      <c r="D21" s="1633"/>
      <c r="E21" s="1633" t="s">
        <v>526</v>
      </c>
      <c r="F21" s="1633"/>
      <c r="G21" s="1633" t="s">
        <v>527</v>
      </c>
      <c r="H21" s="1633"/>
      <c r="I21" s="865" t="s">
        <v>546</v>
      </c>
    </row>
    <row r="22" spans="1:9" ht="17.149999999999999" customHeight="1">
      <c r="A22" s="1442" t="s">
        <v>551</v>
      </c>
      <c r="B22" s="1443"/>
      <c r="C22" s="1443"/>
      <c r="D22" s="1443"/>
      <c r="E22" s="1631"/>
      <c r="F22" s="1631"/>
      <c r="G22" s="1631"/>
      <c r="H22" s="1631"/>
      <c r="I22" s="866" t="str">
        <f>IF(G22,(E22-G22)/G22,IF(ISBLANK(G22),"",IF(E22,IF( E22 &gt; 0,1,-1),"")))</f>
        <v/>
      </c>
    </row>
    <row r="23" spans="1:9" ht="17.149999999999999" customHeight="1">
      <c r="A23" s="1442" t="s">
        <v>552</v>
      </c>
      <c r="B23" s="1443"/>
      <c r="C23" s="1443"/>
      <c r="D23" s="1443"/>
      <c r="E23" s="1631"/>
      <c r="F23" s="1631"/>
      <c r="G23" s="1631"/>
      <c r="H23" s="1631"/>
      <c r="I23" s="866" t="str">
        <f t="shared" ref="I23:I26" si="0">IF(G23,(E23-G23)/G23,IF(ISBLANK(G23),"",IF(E23,IF( E23 &gt; 0,1,-1),"")))</f>
        <v/>
      </c>
    </row>
    <row r="24" spans="1:9" ht="26.25" customHeight="1">
      <c r="A24" s="1442" t="s">
        <v>553</v>
      </c>
      <c r="B24" s="1443"/>
      <c r="C24" s="1443"/>
      <c r="D24" s="1443"/>
      <c r="E24" s="1631"/>
      <c r="F24" s="1631"/>
      <c r="G24" s="1631"/>
      <c r="H24" s="1631"/>
      <c r="I24" s="866" t="str">
        <f t="shared" si="0"/>
        <v/>
      </c>
    </row>
    <row r="25" spans="1:9" ht="17.149999999999999" customHeight="1">
      <c r="A25" s="1442" t="s">
        <v>554</v>
      </c>
      <c r="B25" s="1443"/>
      <c r="C25" s="1443"/>
      <c r="D25" s="1443"/>
      <c r="E25" s="1631"/>
      <c r="F25" s="1631"/>
      <c r="G25" s="1631"/>
      <c r="H25" s="1631"/>
      <c r="I25" s="866" t="str">
        <f t="shared" si="0"/>
        <v/>
      </c>
    </row>
    <row r="26" spans="1:9" ht="17.149999999999999" customHeight="1" thickBot="1">
      <c r="A26" s="1629" t="s">
        <v>480</v>
      </c>
      <c r="B26" s="1630"/>
      <c r="C26" s="1630"/>
      <c r="D26" s="1630"/>
      <c r="E26" s="1628">
        <f>SUM(E22:F25)</f>
        <v>0</v>
      </c>
      <c r="F26" s="1628"/>
      <c r="G26" s="1628">
        <f>SUM(G22:H25)</f>
        <v>0</v>
      </c>
      <c r="H26" s="1628"/>
      <c r="I26" s="869" t="str">
        <f t="shared" si="0"/>
        <v/>
      </c>
    </row>
    <row r="27" spans="1:9" s="3" customFormat="1" ht="17.149999999999999" customHeight="1">
      <c r="A27" s="581" t="s">
        <v>1791</v>
      </c>
    </row>
    <row r="28" spans="1:9" s="3" customFormat="1" ht="10.5">
      <c r="A28" s="637" t="s">
        <v>1678</v>
      </c>
    </row>
    <row r="29" spans="1:9" s="3" customFormat="1" ht="15" customHeight="1">
      <c r="A29" s="637" t="s">
        <v>1679</v>
      </c>
    </row>
  </sheetData>
  <sheetProtection selectLockedCells="1"/>
  <mergeCells count="46">
    <mergeCell ref="A7:I7"/>
    <mergeCell ref="A9:D9"/>
    <mergeCell ref="E9:F9"/>
    <mergeCell ref="G9:H9"/>
    <mergeCell ref="A10:D10"/>
    <mergeCell ref="E10:F10"/>
    <mergeCell ref="G10:H10"/>
    <mergeCell ref="A8:I8"/>
    <mergeCell ref="A1:I1"/>
    <mergeCell ref="H2:I2"/>
    <mergeCell ref="C3:I3"/>
    <mergeCell ref="B4:G4"/>
    <mergeCell ref="C5:D5"/>
    <mergeCell ref="F5:G5"/>
    <mergeCell ref="G11:H11"/>
    <mergeCell ref="A12:D12"/>
    <mergeCell ref="E12:F12"/>
    <mergeCell ref="G12:H12"/>
    <mergeCell ref="A13:D13"/>
    <mergeCell ref="E13:F13"/>
    <mergeCell ref="G13:H13"/>
    <mergeCell ref="A11:D11"/>
    <mergeCell ref="E11:F11"/>
    <mergeCell ref="A14:D14"/>
    <mergeCell ref="E14:F14"/>
    <mergeCell ref="G14:H14"/>
    <mergeCell ref="A19:I19"/>
    <mergeCell ref="A21:D21"/>
    <mergeCell ref="E21:F21"/>
    <mergeCell ref="G21:H21"/>
    <mergeCell ref="C6:D6"/>
    <mergeCell ref="G26:H26"/>
    <mergeCell ref="A26:D26"/>
    <mergeCell ref="E26:F26"/>
    <mergeCell ref="A24:D24"/>
    <mergeCell ref="E24:F24"/>
    <mergeCell ref="G24:H24"/>
    <mergeCell ref="A25:D25"/>
    <mergeCell ref="E25:F25"/>
    <mergeCell ref="G25:H25"/>
    <mergeCell ref="A22:D22"/>
    <mergeCell ref="E22:F22"/>
    <mergeCell ref="G22:H22"/>
    <mergeCell ref="A23:D23"/>
    <mergeCell ref="E23:F23"/>
    <mergeCell ref="G23:H23"/>
  </mergeCells>
  <dataValidations count="1">
    <dataValidation type="whole" allowBlank="1" showInputMessage="1" showErrorMessage="1" errorTitle="Attention!" error="Valeur numérique attendue" sqref="E10:H11 E13:H13 E22:H25" xr:uid="{00000000-0002-0000-1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pageSetUpPr fitToPage="1"/>
  </sheetPr>
  <dimension ref="A1:J24"/>
  <sheetViews>
    <sheetView showGridLines="0" topLeftCell="A3" workbookViewId="0">
      <selection activeCell="A8" sqref="A8:J19"/>
    </sheetView>
  </sheetViews>
  <sheetFormatPr baseColWidth="10" defaultRowHeight="14.5"/>
  <cols>
    <col min="2" max="2" width="16.453125" customWidth="1"/>
    <col min="5" max="5" width="14.453125" customWidth="1"/>
    <col min="6" max="6" width="5" customWidth="1"/>
    <col min="7" max="7" width="9.81640625" customWidth="1"/>
    <col min="8" max="8" width="9.1796875" customWidth="1"/>
    <col min="9" max="10" width="17.1796875" customWidth="1"/>
  </cols>
  <sheetData>
    <row r="1" spans="1:10">
      <c r="A1" s="1134" t="s">
        <v>183</v>
      </c>
      <c r="B1" s="1134"/>
      <c r="C1" s="1134"/>
      <c r="D1" s="1134"/>
      <c r="E1" s="1134"/>
      <c r="F1" s="1134"/>
      <c r="G1" s="1134"/>
      <c r="H1" s="1134"/>
      <c r="I1" s="1134"/>
      <c r="J1" s="1134"/>
    </row>
    <row r="2" spans="1:10" ht="25" customHeight="1">
      <c r="A2" s="40"/>
      <c r="B2" s="40"/>
      <c r="C2" s="40"/>
      <c r="D2" s="40"/>
      <c r="E2" s="40"/>
      <c r="F2" s="40"/>
      <c r="G2" s="40"/>
      <c r="I2" s="1135" t="s">
        <v>1642</v>
      </c>
      <c r="J2" s="1137"/>
    </row>
    <row r="3" spans="1:10" s="127" customFormat="1" ht="15" customHeight="1">
      <c r="A3" s="7" t="s">
        <v>26</v>
      </c>
      <c r="B3" s="7"/>
      <c r="C3" s="1560">
        <f>'NOTE 1'!C3</f>
        <v>0</v>
      </c>
      <c r="D3" s="1560"/>
      <c r="E3" s="1560"/>
      <c r="F3" s="1560"/>
      <c r="G3" s="1560"/>
      <c r="H3" s="1560"/>
      <c r="I3" s="1221"/>
      <c r="J3" s="1221"/>
    </row>
    <row r="4" spans="1:10" s="127" customFormat="1" ht="15" customHeight="1">
      <c r="A4" s="7" t="s">
        <v>27</v>
      </c>
      <c r="B4" s="1147">
        <f>'NOTE 1'!B4</f>
        <v>0</v>
      </c>
      <c r="C4" s="1147"/>
      <c r="D4" s="1147"/>
      <c r="E4" s="1147"/>
      <c r="F4" s="1147"/>
      <c r="G4" s="1147"/>
      <c r="H4" s="1147"/>
      <c r="I4" s="61" t="s">
        <v>28</v>
      </c>
      <c r="J4" s="44">
        <f>'NOTE 1'!I4</f>
        <v>0</v>
      </c>
    </row>
    <row r="5" spans="1:10" s="127" customFormat="1" ht="15" customHeight="1">
      <c r="A5" s="7" t="s">
        <v>2021</v>
      </c>
      <c r="B5" s="7"/>
      <c r="C5" s="1221">
        <f>'NOTE 1'!C5</f>
        <v>0</v>
      </c>
      <c r="D5" s="1221"/>
      <c r="E5" s="43" t="s">
        <v>30</v>
      </c>
      <c r="F5" s="1638">
        <f>'NOTE 1'!G5</f>
        <v>0</v>
      </c>
      <c r="G5" s="1638"/>
      <c r="H5" s="1638"/>
      <c r="I5" s="61" t="s">
        <v>31</v>
      </c>
      <c r="J5" s="111">
        <f>'NOTE 1'!I5</f>
        <v>0</v>
      </c>
    </row>
    <row r="6" spans="1:10" s="127" customFormat="1" ht="15" customHeight="1">
      <c r="A6" s="7" t="s">
        <v>2024</v>
      </c>
      <c r="B6" s="7"/>
      <c r="C6" s="1461">
        <f>'NOTE 1'!C6</f>
        <v>0</v>
      </c>
      <c r="D6" s="1461"/>
      <c r="E6" s="262"/>
      <c r="F6" s="44"/>
      <c r="G6" s="44"/>
      <c r="H6" s="263"/>
      <c r="I6" s="263"/>
      <c r="J6" s="44"/>
    </row>
    <row r="7" spans="1:10" ht="35.15" customHeight="1" thickBot="1">
      <c r="A7" s="1169" t="s">
        <v>1516</v>
      </c>
      <c r="B7" s="1169"/>
      <c r="C7" s="1169"/>
      <c r="D7" s="1169"/>
      <c r="E7" s="1169"/>
      <c r="F7" s="1169"/>
      <c r="G7" s="1169"/>
      <c r="H7" s="1169"/>
      <c r="I7" s="1169"/>
      <c r="J7" s="1169"/>
    </row>
    <row r="8" spans="1:10" ht="33.75" customHeight="1">
      <c r="A8" s="1632" t="s">
        <v>525</v>
      </c>
      <c r="B8" s="1633"/>
      <c r="C8" s="1633"/>
      <c r="D8" s="1633"/>
      <c r="E8" s="1633" t="s">
        <v>526</v>
      </c>
      <c r="F8" s="1633"/>
      <c r="G8" s="1633" t="s">
        <v>527</v>
      </c>
      <c r="H8" s="1633"/>
      <c r="I8" s="864" t="s">
        <v>1793</v>
      </c>
      <c r="J8" s="865" t="s">
        <v>546</v>
      </c>
    </row>
    <row r="9" spans="1:10" s="1" customFormat="1" ht="17.149999999999999" customHeight="1">
      <c r="A9" s="1442" t="s">
        <v>555</v>
      </c>
      <c r="B9" s="1443"/>
      <c r="C9" s="1443"/>
      <c r="D9" s="1443"/>
      <c r="E9" s="1631"/>
      <c r="F9" s="1631"/>
      <c r="G9" s="1631"/>
      <c r="H9" s="1631"/>
      <c r="I9" s="109">
        <f>ABS(E9-G9)</f>
        <v>0</v>
      </c>
      <c r="J9" s="866" t="str">
        <f>IF(G9,(E9-G9)/G9,IF(ISBLANK(G9),"",IF(E9,IF( E9 &gt; 0,1,-1),"")))</f>
        <v/>
      </c>
    </row>
    <row r="10" spans="1:10" s="1" customFormat="1" ht="17.149999999999999" customHeight="1">
      <c r="A10" s="1442" t="s">
        <v>556</v>
      </c>
      <c r="B10" s="1443"/>
      <c r="C10" s="1443"/>
      <c r="D10" s="1443"/>
      <c r="E10" s="1631"/>
      <c r="F10" s="1631"/>
      <c r="G10" s="1631"/>
      <c r="H10" s="1631"/>
      <c r="I10" s="109">
        <f t="shared" ref="I10:I19" si="0">ABS(E10-G10)</f>
        <v>0</v>
      </c>
      <c r="J10" s="866" t="str">
        <f t="shared" ref="J10:J19" si="1">IF(G10,(E10-G10)/G10,IF(ISBLANK(G10),"",IF(E10,IF( E10 &gt; 0,1,-1),"")))</f>
        <v/>
      </c>
    </row>
    <row r="11" spans="1:10" s="1" customFormat="1" ht="17.149999999999999" customHeight="1">
      <c r="A11" s="1442" t="s">
        <v>557</v>
      </c>
      <c r="B11" s="1443"/>
      <c r="C11" s="1443"/>
      <c r="D11" s="1443"/>
      <c r="E11" s="1631"/>
      <c r="F11" s="1631"/>
      <c r="G11" s="1631"/>
      <c r="H11" s="1631"/>
      <c r="I11" s="109">
        <f t="shared" si="0"/>
        <v>0</v>
      </c>
      <c r="J11" s="866" t="str">
        <f t="shared" si="1"/>
        <v/>
      </c>
    </row>
    <row r="12" spans="1:10" s="1" customFormat="1" ht="17.149999999999999" customHeight="1">
      <c r="A12" s="1442" t="s">
        <v>558</v>
      </c>
      <c r="B12" s="1443"/>
      <c r="C12" s="1443"/>
      <c r="D12" s="1443"/>
      <c r="E12" s="1631"/>
      <c r="F12" s="1631"/>
      <c r="G12" s="1631"/>
      <c r="H12" s="1631"/>
      <c r="I12" s="109">
        <f t="shared" si="0"/>
        <v>0</v>
      </c>
      <c r="J12" s="866" t="str">
        <f t="shared" si="1"/>
        <v/>
      </c>
    </row>
    <row r="13" spans="1:10" s="1" customFormat="1" ht="17.149999999999999" customHeight="1">
      <c r="A13" s="1442" t="s">
        <v>559</v>
      </c>
      <c r="B13" s="1443"/>
      <c r="C13" s="1443"/>
      <c r="D13" s="1443"/>
      <c r="E13" s="1631"/>
      <c r="F13" s="1631"/>
      <c r="G13" s="1631"/>
      <c r="H13" s="1631"/>
      <c r="I13" s="109">
        <f t="shared" si="0"/>
        <v>0</v>
      </c>
      <c r="J13" s="866" t="str">
        <f t="shared" si="1"/>
        <v/>
      </c>
    </row>
    <row r="14" spans="1:10" s="1" customFormat="1" ht="17.149999999999999" customHeight="1">
      <c r="A14" s="1442" t="s">
        <v>560</v>
      </c>
      <c r="B14" s="1443"/>
      <c r="C14" s="1443"/>
      <c r="D14" s="1443"/>
      <c r="E14" s="1631"/>
      <c r="F14" s="1631"/>
      <c r="G14" s="1631"/>
      <c r="H14" s="1631"/>
      <c r="I14" s="109">
        <f t="shared" si="0"/>
        <v>0</v>
      </c>
      <c r="J14" s="866" t="str">
        <f t="shared" si="1"/>
        <v/>
      </c>
    </row>
    <row r="15" spans="1:10" s="1" customFormat="1" ht="17.149999999999999" customHeight="1">
      <c r="A15" s="1442" t="s">
        <v>561</v>
      </c>
      <c r="B15" s="1443"/>
      <c r="C15" s="1443"/>
      <c r="D15" s="1443"/>
      <c r="E15" s="1631"/>
      <c r="F15" s="1631"/>
      <c r="G15" s="1631"/>
      <c r="H15" s="1631"/>
      <c r="I15" s="109">
        <f t="shared" si="0"/>
        <v>0</v>
      </c>
      <c r="J15" s="866" t="str">
        <f t="shared" si="1"/>
        <v/>
      </c>
    </row>
    <row r="16" spans="1:10" s="1" customFormat="1" ht="17.149999999999999" customHeight="1">
      <c r="A16" s="1442" t="s">
        <v>562</v>
      </c>
      <c r="B16" s="1443"/>
      <c r="C16" s="1443"/>
      <c r="D16" s="1443"/>
      <c r="E16" s="1631"/>
      <c r="F16" s="1631"/>
      <c r="G16" s="1631"/>
      <c r="H16" s="1631"/>
      <c r="I16" s="109">
        <f t="shared" si="0"/>
        <v>0</v>
      </c>
      <c r="J16" s="866" t="str">
        <f t="shared" si="1"/>
        <v/>
      </c>
    </row>
    <row r="17" spans="1:10" s="1" customFormat="1" ht="17.149999999999999" customHeight="1">
      <c r="A17" s="1456" t="s">
        <v>563</v>
      </c>
      <c r="B17" s="1457"/>
      <c r="C17" s="1457"/>
      <c r="D17" s="1457"/>
      <c r="E17" s="1537">
        <f>SUM(E9:F16)</f>
        <v>0</v>
      </c>
      <c r="F17" s="1538"/>
      <c r="G17" s="1537">
        <f>SUM(G9:H16)</f>
        <v>0</v>
      </c>
      <c r="H17" s="1538"/>
      <c r="I17" s="143">
        <f>ABS(E17-G17)</f>
        <v>0</v>
      </c>
      <c r="J17" s="867" t="str">
        <f t="shared" si="1"/>
        <v/>
      </c>
    </row>
    <row r="18" spans="1:10" s="1" customFormat="1" ht="23.25" customHeight="1">
      <c r="A18" s="1442" t="s">
        <v>564</v>
      </c>
      <c r="B18" s="1443"/>
      <c r="C18" s="1443"/>
      <c r="D18" s="1443"/>
      <c r="E18" s="1631"/>
      <c r="F18" s="1631"/>
      <c r="G18" s="1631"/>
      <c r="H18" s="1631"/>
      <c r="I18" s="109">
        <f t="shared" si="0"/>
        <v>0</v>
      </c>
      <c r="J18" s="866" t="str">
        <f t="shared" si="1"/>
        <v/>
      </c>
    </row>
    <row r="19" spans="1:10" s="1" customFormat="1" ht="17.149999999999999" customHeight="1" thickBot="1">
      <c r="A19" s="1636" t="s">
        <v>626</v>
      </c>
      <c r="B19" s="1637"/>
      <c r="C19" s="1637"/>
      <c r="D19" s="1637"/>
      <c r="E19" s="1635">
        <f>E17+E18</f>
        <v>0</v>
      </c>
      <c r="F19" s="1635"/>
      <c r="G19" s="1635">
        <f>G17+G18</f>
        <v>0</v>
      </c>
      <c r="H19" s="1635"/>
      <c r="I19" s="871">
        <f t="shared" si="0"/>
        <v>0</v>
      </c>
      <c r="J19" s="869" t="str">
        <f t="shared" si="1"/>
        <v/>
      </c>
    </row>
    <row r="20" spans="1:10" s="3" customFormat="1" ht="19.5" customHeight="1">
      <c r="A20" s="1159" t="s">
        <v>565</v>
      </c>
      <c r="B20" s="1159"/>
      <c r="C20" s="1159"/>
      <c r="D20" s="1159"/>
      <c r="E20" s="1159"/>
      <c r="F20" s="1159"/>
      <c r="G20" s="1159"/>
      <c r="H20" s="1159"/>
      <c r="I20" s="1159"/>
      <c r="J20" s="1159"/>
    </row>
    <row r="21" spans="1:10" s="3" customFormat="1" ht="10.5">
      <c r="A21" s="581" t="s">
        <v>1792</v>
      </c>
      <c r="B21" s="440"/>
      <c r="C21" s="440"/>
      <c r="D21" s="440"/>
      <c r="E21" s="440"/>
      <c r="F21" s="440"/>
      <c r="G21" s="440"/>
      <c r="H21" s="440"/>
      <c r="I21" s="440"/>
      <c r="J21" s="440"/>
    </row>
    <row r="22" spans="1:10" s="3" customFormat="1" ht="12.75" customHeight="1">
      <c r="A22" s="633" t="s">
        <v>1680</v>
      </c>
    </row>
    <row r="23" spans="1:10" s="3" customFormat="1" ht="12.75" customHeight="1">
      <c r="A23" s="633" t="s">
        <v>1681</v>
      </c>
    </row>
    <row r="24" spans="1:10" s="3" customFormat="1" ht="12.75" customHeight="1">
      <c r="A24" s="633" t="s">
        <v>1682</v>
      </c>
    </row>
  </sheetData>
  <sheetProtection selectLockedCells="1"/>
  <mergeCells count="45">
    <mergeCell ref="A7:J7"/>
    <mergeCell ref="A8:D8"/>
    <mergeCell ref="E8:F8"/>
    <mergeCell ref="G8:H8"/>
    <mergeCell ref="A9:D9"/>
    <mergeCell ref="E9:F9"/>
    <mergeCell ref="G9:H9"/>
    <mergeCell ref="A1:J1"/>
    <mergeCell ref="C3:J3"/>
    <mergeCell ref="C5:D5"/>
    <mergeCell ref="F5:H5"/>
    <mergeCell ref="B4:H4"/>
    <mergeCell ref="I2:J2"/>
    <mergeCell ref="G10:H10"/>
    <mergeCell ref="A11:D11"/>
    <mergeCell ref="E11:F11"/>
    <mergeCell ref="G11:H11"/>
    <mergeCell ref="A12:D12"/>
    <mergeCell ref="E12:F12"/>
    <mergeCell ref="G12:H12"/>
    <mergeCell ref="A10:D10"/>
    <mergeCell ref="E10:F10"/>
    <mergeCell ref="G16:H16"/>
    <mergeCell ref="A13:D13"/>
    <mergeCell ref="E13:F13"/>
    <mergeCell ref="G13:H13"/>
    <mergeCell ref="A14:D14"/>
    <mergeCell ref="E14:F14"/>
    <mergeCell ref="G14:H14"/>
    <mergeCell ref="C6:D6"/>
    <mergeCell ref="A20:J20"/>
    <mergeCell ref="G19:H19"/>
    <mergeCell ref="A19:D19"/>
    <mergeCell ref="E19:F19"/>
    <mergeCell ref="A17:D17"/>
    <mergeCell ref="E17:F17"/>
    <mergeCell ref="G17:H17"/>
    <mergeCell ref="A18:D18"/>
    <mergeCell ref="E18:F18"/>
    <mergeCell ref="G18:H18"/>
    <mergeCell ref="A15:D15"/>
    <mergeCell ref="E15:F15"/>
    <mergeCell ref="G15:H15"/>
    <mergeCell ref="A16:D16"/>
    <mergeCell ref="E16:F16"/>
  </mergeCells>
  <dataValidations count="1">
    <dataValidation type="whole" allowBlank="1" showInputMessage="1" showErrorMessage="1" errorTitle="Attention!" error="Valeur numérique attendue" sqref="E9:I16 E18:H18 I17:I19" xr:uid="{00000000-0002-0000-1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8"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pageSetUpPr fitToPage="1"/>
  </sheetPr>
  <dimension ref="A1:J28"/>
  <sheetViews>
    <sheetView showGridLines="0" topLeftCell="A8" zoomScaleNormal="100" workbookViewId="0">
      <selection activeCell="A8" sqref="A8:J23"/>
    </sheetView>
  </sheetViews>
  <sheetFormatPr baseColWidth="10" defaultColWidth="11.453125" defaultRowHeight="14.5"/>
  <cols>
    <col min="2" max="2" width="16.453125" customWidth="1"/>
    <col min="5" max="6" width="15.54296875" customWidth="1"/>
    <col min="8" max="10" width="15.54296875" customWidth="1"/>
  </cols>
  <sheetData>
    <row r="1" spans="1:10">
      <c r="A1" s="1217" t="s">
        <v>183</v>
      </c>
      <c r="B1" s="1217"/>
      <c r="C1" s="1217"/>
      <c r="D1" s="1217"/>
      <c r="E1" s="1217"/>
      <c r="F1" s="1217"/>
      <c r="G1" s="1217"/>
      <c r="H1" s="1217"/>
      <c r="I1" s="1217"/>
      <c r="J1" s="1217"/>
    </row>
    <row r="2" spans="1:10" ht="25" customHeight="1">
      <c r="A2" s="40"/>
      <c r="B2" s="40"/>
      <c r="C2" s="40"/>
      <c r="D2" s="40"/>
      <c r="E2" s="40"/>
      <c r="F2" s="40"/>
      <c r="G2" s="40"/>
      <c r="I2" s="1135" t="s">
        <v>1643</v>
      </c>
      <c r="J2" s="1137"/>
    </row>
    <row r="3" spans="1:10" s="127" customFormat="1" ht="15" customHeight="1">
      <c r="A3" s="7" t="s">
        <v>26</v>
      </c>
      <c r="B3" s="7"/>
      <c r="C3" s="1624">
        <f>'NOTE 1'!C3</f>
        <v>0</v>
      </c>
      <c r="D3" s="1624"/>
      <c r="E3" s="1624"/>
      <c r="F3" s="1624"/>
      <c r="G3" s="1624"/>
      <c r="H3" s="1624"/>
      <c r="I3" s="1624"/>
      <c r="J3" s="1624"/>
    </row>
    <row r="4" spans="1:10" s="127" customFormat="1" ht="15" customHeight="1">
      <c r="A4" s="7" t="s">
        <v>27</v>
      </c>
      <c r="B4" s="1624">
        <f>'NOTE 1'!B4</f>
        <v>0</v>
      </c>
      <c r="C4" s="1624"/>
      <c r="D4" s="1624"/>
      <c r="E4" s="1624"/>
      <c r="F4" s="1624"/>
      <c r="G4" s="1624"/>
      <c r="H4" s="1624"/>
      <c r="I4" s="61" t="s">
        <v>28</v>
      </c>
      <c r="J4" s="612">
        <f>'NOTE 1'!I4</f>
        <v>0</v>
      </c>
    </row>
    <row r="5" spans="1:10" s="127" customFormat="1" ht="15" customHeight="1">
      <c r="A5" s="7" t="s">
        <v>2021</v>
      </c>
      <c r="B5" s="7"/>
      <c r="C5" s="1624">
        <f>'NOTE 1'!C5</f>
        <v>0</v>
      </c>
      <c r="D5" s="1624"/>
      <c r="E5" s="1624"/>
      <c r="F5" s="43" t="s">
        <v>30</v>
      </c>
      <c r="G5" s="1625">
        <f>'NOTE 1'!G5</f>
        <v>0</v>
      </c>
      <c r="H5" s="1625"/>
      <c r="I5" s="61" t="s">
        <v>31</v>
      </c>
      <c r="J5" s="613">
        <f>'NOTE 1'!I5</f>
        <v>0</v>
      </c>
    </row>
    <row r="6" spans="1:10" s="127" customFormat="1" ht="15" customHeight="1">
      <c r="A6" s="7" t="s">
        <v>2024</v>
      </c>
      <c r="B6" s="7"/>
      <c r="C6" s="1626">
        <f>'NOTE 1'!C6</f>
        <v>0</v>
      </c>
      <c r="D6" s="1626"/>
      <c r="E6" s="1626"/>
      <c r="F6" s="262"/>
      <c r="G6" s="44"/>
      <c r="H6" s="44"/>
      <c r="I6" s="263"/>
      <c r="J6" s="44"/>
    </row>
    <row r="7" spans="1:10" ht="35.15" customHeight="1" thickBot="1">
      <c r="A7" s="1169" t="s">
        <v>1517</v>
      </c>
      <c r="B7" s="1169"/>
      <c r="C7" s="1169"/>
      <c r="D7" s="1169"/>
      <c r="E7" s="1169"/>
      <c r="F7" s="1169"/>
      <c r="G7" s="1169"/>
      <c r="H7" s="1169"/>
      <c r="I7" s="1169"/>
      <c r="J7" s="1169"/>
    </row>
    <row r="8" spans="1:10" ht="59.25" customHeight="1">
      <c r="A8" s="1632" t="s">
        <v>525</v>
      </c>
      <c r="B8" s="1633"/>
      <c r="C8" s="1633"/>
      <c r="D8" s="1633"/>
      <c r="E8" s="864" t="s">
        <v>526</v>
      </c>
      <c r="F8" s="864" t="s">
        <v>527</v>
      </c>
      <c r="G8" s="864" t="s">
        <v>546</v>
      </c>
      <c r="H8" s="864" t="s">
        <v>567</v>
      </c>
      <c r="I8" s="864" t="s">
        <v>530</v>
      </c>
      <c r="J8" s="865" t="s">
        <v>531</v>
      </c>
    </row>
    <row r="9" spans="1:10" ht="16" customHeight="1">
      <c r="A9" s="1442" t="s">
        <v>1794</v>
      </c>
      <c r="B9" s="1443"/>
      <c r="C9" s="1443"/>
      <c r="D9" s="1443"/>
      <c r="E9" s="126"/>
      <c r="F9" s="126"/>
      <c r="G9" s="433" t="str">
        <f>IF(F9,(E9-F9)/F9,IF(ISBLANK(F9),"",IF(E9,IF( E9 &gt; 0,1,-1),"")))</f>
        <v/>
      </c>
      <c r="H9" s="126"/>
      <c r="I9" s="126"/>
      <c r="J9" s="830"/>
    </row>
    <row r="10" spans="1:10" ht="24.75" customHeight="1">
      <c r="A10" s="1442" t="s">
        <v>1795</v>
      </c>
      <c r="B10" s="1443"/>
      <c r="C10" s="1443"/>
      <c r="D10" s="1443"/>
      <c r="E10" s="126"/>
      <c r="F10" s="126"/>
      <c r="G10" s="433" t="str">
        <f t="shared" ref="G10:G23" si="0">IF(F10,(E10-F10)/F10,IF(ISBLANK(F10),"",IF(E10,IF( E10 &gt; 0,1,-1),"")))</f>
        <v/>
      </c>
      <c r="H10" s="126"/>
      <c r="I10" s="126"/>
      <c r="J10" s="830"/>
    </row>
    <row r="11" spans="1:10" ht="16" customHeight="1">
      <c r="A11" s="1442" t="s">
        <v>1796</v>
      </c>
      <c r="B11" s="1443"/>
      <c r="C11" s="1443"/>
      <c r="D11" s="1443"/>
      <c r="E11" s="126"/>
      <c r="F11" s="126"/>
      <c r="G11" s="433" t="str">
        <f t="shared" si="0"/>
        <v/>
      </c>
      <c r="H11" s="126"/>
      <c r="I11" s="126"/>
      <c r="J11" s="830"/>
    </row>
    <row r="12" spans="1:10" ht="16" customHeight="1">
      <c r="A12" s="1442" t="s">
        <v>568</v>
      </c>
      <c r="B12" s="1443"/>
      <c r="C12" s="1443"/>
      <c r="D12" s="1443"/>
      <c r="E12" s="126"/>
      <c r="F12" s="126"/>
      <c r="G12" s="433" t="str">
        <f t="shared" si="0"/>
        <v/>
      </c>
      <c r="H12" s="126"/>
      <c r="I12" s="126"/>
      <c r="J12" s="830"/>
    </row>
    <row r="13" spans="1:10" ht="16" customHeight="1">
      <c r="A13" s="1442" t="s">
        <v>569</v>
      </c>
      <c r="B13" s="1443"/>
      <c r="C13" s="1443"/>
      <c r="D13" s="1443"/>
      <c r="E13" s="126"/>
      <c r="F13" s="126"/>
      <c r="G13" s="433" t="str">
        <f t="shared" si="0"/>
        <v/>
      </c>
      <c r="H13" s="126"/>
      <c r="I13" s="126"/>
      <c r="J13" s="830"/>
    </row>
    <row r="14" spans="1:10" ht="16" customHeight="1">
      <c r="A14" s="1442" t="s">
        <v>570</v>
      </c>
      <c r="B14" s="1443"/>
      <c r="C14" s="1443"/>
      <c r="D14" s="1443"/>
      <c r="E14" s="126"/>
      <c r="F14" s="126"/>
      <c r="G14" s="433" t="str">
        <f t="shared" si="0"/>
        <v/>
      </c>
      <c r="H14" s="126"/>
      <c r="I14" s="126"/>
      <c r="J14" s="830"/>
    </row>
    <row r="15" spans="1:10" ht="16" customHeight="1">
      <c r="A15" s="1442" t="s">
        <v>571</v>
      </c>
      <c r="B15" s="1443"/>
      <c r="C15" s="1443"/>
      <c r="D15" s="1443"/>
      <c r="E15" s="126"/>
      <c r="F15" s="126"/>
      <c r="G15" s="433" t="str">
        <f t="shared" si="0"/>
        <v/>
      </c>
      <c r="H15" s="126"/>
      <c r="I15" s="126"/>
      <c r="J15" s="830"/>
    </row>
    <row r="16" spans="1:10" ht="16" customHeight="1">
      <c r="A16" s="1442" t="s">
        <v>572</v>
      </c>
      <c r="B16" s="1443"/>
      <c r="C16" s="1443"/>
      <c r="D16" s="1443"/>
      <c r="E16" s="126"/>
      <c r="F16" s="126"/>
      <c r="G16" s="433" t="str">
        <f t="shared" si="0"/>
        <v/>
      </c>
      <c r="H16" s="126"/>
      <c r="I16" s="126"/>
      <c r="J16" s="830"/>
    </row>
    <row r="17" spans="1:10" ht="16" customHeight="1">
      <c r="A17" s="1612" t="s">
        <v>573</v>
      </c>
      <c r="B17" s="1613"/>
      <c r="C17" s="1613"/>
      <c r="D17" s="1613"/>
      <c r="E17" s="108">
        <f>SUM(E9:E16)</f>
        <v>0</v>
      </c>
      <c r="F17" s="108">
        <f>SUM(F9:F16)</f>
        <v>0</v>
      </c>
      <c r="G17" s="434" t="str">
        <f t="shared" si="0"/>
        <v/>
      </c>
      <c r="H17" s="108">
        <f t="shared" ref="H17:J17" si="1">SUM(H9:H16)</f>
        <v>0</v>
      </c>
      <c r="I17" s="108">
        <f t="shared" si="1"/>
        <v>0</v>
      </c>
      <c r="J17" s="872">
        <f t="shared" si="1"/>
        <v>0</v>
      </c>
    </row>
    <row r="18" spans="1:10" ht="16" customHeight="1">
      <c r="A18" s="1442" t="s">
        <v>574</v>
      </c>
      <c r="B18" s="1443"/>
      <c r="C18" s="1443"/>
      <c r="D18" s="1443"/>
      <c r="E18" s="126"/>
      <c r="F18" s="126"/>
      <c r="G18" s="433" t="str">
        <f t="shared" si="0"/>
        <v/>
      </c>
      <c r="H18" s="578"/>
      <c r="I18" s="578"/>
      <c r="J18" s="858"/>
    </row>
    <row r="19" spans="1:10" ht="15" customHeight="1">
      <c r="A19" s="1612" t="s">
        <v>626</v>
      </c>
      <c r="B19" s="1613"/>
      <c r="C19" s="1613"/>
      <c r="D19" s="1613"/>
      <c r="E19" s="108">
        <f>E17-E18</f>
        <v>0</v>
      </c>
      <c r="F19" s="108">
        <f>F17-F18</f>
        <v>0</v>
      </c>
      <c r="G19" s="434" t="str">
        <f t="shared" si="0"/>
        <v/>
      </c>
      <c r="H19" s="582"/>
      <c r="I19" s="582"/>
      <c r="J19" s="873"/>
    </row>
    <row r="20" spans="1:10" ht="16" customHeight="1">
      <c r="A20" s="1442" t="s">
        <v>575</v>
      </c>
      <c r="B20" s="1443"/>
      <c r="C20" s="1443"/>
      <c r="D20" s="1443"/>
      <c r="E20" s="126"/>
      <c r="F20" s="126"/>
      <c r="G20" s="433" t="str">
        <f t="shared" si="0"/>
        <v/>
      </c>
      <c r="H20" s="126"/>
      <c r="I20" s="126"/>
      <c r="J20" s="830"/>
    </row>
    <row r="21" spans="1:10" ht="16" customHeight="1">
      <c r="A21" s="1442" t="s">
        <v>576</v>
      </c>
      <c r="B21" s="1443"/>
      <c r="C21" s="1443"/>
      <c r="D21" s="1443"/>
      <c r="E21" s="126"/>
      <c r="F21" s="126"/>
      <c r="G21" s="433" t="str">
        <f t="shared" si="0"/>
        <v/>
      </c>
      <c r="H21" s="126"/>
      <c r="I21" s="126"/>
      <c r="J21" s="830"/>
    </row>
    <row r="22" spans="1:10" ht="16" customHeight="1">
      <c r="A22" s="1442" t="s">
        <v>577</v>
      </c>
      <c r="B22" s="1443"/>
      <c r="C22" s="1443"/>
      <c r="D22" s="1443"/>
      <c r="E22" s="126"/>
      <c r="F22" s="126"/>
      <c r="G22" s="433" t="str">
        <f t="shared" si="0"/>
        <v/>
      </c>
      <c r="H22" s="126"/>
      <c r="I22" s="126"/>
      <c r="J22" s="830"/>
    </row>
    <row r="23" spans="1:10" ht="16" customHeight="1" thickBot="1">
      <c r="A23" s="1629" t="s">
        <v>578</v>
      </c>
      <c r="B23" s="1630"/>
      <c r="C23" s="1630"/>
      <c r="D23" s="1630"/>
      <c r="E23" s="868">
        <f>SUM(E20:E22)</f>
        <v>0</v>
      </c>
      <c r="F23" s="868">
        <f>SUM(F20:F22)</f>
        <v>0</v>
      </c>
      <c r="G23" s="874" t="str">
        <f t="shared" si="0"/>
        <v/>
      </c>
      <c r="H23" s="868">
        <f>SUM(H20:H22)</f>
        <v>0</v>
      </c>
      <c r="I23" s="868">
        <f t="shared" ref="I23:J23" si="2">SUM(I20:I22)</f>
        <v>0</v>
      </c>
      <c r="J23" s="875">
        <f t="shared" si="2"/>
        <v>0</v>
      </c>
    </row>
    <row r="24" spans="1:10" s="3" customFormat="1" ht="10.5">
      <c r="A24" s="581" t="s">
        <v>1792</v>
      </c>
    </row>
    <row r="25" spans="1:10" s="3" customFormat="1" ht="12.75" customHeight="1">
      <c r="A25" s="633" t="s">
        <v>1683</v>
      </c>
    </row>
    <row r="26" spans="1:10" s="3" customFormat="1" ht="12.75" customHeight="1">
      <c r="A26" s="633" t="s">
        <v>1684</v>
      </c>
    </row>
    <row r="27" spans="1:10" s="3" customFormat="1" ht="12.75" customHeight="1">
      <c r="A27" s="633" t="s">
        <v>1685</v>
      </c>
    </row>
    <row r="28" spans="1:10" s="3" customFormat="1" ht="12.75" customHeight="1">
      <c r="A28" s="633" t="s">
        <v>1686</v>
      </c>
    </row>
  </sheetData>
  <sheetProtection selectLockedCells="1"/>
  <mergeCells count="24">
    <mergeCell ref="A14:D14"/>
    <mergeCell ref="A15:D15"/>
    <mergeCell ref="A1:J1"/>
    <mergeCell ref="I2:J2"/>
    <mergeCell ref="C3:J3"/>
    <mergeCell ref="B4:H4"/>
    <mergeCell ref="C5:E5"/>
    <mergeCell ref="G5:H5"/>
    <mergeCell ref="C6:E6"/>
    <mergeCell ref="A7:J7"/>
    <mergeCell ref="A8:D8"/>
    <mergeCell ref="A9:D9"/>
    <mergeCell ref="A10:D10"/>
    <mergeCell ref="A11:D11"/>
    <mergeCell ref="A12:D12"/>
    <mergeCell ref="A13:D13"/>
    <mergeCell ref="A16:D16"/>
    <mergeCell ref="A17:D17"/>
    <mergeCell ref="A22:D22"/>
    <mergeCell ref="A23:D23"/>
    <mergeCell ref="A18:D18"/>
    <mergeCell ref="A19:D19"/>
    <mergeCell ref="A20:D20"/>
    <mergeCell ref="A21:D21"/>
  </mergeCells>
  <dataValidations count="1">
    <dataValidation type="whole" allowBlank="1" showInputMessage="1" showErrorMessage="1" errorTitle="Attention!" error="Valeur numérique attendue" sqref="E9:F16 E18:F18 E20:F22 H9:J16 H18:J18 H20:J22" xr:uid="{00000000-0002-0000-1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pageSetUpPr fitToPage="1"/>
  </sheetPr>
  <dimension ref="A1:J27"/>
  <sheetViews>
    <sheetView showGridLines="0" topLeftCell="A8" workbookViewId="0">
      <selection activeCell="A8" sqref="A8:J21"/>
    </sheetView>
  </sheetViews>
  <sheetFormatPr baseColWidth="10" defaultRowHeight="14.5"/>
  <cols>
    <col min="2" max="2" width="16.1796875" customWidth="1"/>
    <col min="5" max="6" width="15.453125" customWidth="1"/>
    <col min="8" max="10" width="15.453125" customWidth="1"/>
  </cols>
  <sheetData>
    <row r="1" spans="1:10">
      <c r="A1" s="1134" t="s">
        <v>183</v>
      </c>
      <c r="B1" s="1134"/>
      <c r="C1" s="1134"/>
      <c r="D1" s="1134"/>
      <c r="E1" s="1134"/>
      <c r="F1" s="1134"/>
      <c r="G1" s="1134"/>
      <c r="H1" s="1134"/>
      <c r="I1" s="1134"/>
      <c r="J1" s="1134"/>
    </row>
    <row r="2" spans="1:10" ht="25" customHeight="1">
      <c r="A2" s="40"/>
      <c r="B2" s="40"/>
      <c r="C2" s="40"/>
      <c r="D2" s="40"/>
      <c r="E2" s="40"/>
      <c r="F2" s="40"/>
      <c r="G2" s="40"/>
      <c r="I2" s="1135" t="s">
        <v>1644</v>
      </c>
      <c r="J2" s="1137"/>
    </row>
    <row r="3" spans="1:10" s="127" customFormat="1" ht="15" customHeight="1">
      <c r="A3" s="7" t="s">
        <v>26</v>
      </c>
      <c r="B3" s="7"/>
      <c r="C3" s="1221">
        <f>'NOTE 1'!C3</f>
        <v>0</v>
      </c>
      <c r="D3" s="1221"/>
      <c r="E3" s="1221"/>
      <c r="F3" s="1221"/>
      <c r="G3" s="1221"/>
      <c r="H3" s="1221"/>
      <c r="I3" s="1221"/>
      <c r="J3" s="1221"/>
    </row>
    <row r="4" spans="1:10" s="127" customFormat="1" ht="15" customHeight="1">
      <c r="A4" s="7" t="s">
        <v>27</v>
      </c>
      <c r="B4" s="1221">
        <f>'NOTE 1'!B4</f>
        <v>0</v>
      </c>
      <c r="C4" s="1221"/>
      <c r="D4" s="1221"/>
      <c r="E4" s="1221"/>
      <c r="F4" s="1221"/>
      <c r="G4" s="1221"/>
      <c r="H4" s="1221"/>
      <c r="I4" s="61" t="s">
        <v>28</v>
      </c>
      <c r="J4" s="119">
        <f>'NOTE 1'!I4</f>
        <v>0</v>
      </c>
    </row>
    <row r="5" spans="1:10" s="127" customFormat="1" ht="15" customHeight="1">
      <c r="A5" s="7" t="s">
        <v>2021</v>
      </c>
      <c r="B5" s="7"/>
      <c r="C5" s="1221">
        <f>'NOTE 1'!C5</f>
        <v>0</v>
      </c>
      <c r="D5" s="1221"/>
      <c r="E5" s="1221"/>
      <c r="F5" s="43" t="s">
        <v>30</v>
      </c>
      <c r="G5" s="1508">
        <f>'NOTE 1'!G5</f>
        <v>0</v>
      </c>
      <c r="H5" s="1508"/>
      <c r="I5" s="61" t="s">
        <v>31</v>
      </c>
      <c r="J5" s="44">
        <f>'NOTE 1'!I5</f>
        <v>0</v>
      </c>
    </row>
    <row r="6" spans="1:10" s="127" customFormat="1" ht="15" customHeight="1">
      <c r="A6" s="7" t="s">
        <v>2024</v>
      </c>
      <c r="B6" s="7"/>
      <c r="C6" s="1461">
        <f>'NOTE 1'!C6</f>
        <v>0</v>
      </c>
      <c r="D6" s="1461"/>
      <c r="E6" s="1461"/>
      <c r="F6" s="262"/>
      <c r="G6" s="44"/>
      <c r="H6" s="44"/>
      <c r="I6" s="263"/>
      <c r="J6" s="44"/>
    </row>
    <row r="7" spans="1:10" ht="35.15" customHeight="1" thickBot="1">
      <c r="A7" s="1169" t="s">
        <v>1518</v>
      </c>
      <c r="B7" s="1169"/>
      <c r="C7" s="1169"/>
      <c r="D7" s="1169"/>
      <c r="E7" s="1169"/>
      <c r="F7" s="1169"/>
      <c r="G7" s="1169"/>
      <c r="H7" s="1169"/>
      <c r="I7" s="1169"/>
      <c r="J7" s="1169"/>
    </row>
    <row r="8" spans="1:10" ht="59.25" customHeight="1">
      <c r="A8" s="1639" t="s">
        <v>525</v>
      </c>
      <c r="B8" s="1471"/>
      <c r="C8" s="1471"/>
      <c r="D8" s="1471"/>
      <c r="E8" s="827" t="s">
        <v>526</v>
      </c>
      <c r="F8" s="827" t="s">
        <v>527</v>
      </c>
      <c r="G8" s="827" t="s">
        <v>546</v>
      </c>
      <c r="H8" s="827" t="s">
        <v>567</v>
      </c>
      <c r="I8" s="827" t="s">
        <v>530</v>
      </c>
      <c r="J8" s="876" t="s">
        <v>531</v>
      </c>
    </row>
    <row r="9" spans="1:10" ht="17.149999999999999" customHeight="1">
      <c r="A9" s="1442" t="s">
        <v>463</v>
      </c>
      <c r="B9" s="1443"/>
      <c r="C9" s="1443"/>
      <c r="D9" s="1443"/>
      <c r="E9" s="126"/>
      <c r="F9" s="126"/>
      <c r="G9" s="433" t="str">
        <f>IF(F9,(E9-F9)/F9,IF(ISBLANK(F9),"",IF(E9,IF( E9 &gt; 0,1,-1),"")))</f>
        <v/>
      </c>
      <c r="H9" s="126"/>
      <c r="I9" s="126"/>
      <c r="J9" s="830"/>
    </row>
    <row r="10" spans="1:10" ht="17.149999999999999" customHeight="1">
      <c r="A10" s="1442" t="s">
        <v>579</v>
      </c>
      <c r="B10" s="1443"/>
      <c r="C10" s="1443"/>
      <c r="D10" s="1443"/>
      <c r="E10" s="126"/>
      <c r="F10" s="126"/>
      <c r="G10" s="433" t="str">
        <f t="shared" ref="G10:G21" si="0">IF(F10,(E10-F10)/F10,IF(ISBLANK(F10),"",IF(E10,IF( E10 &gt; 0,1,-1),"")))</f>
        <v/>
      </c>
      <c r="H10" s="126"/>
      <c r="I10" s="126"/>
      <c r="J10" s="830"/>
    </row>
    <row r="11" spans="1:10" ht="17.149999999999999" customHeight="1">
      <c r="A11" s="1442" t="s">
        <v>580</v>
      </c>
      <c r="B11" s="1443"/>
      <c r="C11" s="1443"/>
      <c r="D11" s="1443"/>
      <c r="E11" s="126"/>
      <c r="F11" s="126"/>
      <c r="G11" s="433" t="str">
        <f t="shared" si="0"/>
        <v/>
      </c>
      <c r="H11" s="126"/>
      <c r="I11" s="126"/>
      <c r="J11" s="830"/>
    </row>
    <row r="12" spans="1:10" ht="17.149999999999999" customHeight="1">
      <c r="A12" s="1442" t="s">
        <v>466</v>
      </c>
      <c r="B12" s="1443"/>
      <c r="C12" s="1443"/>
      <c r="D12" s="1443"/>
      <c r="E12" s="126"/>
      <c r="F12" s="126"/>
      <c r="G12" s="433" t="str">
        <f t="shared" si="0"/>
        <v/>
      </c>
      <c r="H12" s="126"/>
      <c r="I12" s="126"/>
      <c r="J12" s="830"/>
    </row>
    <row r="13" spans="1:10" ht="17.149999999999999" customHeight="1">
      <c r="A13" s="1442" t="s">
        <v>581</v>
      </c>
      <c r="B13" s="1443"/>
      <c r="C13" s="1443"/>
      <c r="D13" s="1443"/>
      <c r="E13" s="126"/>
      <c r="F13" s="126"/>
      <c r="G13" s="433" t="str">
        <f t="shared" si="0"/>
        <v/>
      </c>
      <c r="H13" s="126"/>
      <c r="I13" s="126"/>
      <c r="J13" s="830"/>
    </row>
    <row r="14" spans="1:10" ht="27" customHeight="1">
      <c r="A14" s="1442" t="s">
        <v>1797</v>
      </c>
      <c r="B14" s="1443"/>
      <c r="C14" s="1443"/>
      <c r="D14" s="1443"/>
      <c r="E14" s="126"/>
      <c r="F14" s="126"/>
      <c r="G14" s="433" t="str">
        <f t="shared" si="0"/>
        <v/>
      </c>
      <c r="H14" s="126"/>
      <c r="I14" s="126"/>
      <c r="J14" s="830"/>
    </row>
    <row r="15" spans="1:10" ht="17.149999999999999" customHeight="1">
      <c r="A15" s="1442" t="s">
        <v>582</v>
      </c>
      <c r="B15" s="1443"/>
      <c r="C15" s="1443"/>
      <c r="D15" s="1443"/>
      <c r="E15" s="126"/>
      <c r="F15" s="126"/>
      <c r="G15" s="433" t="str">
        <f t="shared" si="0"/>
        <v/>
      </c>
      <c r="H15" s="126"/>
      <c r="I15" s="126"/>
      <c r="J15" s="830"/>
    </row>
    <row r="16" spans="1:10" ht="27" customHeight="1">
      <c r="A16" s="1442" t="s">
        <v>583</v>
      </c>
      <c r="B16" s="1443"/>
      <c r="C16" s="1443"/>
      <c r="D16" s="1443"/>
      <c r="E16" s="126"/>
      <c r="F16" s="126"/>
      <c r="G16" s="433" t="str">
        <f t="shared" si="0"/>
        <v/>
      </c>
      <c r="H16" s="126"/>
      <c r="I16" s="126"/>
      <c r="J16" s="830"/>
    </row>
    <row r="17" spans="1:10" ht="17.149999999999999" customHeight="1">
      <c r="A17" s="1442" t="s">
        <v>1563</v>
      </c>
      <c r="B17" s="1443"/>
      <c r="C17" s="1443"/>
      <c r="D17" s="1443"/>
      <c r="E17" s="126"/>
      <c r="F17" s="126"/>
      <c r="G17" s="433" t="str">
        <f t="shared" si="0"/>
        <v/>
      </c>
      <c r="H17" s="126"/>
      <c r="I17" s="126"/>
      <c r="J17" s="830"/>
    </row>
    <row r="18" spans="1:10" ht="17.149999999999999" customHeight="1">
      <c r="A18" s="1442" t="s">
        <v>1564</v>
      </c>
      <c r="B18" s="1443"/>
      <c r="C18" s="1443"/>
      <c r="D18" s="1443"/>
      <c r="E18" s="126"/>
      <c r="F18" s="126"/>
      <c r="G18" s="433" t="str">
        <f t="shared" si="0"/>
        <v/>
      </c>
      <c r="H18" s="126"/>
      <c r="I18" s="126"/>
      <c r="J18" s="830"/>
    </row>
    <row r="19" spans="1:10" ht="16.5" customHeight="1">
      <c r="A19" s="1612" t="s">
        <v>584</v>
      </c>
      <c r="B19" s="1613"/>
      <c r="C19" s="1613"/>
      <c r="D19" s="1613"/>
      <c r="E19" s="108">
        <f>SUM(E9:E18)</f>
        <v>0</v>
      </c>
      <c r="F19" s="108">
        <f>SUM(F9:F18)</f>
        <v>0</v>
      </c>
      <c r="G19" s="434" t="str">
        <f>IF(F19,(E19-F19)/F19,IF(ISBLANK(F19),"",IF(E19,IF( E19 &gt; 0,1,-1),"")))</f>
        <v/>
      </c>
      <c r="H19" s="108">
        <f t="shared" ref="H19:J19" si="1">SUM(H9:H18)</f>
        <v>0</v>
      </c>
      <c r="I19" s="108">
        <f t="shared" si="1"/>
        <v>0</v>
      </c>
      <c r="J19" s="872">
        <f t="shared" si="1"/>
        <v>0</v>
      </c>
    </row>
    <row r="20" spans="1:10" ht="17.149999999999999" customHeight="1">
      <c r="A20" s="1442" t="s">
        <v>585</v>
      </c>
      <c r="B20" s="1443"/>
      <c r="C20" s="1443"/>
      <c r="D20" s="1443"/>
      <c r="E20" s="126"/>
      <c r="F20" s="126"/>
      <c r="G20" s="433" t="str">
        <f t="shared" si="0"/>
        <v/>
      </c>
      <c r="H20" s="583"/>
      <c r="I20" s="583"/>
      <c r="J20" s="877"/>
    </row>
    <row r="21" spans="1:10" ht="17.149999999999999" customHeight="1" thickBot="1">
      <c r="A21" s="1629" t="s">
        <v>626</v>
      </c>
      <c r="B21" s="1630"/>
      <c r="C21" s="1630"/>
      <c r="D21" s="1630"/>
      <c r="E21" s="868">
        <f>E19-E20</f>
        <v>0</v>
      </c>
      <c r="F21" s="868">
        <f>F19-F20</f>
        <v>0</v>
      </c>
      <c r="G21" s="874" t="str">
        <f t="shared" si="0"/>
        <v/>
      </c>
      <c r="H21" s="878"/>
      <c r="I21" s="878"/>
      <c r="J21" s="879"/>
    </row>
    <row r="22" spans="1:10" s="3" customFormat="1" ht="10.5">
      <c r="A22" s="581" t="s">
        <v>1792</v>
      </c>
    </row>
    <row r="23" spans="1:10" s="3" customFormat="1" ht="10.5">
      <c r="A23" s="637" t="s">
        <v>1674</v>
      </c>
    </row>
    <row r="24" spans="1:10" s="3" customFormat="1" ht="10.5">
      <c r="A24" s="637" t="s">
        <v>1687</v>
      </c>
    </row>
    <row r="25" spans="1:10" s="3" customFormat="1" ht="10.5">
      <c r="A25" s="637" t="s">
        <v>1688</v>
      </c>
    </row>
    <row r="26" spans="1:10" s="3" customFormat="1" ht="10.5">
      <c r="A26" s="637" t="s">
        <v>1686</v>
      </c>
    </row>
    <row r="27" spans="1:10" s="3" customFormat="1" ht="10.5">
      <c r="A27" s="637" t="s">
        <v>1689</v>
      </c>
    </row>
  </sheetData>
  <sheetProtection selectLockedCells="1"/>
  <mergeCells count="22">
    <mergeCell ref="A19:D19"/>
    <mergeCell ref="A20:D20"/>
    <mergeCell ref="A21:D21"/>
    <mergeCell ref="A18:D18"/>
    <mergeCell ref="A7:J7"/>
    <mergeCell ref="A8:D8"/>
    <mergeCell ref="A9:D9"/>
    <mergeCell ref="A10:D10"/>
    <mergeCell ref="A11:D11"/>
    <mergeCell ref="A1:J1"/>
    <mergeCell ref="I2:J2"/>
    <mergeCell ref="C3:J3"/>
    <mergeCell ref="B4:H4"/>
    <mergeCell ref="C5:E5"/>
    <mergeCell ref="G5:H5"/>
    <mergeCell ref="C6:E6"/>
    <mergeCell ref="A17:D17"/>
    <mergeCell ref="A12:D12"/>
    <mergeCell ref="A13:D13"/>
    <mergeCell ref="A14:D14"/>
    <mergeCell ref="A15:D15"/>
    <mergeCell ref="A16:D16"/>
  </mergeCells>
  <dataValidations count="1">
    <dataValidation type="whole" allowBlank="1" showInputMessage="1" showErrorMessage="1" errorTitle="Attention!" error="Valeur numérique attendue" sqref="E9:F18 H9:J18 E20:F20 H20:J20" xr:uid="{00000000-0002-0000-1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7">
    <pageSetUpPr fitToPage="1"/>
  </sheetPr>
  <dimension ref="A1:J29"/>
  <sheetViews>
    <sheetView showGridLines="0" workbookViewId="0">
      <selection activeCell="H15" sqref="H14:H15"/>
    </sheetView>
  </sheetViews>
  <sheetFormatPr baseColWidth="10" defaultColWidth="11.453125" defaultRowHeight="14.5"/>
  <cols>
    <col min="2" max="2" width="15.81640625" customWidth="1"/>
    <col min="5" max="5" width="14.453125" customWidth="1"/>
    <col min="6" max="6" width="15.81640625" customWidth="1"/>
    <col min="7" max="7" width="14.453125" customWidth="1"/>
    <col min="8" max="8" width="15.81640625" customWidth="1"/>
    <col min="9" max="9" width="14.453125" customWidth="1"/>
    <col min="10" max="10" width="15.81640625" customWidth="1"/>
  </cols>
  <sheetData>
    <row r="1" spans="1:10">
      <c r="A1" s="1134" t="s">
        <v>183</v>
      </c>
      <c r="B1" s="1134"/>
      <c r="C1" s="1134"/>
      <c r="D1" s="1134"/>
      <c r="E1" s="1134"/>
      <c r="F1" s="1134"/>
      <c r="G1" s="1134"/>
      <c r="H1" s="1134"/>
      <c r="I1" s="1134"/>
      <c r="J1" s="1134"/>
    </row>
    <row r="2" spans="1:10" ht="25" customHeight="1">
      <c r="A2" s="40"/>
      <c r="B2" s="40"/>
      <c r="C2" s="40"/>
      <c r="D2" s="40"/>
      <c r="E2" s="40"/>
      <c r="F2" s="40"/>
      <c r="G2" s="40"/>
      <c r="I2" s="1135" t="s">
        <v>1930</v>
      </c>
      <c r="J2" s="1137"/>
    </row>
    <row r="3" spans="1:10" s="132" customFormat="1" ht="15" customHeight="1">
      <c r="A3" s="7" t="s">
        <v>26</v>
      </c>
      <c r="B3" s="7"/>
      <c r="C3" s="1221">
        <f>'NOTE 1'!C3</f>
        <v>0</v>
      </c>
      <c r="D3" s="1221"/>
      <c r="E3" s="1221"/>
      <c r="F3" s="1221"/>
      <c r="G3" s="1221"/>
      <c r="H3" s="1221"/>
      <c r="I3" s="1221"/>
      <c r="J3" s="1221"/>
    </row>
    <row r="4" spans="1:10" s="132" customFormat="1" ht="15" customHeight="1">
      <c r="A4" s="7" t="s">
        <v>27</v>
      </c>
      <c r="B4" s="1221">
        <f>'NOTE 1'!B4</f>
        <v>0</v>
      </c>
      <c r="C4" s="1221"/>
      <c r="D4" s="1221"/>
      <c r="E4" s="1221"/>
      <c r="F4" s="1221"/>
      <c r="G4" s="1221"/>
      <c r="H4" s="1221"/>
      <c r="I4" s="61" t="s">
        <v>28</v>
      </c>
      <c r="J4" s="119">
        <f>'NOTE 1'!I4</f>
        <v>0</v>
      </c>
    </row>
    <row r="5" spans="1:10" s="132" customFormat="1" ht="15" customHeight="1">
      <c r="A5" s="7" t="s">
        <v>29</v>
      </c>
      <c r="B5" s="7"/>
      <c r="C5" s="1221">
        <f>'NOTE 1'!C5</f>
        <v>0</v>
      </c>
      <c r="D5" s="1221"/>
      <c r="E5" s="1221"/>
      <c r="F5" s="43" t="s">
        <v>30</v>
      </c>
      <c r="G5" s="1508">
        <f>'NOTE 1'!G5</f>
        <v>0</v>
      </c>
      <c r="H5" s="1508"/>
      <c r="I5" s="61" t="s">
        <v>31</v>
      </c>
      <c r="J5" s="44">
        <f>'NOTE 1'!I5</f>
        <v>0</v>
      </c>
    </row>
    <row r="6" spans="1:10" s="132" customFormat="1" ht="15" customHeight="1">
      <c r="A6" s="7" t="s">
        <v>1466</v>
      </c>
      <c r="B6" s="7"/>
      <c r="C6" s="1461">
        <f>'NOTE 1'!C6</f>
        <v>0</v>
      </c>
      <c r="D6" s="1461"/>
      <c r="E6" s="1461"/>
      <c r="F6" s="262"/>
      <c r="G6" s="44"/>
      <c r="H6" s="44"/>
      <c r="I6" s="263"/>
      <c r="J6" s="44"/>
    </row>
    <row r="7" spans="1:10" ht="35.15" customHeight="1">
      <c r="A7" s="1169" t="s">
        <v>1929</v>
      </c>
      <c r="B7" s="1169"/>
      <c r="C7" s="1169"/>
      <c r="D7" s="1169"/>
      <c r="E7" s="1169"/>
      <c r="F7" s="1169"/>
      <c r="G7" s="1169"/>
      <c r="H7" s="1169"/>
      <c r="I7" s="1169"/>
      <c r="J7" s="1169"/>
    </row>
    <row r="8" spans="1:10" ht="36" customHeight="1">
      <c r="A8" s="1569" t="s">
        <v>525</v>
      </c>
      <c r="B8" s="1569"/>
      <c r="C8" s="1569"/>
      <c r="D8" s="1569"/>
      <c r="E8" s="1569" t="s">
        <v>586</v>
      </c>
      <c r="F8" s="1569"/>
      <c r="G8" s="1569" t="s">
        <v>587</v>
      </c>
      <c r="H8" s="1569"/>
      <c r="I8" s="1569" t="s">
        <v>588</v>
      </c>
      <c r="J8" s="1569"/>
    </row>
    <row r="9" spans="1:10" ht="25.5" customHeight="1">
      <c r="A9" s="1453" t="s">
        <v>1565</v>
      </c>
      <c r="B9" s="1640"/>
      <c r="C9" s="1640"/>
      <c r="D9" s="1640"/>
      <c r="E9" s="1640"/>
      <c r="F9" s="1640"/>
      <c r="G9" s="1640"/>
      <c r="H9" s="1640"/>
      <c r="I9" s="1640"/>
      <c r="J9" s="1641"/>
    </row>
    <row r="10" spans="1:10" ht="15" customHeight="1">
      <c r="A10" s="1443" t="s">
        <v>589</v>
      </c>
      <c r="B10" s="1443"/>
      <c r="C10" s="1443"/>
      <c r="D10" s="1443"/>
      <c r="E10" s="1644"/>
      <c r="F10" s="1644"/>
      <c r="G10" s="1644"/>
      <c r="H10" s="1644"/>
      <c r="I10" s="1644"/>
      <c r="J10" s="1644"/>
    </row>
    <row r="11" spans="1:10" ht="15" customHeight="1">
      <c r="A11" s="1443" t="s">
        <v>590</v>
      </c>
      <c r="B11" s="1443"/>
      <c r="C11" s="1443"/>
      <c r="D11" s="1443"/>
      <c r="E11" s="1645"/>
      <c r="F11" s="1645"/>
      <c r="G11" s="1645"/>
      <c r="H11" s="1645"/>
      <c r="I11" s="1645"/>
      <c r="J11" s="1645"/>
    </row>
    <row r="12" spans="1:10" ht="19" customHeight="1">
      <c r="A12" s="1643" t="s">
        <v>1566</v>
      </c>
      <c r="B12" s="1643"/>
      <c r="C12" s="1643"/>
      <c r="D12" s="1643"/>
      <c r="E12" s="299" t="s">
        <v>592</v>
      </c>
      <c r="F12" s="299" t="s">
        <v>593</v>
      </c>
      <c r="G12" s="299" t="s">
        <v>592</v>
      </c>
      <c r="H12" s="299" t="s">
        <v>593</v>
      </c>
      <c r="I12" s="299" t="s">
        <v>592</v>
      </c>
      <c r="J12" s="299" t="s">
        <v>593</v>
      </c>
    </row>
    <row r="13" spans="1:10" ht="16" customHeight="1">
      <c r="A13" s="1643"/>
      <c r="B13" s="1643"/>
      <c r="C13" s="1643"/>
      <c r="D13" s="1643"/>
      <c r="E13" s="590" t="s">
        <v>594</v>
      </c>
      <c r="F13" s="126"/>
      <c r="G13" s="590" t="s">
        <v>594</v>
      </c>
      <c r="H13" s="126"/>
      <c r="I13" s="590">
        <v>6714</v>
      </c>
      <c r="J13" s="126"/>
    </row>
    <row r="14" spans="1:10" ht="16" customHeight="1">
      <c r="A14" s="1643"/>
      <c r="B14" s="1643"/>
      <c r="C14" s="1643"/>
      <c r="D14" s="1643"/>
      <c r="E14" s="590" t="s">
        <v>595</v>
      </c>
      <c r="F14" s="126"/>
      <c r="G14" s="590" t="s">
        <v>595</v>
      </c>
      <c r="H14" s="126"/>
      <c r="I14" s="568"/>
      <c r="J14" s="568"/>
    </row>
    <row r="15" spans="1:10" ht="16" customHeight="1">
      <c r="A15" s="1643"/>
      <c r="B15" s="1643"/>
      <c r="C15" s="1643"/>
      <c r="D15" s="1643"/>
      <c r="E15" s="590" t="s">
        <v>596</v>
      </c>
      <c r="F15" s="126"/>
      <c r="G15" s="590" t="s">
        <v>596</v>
      </c>
      <c r="H15" s="126"/>
      <c r="I15" s="568"/>
      <c r="J15" s="568"/>
    </row>
    <row r="16" spans="1:10" ht="16" customHeight="1">
      <c r="A16" s="1643"/>
      <c r="B16" s="1643"/>
      <c r="C16" s="1643"/>
      <c r="D16" s="1643"/>
      <c r="E16" s="590" t="s">
        <v>597</v>
      </c>
      <c r="F16" s="126"/>
      <c r="G16" s="590" t="s">
        <v>597</v>
      </c>
      <c r="H16" s="126"/>
      <c r="I16" s="568"/>
      <c r="J16" s="568"/>
    </row>
    <row r="17" spans="1:10" ht="16" customHeight="1">
      <c r="A17" s="1643"/>
      <c r="B17" s="1643"/>
      <c r="C17" s="1643"/>
      <c r="D17" s="1643"/>
      <c r="E17" s="590"/>
      <c r="F17" s="126"/>
      <c r="G17" s="590"/>
      <c r="H17" s="126"/>
      <c r="I17" s="568"/>
      <c r="J17" s="568"/>
    </row>
    <row r="18" spans="1:10" ht="16" customHeight="1">
      <c r="A18" s="1643"/>
      <c r="B18" s="1643"/>
      <c r="C18" s="1643"/>
      <c r="D18" s="1643"/>
      <c r="E18" s="590"/>
      <c r="F18" s="126"/>
      <c r="G18" s="590"/>
      <c r="H18" s="126"/>
      <c r="I18" s="568"/>
      <c r="J18" s="568"/>
    </row>
    <row r="19" spans="1:10" ht="16" customHeight="1">
      <c r="A19" s="1643"/>
      <c r="B19" s="1643"/>
      <c r="C19" s="1643"/>
      <c r="D19" s="1643"/>
      <c r="E19" s="590"/>
      <c r="F19" s="126"/>
      <c r="G19" s="590"/>
      <c r="H19" s="126"/>
      <c r="I19" s="568"/>
      <c r="J19" s="568"/>
    </row>
    <row r="20" spans="1:10" ht="16" customHeight="1">
      <c r="A20" s="1643"/>
      <c r="B20" s="1643"/>
      <c r="C20" s="1643"/>
      <c r="D20" s="1643"/>
      <c r="E20" s="590"/>
      <c r="F20" s="126"/>
      <c r="G20" s="590"/>
      <c r="H20" s="126"/>
      <c r="I20" s="568"/>
      <c r="J20" s="568"/>
    </row>
    <row r="21" spans="1:10" ht="16" customHeight="1">
      <c r="A21" s="1643"/>
      <c r="B21" s="1643"/>
      <c r="C21" s="1643"/>
      <c r="D21" s="1643"/>
      <c r="E21" s="590"/>
      <c r="F21" s="126"/>
      <c r="G21" s="590"/>
      <c r="H21" s="126"/>
      <c r="I21" s="568"/>
      <c r="J21" s="568"/>
    </row>
    <row r="22" spans="1:10" ht="16" customHeight="1">
      <c r="A22" s="1643"/>
      <c r="B22" s="1643"/>
      <c r="C22" s="1643"/>
      <c r="D22" s="1643"/>
      <c r="E22" s="590" t="s">
        <v>598</v>
      </c>
      <c r="F22" s="126"/>
      <c r="G22" s="590" t="s">
        <v>598</v>
      </c>
      <c r="H22" s="126"/>
      <c r="I22" s="568"/>
      <c r="J22" s="568"/>
    </row>
    <row r="23" spans="1:10" ht="16" customHeight="1">
      <c r="A23" s="1642" t="s">
        <v>1521</v>
      </c>
      <c r="B23" s="1642"/>
      <c r="C23" s="1642"/>
      <c r="D23" s="1642"/>
      <c r="E23" s="568"/>
      <c r="F23" s="140"/>
      <c r="G23" s="568"/>
      <c r="H23" s="140"/>
      <c r="I23" s="568"/>
      <c r="J23" s="126"/>
    </row>
    <row r="24" spans="1:10" ht="16" customHeight="1">
      <c r="A24" s="1642" t="s">
        <v>1522</v>
      </c>
      <c r="B24" s="1642"/>
      <c r="C24" s="1642"/>
      <c r="D24" s="1642"/>
      <c r="E24" s="568"/>
      <c r="F24" s="140"/>
      <c r="G24" s="568"/>
      <c r="H24" s="140"/>
      <c r="I24" s="568"/>
      <c r="J24" s="126"/>
    </row>
    <row r="25" spans="1:10" ht="16" customHeight="1">
      <c r="A25" s="1642" t="s">
        <v>1523</v>
      </c>
      <c r="B25" s="1642"/>
      <c r="C25" s="1642"/>
      <c r="D25" s="1642"/>
      <c r="E25" s="568"/>
      <c r="F25" s="140"/>
      <c r="G25" s="568"/>
      <c r="H25" s="140"/>
      <c r="I25" s="568"/>
      <c r="J25" s="126"/>
    </row>
    <row r="26" spans="1:10" ht="16" customHeight="1">
      <c r="A26" s="1642" t="s">
        <v>1524</v>
      </c>
      <c r="B26" s="1642"/>
      <c r="C26" s="1642"/>
      <c r="D26" s="1642"/>
      <c r="E26" s="568"/>
      <c r="F26" s="140"/>
      <c r="G26" s="568"/>
      <c r="H26" s="140"/>
      <c r="I26" s="568"/>
      <c r="J26" s="126"/>
    </row>
    <row r="27" spans="1:10" ht="16" customHeight="1">
      <c r="A27" s="1642" t="s">
        <v>1525</v>
      </c>
      <c r="B27" s="1642"/>
      <c r="C27" s="1642"/>
      <c r="D27" s="1642"/>
      <c r="E27" s="568"/>
      <c r="F27" s="140"/>
      <c r="G27" s="568"/>
      <c r="H27" s="140"/>
      <c r="I27" s="568"/>
      <c r="J27" s="126"/>
    </row>
    <row r="28" spans="1:10" ht="16" customHeight="1">
      <c r="A28" s="1459" t="s">
        <v>303</v>
      </c>
      <c r="B28" s="1459"/>
      <c r="C28" s="1459"/>
      <c r="D28" s="1459"/>
      <c r="E28" s="614"/>
      <c r="F28" s="356">
        <f>SUM(F23:F27)</f>
        <v>0</v>
      </c>
      <c r="G28" s="568"/>
      <c r="H28" s="356">
        <f>SUM(H23:H27)</f>
        <v>0</v>
      </c>
      <c r="I28" s="568"/>
      <c r="J28" s="356">
        <f>SUM(J23:J27)</f>
        <v>0</v>
      </c>
    </row>
    <row r="29" spans="1:10">
      <c r="F29" s="615"/>
    </row>
  </sheetData>
  <sheetProtection sheet="1" objects="1" scenarios="1" selectLockedCells="1"/>
  <mergeCells count="28">
    <mergeCell ref="A1:J1"/>
    <mergeCell ref="I2:J2"/>
    <mergeCell ref="C3:J3"/>
    <mergeCell ref="B4:H4"/>
    <mergeCell ref="C5:E5"/>
    <mergeCell ref="G5:H5"/>
    <mergeCell ref="A27:D27"/>
    <mergeCell ref="A28:D28"/>
    <mergeCell ref="A23:D23"/>
    <mergeCell ref="A7:J7"/>
    <mergeCell ref="A8:D8"/>
    <mergeCell ref="E8:F8"/>
    <mergeCell ref="G8:H8"/>
    <mergeCell ref="I8:J8"/>
    <mergeCell ref="A10:D10"/>
    <mergeCell ref="E10:F10"/>
    <mergeCell ref="G10:H10"/>
    <mergeCell ref="I10:J10"/>
    <mergeCell ref="A11:D11"/>
    <mergeCell ref="E11:F11"/>
    <mergeCell ref="G11:H11"/>
    <mergeCell ref="I11:J11"/>
    <mergeCell ref="C6:E6"/>
    <mergeCell ref="A9:J9"/>
    <mergeCell ref="A24:D24"/>
    <mergeCell ref="A25:D25"/>
    <mergeCell ref="A26:D26"/>
    <mergeCell ref="A12:D22"/>
  </mergeCells>
  <dataValidations count="1">
    <dataValidation type="whole" allowBlank="1" showInputMessage="1" showErrorMessage="1" errorTitle="Attention!" error="Valeur numérique attendue" sqref="E10:J10 F13:F27 H13:H27 J23:J27 J13" xr:uid="{00000000-0002-0000-1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8"/>
  <dimension ref="A1:I19"/>
  <sheetViews>
    <sheetView showGridLines="0" topLeftCell="A3" workbookViewId="0">
      <selection activeCell="H18" sqref="H18:I18"/>
    </sheetView>
  </sheetViews>
  <sheetFormatPr baseColWidth="10" defaultColWidth="11.453125" defaultRowHeight="14.5"/>
  <cols>
    <col min="2" max="2" width="16.81640625" customWidth="1"/>
    <col min="4" max="4" width="4.54296875" customWidth="1"/>
    <col min="5" max="5" width="14.1796875" customWidth="1"/>
    <col min="6" max="6" width="7.453125" customWidth="1"/>
    <col min="7" max="7" width="7" customWidth="1"/>
    <col min="8" max="8" width="15.54296875" customWidth="1"/>
    <col min="9" max="9" width="13.45312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1931</v>
      </c>
      <c r="I2" s="1137"/>
    </row>
    <row r="3" spans="1:9" s="127" customFormat="1" ht="15" customHeight="1">
      <c r="A3" s="7" t="s">
        <v>26</v>
      </c>
      <c r="B3" s="7"/>
      <c r="C3" s="1158">
        <f>'NOTE 1'!C3</f>
        <v>0</v>
      </c>
      <c r="D3" s="1158"/>
      <c r="E3" s="1158"/>
      <c r="F3" s="1158"/>
      <c r="G3" s="1158"/>
      <c r="H3" s="1158"/>
      <c r="I3" s="305"/>
    </row>
    <row r="4" spans="1:9" s="127" customFormat="1" ht="15" customHeight="1">
      <c r="A4" s="7" t="s">
        <v>27</v>
      </c>
      <c r="B4" s="1221">
        <f>'NOTE 1'!B4</f>
        <v>0</v>
      </c>
      <c r="C4" s="1221"/>
      <c r="D4" s="1221"/>
      <c r="E4" s="1221"/>
      <c r="F4" s="1221"/>
      <c r="G4" s="1221"/>
      <c r="H4" s="61" t="s">
        <v>28</v>
      </c>
      <c r="I4" s="44">
        <f>'NOTE 1'!I4</f>
        <v>0</v>
      </c>
    </row>
    <row r="5" spans="1:9" s="127" customFormat="1" ht="15" customHeight="1">
      <c r="A5" s="7" t="s">
        <v>29</v>
      </c>
      <c r="B5" s="7"/>
      <c r="C5" s="1223">
        <f>'NOTE 1'!C5</f>
        <v>0</v>
      </c>
      <c r="D5" s="1223"/>
      <c r="E5" s="43" t="s">
        <v>30</v>
      </c>
      <c r="F5" s="1214">
        <f>'NOTE 1'!G5</f>
        <v>0</v>
      </c>
      <c r="G5" s="1214"/>
      <c r="H5" s="61" t="s">
        <v>31</v>
      </c>
      <c r="I5" s="111">
        <f>'NOTE 1'!I5</f>
        <v>0</v>
      </c>
    </row>
    <row r="6" spans="1:9" s="127" customFormat="1" ht="15" customHeight="1">
      <c r="A6" s="268" t="s">
        <v>1466</v>
      </c>
      <c r="B6" s="7"/>
      <c r="C6" s="1461">
        <f>'NOTE 1'!C6</f>
        <v>0</v>
      </c>
      <c r="D6" s="1461"/>
      <c r="E6" s="262"/>
      <c r="F6" s="44"/>
      <c r="G6" s="44"/>
      <c r="H6" s="263"/>
      <c r="I6" s="44"/>
    </row>
    <row r="7" spans="1:9" ht="35.15" customHeight="1">
      <c r="A7" s="1646" t="s">
        <v>1932</v>
      </c>
      <c r="B7" s="1646"/>
      <c r="C7" s="1646"/>
      <c r="D7" s="1646"/>
      <c r="E7" s="1646"/>
      <c r="F7" s="1646"/>
      <c r="G7" s="1646"/>
      <c r="H7" s="1646"/>
      <c r="I7" s="1646"/>
    </row>
    <row r="8" spans="1:9" ht="36" customHeight="1">
      <c r="A8" s="1569" t="s">
        <v>311</v>
      </c>
      <c r="B8" s="1569"/>
      <c r="C8" s="1569"/>
      <c r="D8" s="1569"/>
      <c r="E8" s="1574" t="s">
        <v>1519</v>
      </c>
      <c r="F8" s="1647"/>
      <c r="G8" s="1647"/>
      <c r="H8" s="1647"/>
      <c r="I8" s="1575"/>
    </row>
    <row r="9" spans="1:9" ht="35.25" customHeight="1">
      <c r="A9" s="1648" t="s">
        <v>1645</v>
      </c>
      <c r="B9" s="1649"/>
      <c r="C9" s="1649"/>
      <c r="D9" s="1649"/>
      <c r="E9" s="1649"/>
      <c r="F9" s="1649"/>
      <c r="G9" s="1649"/>
      <c r="H9" s="1649"/>
      <c r="I9" s="1650"/>
    </row>
    <row r="10" spans="1:9" ht="18" customHeight="1">
      <c r="A10" s="1443" t="s">
        <v>589</v>
      </c>
      <c r="B10" s="1443"/>
      <c r="C10" s="1443"/>
      <c r="D10" s="1443"/>
      <c r="E10" s="1651"/>
      <c r="F10" s="1652"/>
      <c r="G10" s="1652"/>
      <c r="H10" s="1652"/>
      <c r="I10" s="1653"/>
    </row>
    <row r="11" spans="1:9" ht="18" customHeight="1">
      <c r="A11" s="1443" t="s">
        <v>590</v>
      </c>
      <c r="B11" s="1443"/>
      <c r="C11" s="1443"/>
      <c r="D11" s="1443"/>
      <c r="E11" s="1654"/>
      <c r="F11" s="1655"/>
      <c r="G11" s="1655"/>
      <c r="H11" s="1655"/>
      <c r="I11" s="1656"/>
    </row>
    <row r="12" spans="1:9" ht="19" customHeight="1">
      <c r="A12" s="616"/>
      <c r="B12" s="617"/>
      <c r="C12" s="617"/>
      <c r="D12" s="618"/>
      <c r="E12" s="1574" t="s">
        <v>592</v>
      </c>
      <c r="F12" s="1647"/>
      <c r="G12" s="1575"/>
      <c r="H12" s="1647" t="s">
        <v>593</v>
      </c>
      <c r="I12" s="1575"/>
    </row>
    <row r="13" spans="1:9" ht="30" customHeight="1">
      <c r="A13" s="619"/>
      <c r="B13" s="620"/>
      <c r="C13" s="620"/>
      <c r="D13" s="621"/>
      <c r="E13" s="1657" t="s">
        <v>1520</v>
      </c>
      <c r="F13" s="1658"/>
      <c r="G13" s="1659"/>
      <c r="H13" s="1660"/>
      <c r="I13" s="1661"/>
    </row>
    <row r="14" spans="1:9" ht="17.899999999999999" customHeight="1">
      <c r="A14" s="1642" t="s">
        <v>1521</v>
      </c>
      <c r="B14" s="1642"/>
      <c r="C14" s="1642"/>
      <c r="D14" s="1642"/>
      <c r="E14" s="1662"/>
      <c r="F14" s="1663"/>
      <c r="G14" s="1664"/>
      <c r="H14" s="1660"/>
      <c r="I14" s="1661"/>
    </row>
    <row r="15" spans="1:9" ht="17.899999999999999" customHeight="1">
      <c r="A15" s="1642" t="s">
        <v>1522</v>
      </c>
      <c r="B15" s="1642"/>
      <c r="C15" s="1642"/>
      <c r="D15" s="1642"/>
      <c r="E15" s="1662"/>
      <c r="F15" s="1663"/>
      <c r="G15" s="1664"/>
      <c r="H15" s="1660"/>
      <c r="I15" s="1661"/>
    </row>
    <row r="16" spans="1:9" ht="17.899999999999999" customHeight="1">
      <c r="A16" s="1642" t="s">
        <v>1523</v>
      </c>
      <c r="B16" s="1642"/>
      <c r="C16" s="1642"/>
      <c r="D16" s="1642"/>
      <c r="E16" s="1662"/>
      <c r="F16" s="1663"/>
      <c r="G16" s="1664"/>
      <c r="H16" s="1660"/>
      <c r="I16" s="1661"/>
    </row>
    <row r="17" spans="1:9" ht="17.899999999999999" customHeight="1">
      <c r="A17" s="1642" t="s">
        <v>1524</v>
      </c>
      <c r="B17" s="1642"/>
      <c r="C17" s="1642"/>
      <c r="D17" s="1642"/>
      <c r="E17" s="1662"/>
      <c r="F17" s="1663"/>
      <c r="G17" s="1664"/>
      <c r="H17" s="1660"/>
      <c r="I17" s="1661"/>
    </row>
    <row r="18" spans="1:9" ht="17.899999999999999" customHeight="1">
      <c r="A18" s="1642" t="s">
        <v>1525</v>
      </c>
      <c r="B18" s="1642"/>
      <c r="C18" s="1642"/>
      <c r="D18" s="1642"/>
      <c r="E18" s="1662"/>
      <c r="F18" s="1663"/>
      <c r="G18" s="1664"/>
      <c r="H18" s="1660"/>
      <c r="I18" s="1661"/>
    </row>
    <row r="19" spans="1:9" ht="17.899999999999999" customHeight="1">
      <c r="A19" s="1459" t="s">
        <v>303</v>
      </c>
      <c r="B19" s="1459"/>
      <c r="C19" s="1459"/>
      <c r="D19" s="1459"/>
      <c r="E19" s="1662"/>
      <c r="F19" s="1663"/>
      <c r="G19" s="1664"/>
      <c r="H19" s="1665">
        <f>SUM(H14:I18)</f>
        <v>0</v>
      </c>
      <c r="I19" s="1666"/>
    </row>
  </sheetData>
  <sheetProtection sheet="1" objects="1" scenarios="1" selectLockedCells="1"/>
  <mergeCells count="37">
    <mergeCell ref="A18:D18"/>
    <mergeCell ref="E18:G18"/>
    <mergeCell ref="H18:I18"/>
    <mergeCell ref="A19:D19"/>
    <mergeCell ref="E19:G19"/>
    <mergeCell ref="H19:I19"/>
    <mergeCell ref="A16:D16"/>
    <mergeCell ref="E16:G16"/>
    <mergeCell ref="H16:I16"/>
    <mergeCell ref="A17:D17"/>
    <mergeCell ref="E17:G17"/>
    <mergeCell ref="H17:I17"/>
    <mergeCell ref="A14:D14"/>
    <mergeCell ref="E14:G14"/>
    <mergeCell ref="H14:I14"/>
    <mergeCell ref="A15:D15"/>
    <mergeCell ref="E15:G15"/>
    <mergeCell ref="H15:I15"/>
    <mergeCell ref="A11:D11"/>
    <mergeCell ref="E11:I11"/>
    <mergeCell ref="E12:G12"/>
    <mergeCell ref="H12:I12"/>
    <mergeCell ref="E13:G13"/>
    <mergeCell ref="H13:I13"/>
    <mergeCell ref="A8:D8"/>
    <mergeCell ref="E8:I8"/>
    <mergeCell ref="A9:I9"/>
    <mergeCell ref="A10:D10"/>
    <mergeCell ref="E10:I10"/>
    <mergeCell ref="C6:D6"/>
    <mergeCell ref="A7:I7"/>
    <mergeCell ref="A1:I1"/>
    <mergeCell ref="C3:H3"/>
    <mergeCell ref="B4:G4"/>
    <mergeCell ref="C5:D5"/>
    <mergeCell ref="F5:G5"/>
    <mergeCell ref="H2:I2"/>
  </mergeCells>
  <dataValidations count="1">
    <dataValidation type="whole" allowBlank="1" showInputMessage="1" showErrorMessage="1" errorTitle="Attention!" error="Valeur numérique attendue" sqref="E10:I10 H13:I18" xr:uid="{00000000-0002-0000-1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9">
    <pageSetUpPr fitToPage="1"/>
  </sheetPr>
  <dimension ref="A1:I19"/>
  <sheetViews>
    <sheetView showGridLines="0" topLeftCell="A7" workbookViewId="0">
      <selection activeCell="H14" sqref="H14:I14"/>
    </sheetView>
  </sheetViews>
  <sheetFormatPr baseColWidth="10" defaultColWidth="11.453125" defaultRowHeight="14.5"/>
  <cols>
    <col min="2" max="2" width="16.453125" customWidth="1"/>
    <col min="4" max="4" width="5.81640625" customWidth="1"/>
    <col min="5" max="5" width="13.81640625" customWidth="1"/>
    <col min="7" max="7" width="5" customWidth="1"/>
    <col min="8" max="8" width="15.5429687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1933</v>
      </c>
      <c r="I2" s="1137"/>
    </row>
    <row r="3" spans="1:9" s="127" customFormat="1" ht="15" customHeight="1">
      <c r="A3" s="7" t="s">
        <v>26</v>
      </c>
      <c r="B3" s="7"/>
      <c r="C3" s="1158">
        <f>'NOTE 1'!C3</f>
        <v>0</v>
      </c>
      <c r="D3" s="1158"/>
      <c r="E3" s="1158"/>
      <c r="F3" s="1158"/>
      <c r="G3" s="1158"/>
      <c r="H3" s="1158"/>
      <c r="I3" s="1158"/>
    </row>
    <row r="4" spans="1:9" s="127" customFormat="1" ht="15" customHeight="1">
      <c r="A4" s="7" t="s">
        <v>27</v>
      </c>
      <c r="B4" s="1221">
        <f>'NOTE 1'!B4</f>
        <v>0</v>
      </c>
      <c r="C4" s="1221"/>
      <c r="D4" s="1221"/>
      <c r="E4" s="1221"/>
      <c r="F4" s="1221"/>
      <c r="G4" s="1221"/>
      <c r="H4" s="61" t="s">
        <v>28</v>
      </c>
      <c r="I4" s="44">
        <f>'NOTE 1'!I4</f>
        <v>0</v>
      </c>
    </row>
    <row r="5" spans="1:9" s="127" customFormat="1" ht="15" customHeight="1">
      <c r="A5" s="7" t="s">
        <v>29</v>
      </c>
      <c r="B5" s="7"/>
      <c r="C5" s="1223">
        <f>'NOTE 1'!C5</f>
        <v>0</v>
      </c>
      <c r="D5" s="1223"/>
      <c r="E5" s="43" t="s">
        <v>30</v>
      </c>
      <c r="F5" s="1214">
        <f>'NOTE 1'!G5</f>
        <v>0</v>
      </c>
      <c r="G5" s="1214"/>
      <c r="H5" s="61" t="s">
        <v>31</v>
      </c>
      <c r="I5" s="111">
        <f>'NOTE 1'!I5</f>
        <v>0</v>
      </c>
    </row>
    <row r="6" spans="1:9" s="127" customFormat="1" ht="15" customHeight="1">
      <c r="A6" s="268" t="s">
        <v>1466</v>
      </c>
      <c r="B6" s="7"/>
      <c r="C6" s="1461">
        <f>'NOTE 1'!C6</f>
        <v>0</v>
      </c>
      <c r="D6" s="1461"/>
      <c r="E6" s="262"/>
      <c r="F6" s="44"/>
      <c r="G6" s="44"/>
      <c r="H6" s="263"/>
      <c r="I6" s="44"/>
    </row>
    <row r="7" spans="1:9" ht="33.75" customHeight="1">
      <c r="A7" s="1646" t="s">
        <v>1934</v>
      </c>
      <c r="B7" s="1646"/>
      <c r="C7" s="1646"/>
      <c r="D7" s="1646"/>
      <c r="E7" s="1646"/>
      <c r="F7" s="1646"/>
      <c r="G7" s="1646"/>
      <c r="H7" s="1646"/>
      <c r="I7" s="1646"/>
    </row>
    <row r="8" spans="1:9" ht="36" customHeight="1">
      <c r="A8" s="1569" t="s">
        <v>525</v>
      </c>
      <c r="B8" s="1569"/>
      <c r="C8" s="1569"/>
      <c r="D8" s="1569"/>
      <c r="E8" s="1574" t="s">
        <v>1526</v>
      </c>
      <c r="F8" s="1647"/>
      <c r="G8" s="1647"/>
      <c r="H8" s="1647"/>
      <c r="I8" s="1575"/>
    </row>
    <row r="9" spans="1:9" ht="33" customHeight="1">
      <c r="A9" s="1648" t="s">
        <v>1645</v>
      </c>
      <c r="B9" s="1649"/>
      <c r="C9" s="1649"/>
      <c r="D9" s="1649"/>
      <c r="E9" s="1649"/>
      <c r="F9" s="1649"/>
      <c r="G9" s="1649"/>
      <c r="H9" s="1649"/>
      <c r="I9" s="1650"/>
    </row>
    <row r="10" spans="1:9" ht="18" customHeight="1">
      <c r="A10" s="1443" t="s">
        <v>589</v>
      </c>
      <c r="B10" s="1443"/>
      <c r="C10" s="1443"/>
      <c r="D10" s="1443"/>
      <c r="E10" s="1651"/>
      <c r="F10" s="1652"/>
      <c r="G10" s="1652"/>
      <c r="H10" s="1652"/>
      <c r="I10" s="1653"/>
    </row>
    <row r="11" spans="1:9" ht="18" customHeight="1">
      <c r="A11" s="1443" t="s">
        <v>590</v>
      </c>
      <c r="B11" s="1443"/>
      <c r="C11" s="1443"/>
      <c r="D11" s="1443"/>
      <c r="E11" s="1667"/>
      <c r="F11" s="1668"/>
      <c r="G11" s="1668"/>
      <c r="H11" s="1668"/>
      <c r="I11" s="1669"/>
    </row>
    <row r="12" spans="1:9">
      <c r="A12" s="622"/>
      <c r="B12" s="623"/>
      <c r="C12" s="623"/>
      <c r="D12" s="624"/>
      <c r="E12" s="1574" t="s">
        <v>592</v>
      </c>
      <c r="F12" s="1647"/>
      <c r="G12" s="1575"/>
      <c r="H12" s="1647" t="s">
        <v>593</v>
      </c>
      <c r="I12" s="1575"/>
    </row>
    <row r="13" spans="1:9" ht="30" customHeight="1">
      <c r="A13" s="625"/>
      <c r="B13" s="626"/>
      <c r="C13" s="626"/>
      <c r="D13" s="627"/>
      <c r="E13" s="1657" t="s">
        <v>1527</v>
      </c>
      <c r="F13" s="1658"/>
      <c r="G13" s="1659"/>
      <c r="H13" s="1670"/>
      <c r="I13" s="1671"/>
    </row>
    <row r="14" spans="1:9" ht="18" customHeight="1">
      <c r="A14" s="1642" t="s">
        <v>1521</v>
      </c>
      <c r="B14" s="1642"/>
      <c r="C14" s="1642"/>
      <c r="D14" s="1642"/>
      <c r="E14" s="1672"/>
      <c r="F14" s="1673"/>
      <c r="G14" s="1674"/>
      <c r="H14" s="1549"/>
      <c r="I14" s="1548"/>
    </row>
    <row r="15" spans="1:9" ht="18" customHeight="1">
      <c r="A15" s="1642" t="s">
        <v>1522</v>
      </c>
      <c r="B15" s="1642"/>
      <c r="C15" s="1642"/>
      <c r="D15" s="1642"/>
      <c r="E15" s="1672"/>
      <c r="F15" s="1673"/>
      <c r="G15" s="1674"/>
      <c r="H15" s="1549"/>
      <c r="I15" s="1548"/>
    </row>
    <row r="16" spans="1:9" ht="18" customHeight="1">
      <c r="A16" s="1642" t="s">
        <v>1523</v>
      </c>
      <c r="B16" s="1642"/>
      <c r="C16" s="1642"/>
      <c r="D16" s="1642"/>
      <c r="E16" s="1672"/>
      <c r="F16" s="1673"/>
      <c r="G16" s="1674"/>
      <c r="H16" s="1549"/>
      <c r="I16" s="1548"/>
    </row>
    <row r="17" spans="1:9" ht="18" customHeight="1">
      <c r="A17" s="1642" t="s">
        <v>1524</v>
      </c>
      <c r="B17" s="1642"/>
      <c r="C17" s="1642"/>
      <c r="D17" s="1642"/>
      <c r="E17" s="1672"/>
      <c r="F17" s="1673"/>
      <c r="G17" s="1674"/>
      <c r="H17" s="1549"/>
      <c r="I17" s="1548"/>
    </row>
    <row r="18" spans="1:9" ht="18" customHeight="1">
      <c r="A18" s="1642" t="s">
        <v>1525</v>
      </c>
      <c r="B18" s="1642"/>
      <c r="C18" s="1642"/>
      <c r="D18" s="1642"/>
      <c r="E18" s="1672"/>
      <c r="F18" s="1673"/>
      <c r="G18" s="1674"/>
      <c r="H18" s="1549"/>
      <c r="I18" s="1548"/>
    </row>
    <row r="19" spans="1:9" ht="18" customHeight="1">
      <c r="A19" s="1675" t="s">
        <v>303</v>
      </c>
      <c r="B19" s="1675"/>
      <c r="C19" s="1675"/>
      <c r="D19" s="1675"/>
      <c r="E19" s="1672"/>
      <c r="F19" s="1673"/>
      <c r="G19" s="1674"/>
      <c r="H19" s="1676">
        <f>SUM(H14:I18)</f>
        <v>0</v>
      </c>
      <c r="I19" s="1677"/>
    </row>
  </sheetData>
  <sheetProtection sheet="1" objects="1" scenarios="1" selectLockedCells="1"/>
  <mergeCells count="37">
    <mergeCell ref="A19:D19"/>
    <mergeCell ref="E19:G19"/>
    <mergeCell ref="H19:I19"/>
    <mergeCell ref="A17:D17"/>
    <mergeCell ref="E17:G17"/>
    <mergeCell ref="H17:I17"/>
    <mergeCell ref="A18:D18"/>
    <mergeCell ref="E18:G18"/>
    <mergeCell ref="H18:I18"/>
    <mergeCell ref="A15:D15"/>
    <mergeCell ref="E15:G15"/>
    <mergeCell ref="H15:I15"/>
    <mergeCell ref="A16:D16"/>
    <mergeCell ref="E16:G16"/>
    <mergeCell ref="H16:I16"/>
    <mergeCell ref="E12:G12"/>
    <mergeCell ref="H12:I12"/>
    <mergeCell ref="H13:I13"/>
    <mergeCell ref="A14:D14"/>
    <mergeCell ref="E14:G14"/>
    <mergeCell ref="H14:I14"/>
    <mergeCell ref="C6:D6"/>
    <mergeCell ref="E13:G13"/>
    <mergeCell ref="A1:I1"/>
    <mergeCell ref="H2:I2"/>
    <mergeCell ref="B4:G4"/>
    <mergeCell ref="C5:D5"/>
    <mergeCell ref="F5:G5"/>
    <mergeCell ref="C3:I3"/>
    <mergeCell ref="A8:D8"/>
    <mergeCell ref="E8:I8"/>
    <mergeCell ref="A9:I9"/>
    <mergeCell ref="A10:D10"/>
    <mergeCell ref="E10:I10"/>
    <mergeCell ref="A7:I7"/>
    <mergeCell ref="A11:D11"/>
    <mergeCell ref="E11:I11"/>
  </mergeCells>
  <dataValidations count="1">
    <dataValidation type="whole" allowBlank="1" showInputMessage="1" showErrorMessage="1" errorTitle="Attention!" error="Valeur numérique attendue" sqref="E10:I10 H13:I18" xr:uid="{00000000-0002-0000-1B00-000000000000}">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scale="9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30">
    <pageSetUpPr fitToPage="1"/>
  </sheetPr>
  <dimension ref="A1:I23"/>
  <sheetViews>
    <sheetView showGridLines="0" workbookViewId="0">
      <selection activeCell="A8" sqref="A8:I18"/>
    </sheetView>
  </sheetViews>
  <sheetFormatPr baseColWidth="10" defaultRowHeight="14.5"/>
  <cols>
    <col min="2" max="2" width="16.54296875" customWidth="1"/>
    <col min="4" max="4" width="6.54296875" customWidth="1"/>
    <col min="5" max="5" width="13.54296875" customWidth="1"/>
    <col min="6" max="6" width="7.81640625" customWidth="1"/>
    <col min="7" max="7" width="6.81640625" customWidth="1"/>
    <col min="8" max="8" width="14.81640625" customWidth="1"/>
    <col min="9" max="9" width="14.45312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1646</v>
      </c>
      <c r="I2" s="1460"/>
    </row>
    <row r="3" spans="1:9" s="132" customFormat="1" ht="15" customHeight="1">
      <c r="A3" s="7" t="s">
        <v>26</v>
      </c>
      <c r="B3" s="7"/>
      <c r="C3" s="1221">
        <f>'NOTE 1'!C3</f>
        <v>0</v>
      </c>
      <c r="D3" s="1221"/>
      <c r="E3" s="1221"/>
      <c r="F3" s="1221"/>
      <c r="G3" s="1221"/>
      <c r="H3" s="1221"/>
      <c r="I3" s="1221"/>
    </row>
    <row r="4" spans="1:9" s="132" customFormat="1" ht="15" customHeight="1">
      <c r="A4" s="7" t="s">
        <v>27</v>
      </c>
      <c r="B4" s="1221">
        <f>'NOTE 1'!B4</f>
        <v>0</v>
      </c>
      <c r="C4" s="1223"/>
      <c r="D4" s="1223"/>
      <c r="E4" s="1223"/>
      <c r="F4" s="1223"/>
      <c r="G4" s="1223"/>
      <c r="H4" s="61" t="s">
        <v>28</v>
      </c>
      <c r="I4" s="44">
        <f>'NOTE 1'!I4</f>
        <v>0</v>
      </c>
    </row>
    <row r="5" spans="1:9" s="132" customFormat="1" ht="15" customHeight="1">
      <c r="A5" s="7" t="s">
        <v>2021</v>
      </c>
      <c r="B5" s="7"/>
      <c r="C5" s="1223">
        <f>'NOTE 1'!C5</f>
        <v>0</v>
      </c>
      <c r="D5" s="1223"/>
      <c r="E5" s="43" t="s">
        <v>30</v>
      </c>
      <c r="F5" s="1214">
        <f>'NOTE 1'!G5</f>
        <v>0</v>
      </c>
      <c r="G5" s="1214"/>
      <c r="H5" s="61" t="s">
        <v>31</v>
      </c>
      <c r="I5" s="111">
        <f>'NOTE 1'!I5</f>
        <v>0</v>
      </c>
    </row>
    <row r="6" spans="1:9" s="132" customFormat="1" ht="15" customHeight="1">
      <c r="A6" s="268" t="s">
        <v>2024</v>
      </c>
      <c r="B6" s="7"/>
      <c r="C6" s="1461">
        <f>'NOTE 1'!C6</f>
        <v>0</v>
      </c>
      <c r="D6" s="1461"/>
      <c r="E6" s="262"/>
      <c r="F6" s="44"/>
      <c r="G6" s="44"/>
      <c r="H6" s="263"/>
      <c r="I6" s="44"/>
    </row>
    <row r="7" spans="1:9" ht="35.15" customHeight="1" thickBot="1">
      <c r="A7" s="1169" t="s">
        <v>1528</v>
      </c>
      <c r="B7" s="1169"/>
      <c r="C7" s="1169"/>
      <c r="D7" s="1169"/>
      <c r="E7" s="1169"/>
      <c r="F7" s="1169"/>
      <c r="G7" s="1169"/>
      <c r="H7" s="1169"/>
      <c r="I7" s="1169"/>
    </row>
    <row r="8" spans="1:9" ht="32.25" customHeight="1">
      <c r="A8" s="1632" t="s">
        <v>525</v>
      </c>
      <c r="B8" s="1633"/>
      <c r="C8" s="1633"/>
      <c r="D8" s="1633"/>
      <c r="E8" s="1633" t="s">
        <v>526</v>
      </c>
      <c r="F8" s="1633"/>
      <c r="G8" s="1633" t="s">
        <v>527</v>
      </c>
      <c r="H8" s="1633"/>
      <c r="I8" s="865" t="s">
        <v>546</v>
      </c>
    </row>
    <row r="9" spans="1:9" ht="17.149999999999999" customHeight="1">
      <c r="A9" s="1442" t="s">
        <v>599</v>
      </c>
      <c r="B9" s="1443"/>
      <c r="C9" s="1443"/>
      <c r="D9" s="1443"/>
      <c r="E9" s="1631"/>
      <c r="F9" s="1631"/>
      <c r="G9" s="1631"/>
      <c r="H9" s="1631"/>
      <c r="I9" s="866" t="str">
        <f>IF(G9,(E9-G9)/G9,IF(ISBLANK(G9),"",IF(E9,IF( E9 &gt; 0,1,-1),"")))</f>
        <v/>
      </c>
    </row>
    <row r="10" spans="1:9" ht="17.149999999999999" customHeight="1">
      <c r="A10" s="1442" t="s">
        <v>600</v>
      </c>
      <c r="B10" s="1443"/>
      <c r="C10" s="1443"/>
      <c r="D10" s="1443"/>
      <c r="E10" s="1631"/>
      <c r="F10" s="1631"/>
      <c r="G10" s="1631"/>
      <c r="H10" s="1631"/>
      <c r="I10" s="866" t="str">
        <f t="shared" ref="I10:I18" si="0">IF(G10,(E10-G10)/G10,IF(ISBLANK(G10),"",IF(E10,IF( E10 &gt; 0,1,-1),"")))</f>
        <v/>
      </c>
    </row>
    <row r="11" spans="1:9" ht="17.149999999999999" customHeight="1">
      <c r="A11" s="1442" t="s">
        <v>601</v>
      </c>
      <c r="B11" s="1443"/>
      <c r="C11" s="1443"/>
      <c r="D11" s="1443"/>
      <c r="E11" s="1631"/>
      <c r="F11" s="1631"/>
      <c r="G11" s="1631"/>
      <c r="H11" s="1631"/>
      <c r="I11" s="866" t="str">
        <f t="shared" si="0"/>
        <v/>
      </c>
    </row>
    <row r="12" spans="1:9" ht="17.149999999999999" customHeight="1">
      <c r="A12" s="1442" t="s">
        <v>602</v>
      </c>
      <c r="B12" s="1443"/>
      <c r="C12" s="1443"/>
      <c r="D12" s="1443"/>
      <c r="E12" s="1631"/>
      <c r="F12" s="1631"/>
      <c r="G12" s="1631"/>
      <c r="H12" s="1631"/>
      <c r="I12" s="866" t="str">
        <f t="shared" si="0"/>
        <v/>
      </c>
    </row>
    <row r="13" spans="1:9" ht="17.149999999999999" customHeight="1">
      <c r="A13" s="1442" t="s">
        <v>603</v>
      </c>
      <c r="B13" s="1443"/>
      <c r="C13" s="1443"/>
      <c r="D13" s="1443"/>
      <c r="E13" s="1631"/>
      <c r="F13" s="1631"/>
      <c r="G13" s="1631"/>
      <c r="H13" s="1631"/>
      <c r="I13" s="866" t="str">
        <f t="shared" si="0"/>
        <v/>
      </c>
    </row>
    <row r="14" spans="1:9" ht="17.149999999999999" customHeight="1">
      <c r="A14" s="1442" t="s">
        <v>537</v>
      </c>
      <c r="B14" s="1443"/>
      <c r="C14" s="1443"/>
      <c r="D14" s="1443"/>
      <c r="E14" s="1631"/>
      <c r="F14" s="1631"/>
      <c r="G14" s="1631"/>
      <c r="H14" s="1631"/>
      <c r="I14" s="866" t="str">
        <f t="shared" si="0"/>
        <v/>
      </c>
    </row>
    <row r="15" spans="1:9" ht="17.149999999999999" customHeight="1">
      <c r="A15" s="1442" t="s">
        <v>1798</v>
      </c>
      <c r="B15" s="1443"/>
      <c r="C15" s="1443"/>
      <c r="D15" s="1443"/>
      <c r="E15" s="1631"/>
      <c r="F15" s="1631"/>
      <c r="G15" s="1631"/>
      <c r="H15" s="1631"/>
      <c r="I15" s="866" t="str">
        <f t="shared" si="0"/>
        <v/>
      </c>
    </row>
    <row r="16" spans="1:9" ht="17.149999999999999" customHeight="1">
      <c r="A16" s="1612" t="s">
        <v>604</v>
      </c>
      <c r="B16" s="1613"/>
      <c r="C16" s="1613"/>
      <c r="D16" s="1613"/>
      <c r="E16" s="1634">
        <f>SUM(E9:F15)</f>
        <v>0</v>
      </c>
      <c r="F16" s="1634"/>
      <c r="G16" s="1634">
        <f>SUM(G9:H15)</f>
        <v>0</v>
      </c>
      <c r="H16" s="1634"/>
      <c r="I16" s="867" t="str">
        <f t="shared" si="0"/>
        <v/>
      </c>
    </row>
    <row r="17" spans="1:9" ht="17.149999999999999" customHeight="1">
      <c r="A17" s="1442" t="s">
        <v>605</v>
      </c>
      <c r="B17" s="1443"/>
      <c r="C17" s="1443"/>
      <c r="D17" s="1443"/>
      <c r="E17" s="1631"/>
      <c r="F17" s="1631"/>
      <c r="G17" s="1631"/>
      <c r="H17" s="1631"/>
      <c r="I17" s="866" t="str">
        <f t="shared" si="0"/>
        <v/>
      </c>
    </row>
    <row r="18" spans="1:9" ht="17.149999999999999" customHeight="1" thickBot="1">
      <c r="A18" s="1629" t="s">
        <v>626</v>
      </c>
      <c r="B18" s="1630"/>
      <c r="C18" s="1630"/>
      <c r="D18" s="1630"/>
      <c r="E18" s="1628">
        <f>E16-E17</f>
        <v>0</v>
      </c>
      <c r="F18" s="1628"/>
      <c r="G18" s="1628">
        <f>G16-G17</f>
        <v>0</v>
      </c>
      <c r="H18" s="1628"/>
      <c r="I18" s="869" t="str">
        <f t="shared" si="0"/>
        <v/>
      </c>
    </row>
    <row r="19" spans="1:9" s="3" customFormat="1" ht="12.75" customHeight="1">
      <c r="A19" s="581" t="s">
        <v>1791</v>
      </c>
    </row>
    <row r="20" spans="1:9" s="3" customFormat="1" ht="10.5">
      <c r="A20" s="637" t="s">
        <v>1674</v>
      </c>
    </row>
    <row r="21" spans="1:9" s="3" customFormat="1" ht="10.5">
      <c r="A21" s="637" t="s">
        <v>1690</v>
      </c>
    </row>
    <row r="22" spans="1:9" s="3" customFormat="1" ht="10.5">
      <c r="A22" s="637" t="s">
        <v>1691</v>
      </c>
    </row>
    <row r="23" spans="1:9" s="3" customFormat="1" ht="10.5">
      <c r="A23" s="637" t="s">
        <v>1686</v>
      </c>
    </row>
  </sheetData>
  <sheetProtection selectLockedCells="1"/>
  <mergeCells count="41">
    <mergeCell ref="A7:I7"/>
    <mergeCell ref="A8:D8"/>
    <mergeCell ref="E8:F8"/>
    <mergeCell ref="G8:H8"/>
    <mergeCell ref="A9:D9"/>
    <mergeCell ref="E9:F9"/>
    <mergeCell ref="G9:H9"/>
    <mergeCell ref="A1:I1"/>
    <mergeCell ref="H2:I2"/>
    <mergeCell ref="C3:I3"/>
    <mergeCell ref="B4:G4"/>
    <mergeCell ref="C5:D5"/>
    <mergeCell ref="F5:G5"/>
    <mergeCell ref="A14:D14"/>
    <mergeCell ref="E14:F14"/>
    <mergeCell ref="G14:H14"/>
    <mergeCell ref="G10:H10"/>
    <mergeCell ref="A11:D11"/>
    <mergeCell ref="E11:F11"/>
    <mergeCell ref="G11:H11"/>
    <mergeCell ref="A12:D12"/>
    <mergeCell ref="E12:F12"/>
    <mergeCell ref="G12:H12"/>
    <mergeCell ref="A10:D10"/>
    <mergeCell ref="E10:F10"/>
    <mergeCell ref="C6:D6"/>
    <mergeCell ref="A15:D15"/>
    <mergeCell ref="E15:F15"/>
    <mergeCell ref="G15:H15"/>
    <mergeCell ref="G18:H18"/>
    <mergeCell ref="A18:D18"/>
    <mergeCell ref="E18:F18"/>
    <mergeCell ref="A16:D16"/>
    <mergeCell ref="E16:F16"/>
    <mergeCell ref="G16:H16"/>
    <mergeCell ref="A17:D17"/>
    <mergeCell ref="E17:F17"/>
    <mergeCell ref="G17:H17"/>
    <mergeCell ref="A13:D13"/>
    <mergeCell ref="E13:F13"/>
    <mergeCell ref="G13:H13"/>
  </mergeCells>
  <dataValidations count="1">
    <dataValidation type="whole" allowBlank="1" showInputMessage="1" showErrorMessage="1" errorTitle="Attention!" error="Valeur numérique attendue" sqref="E9:H15 E17:H17" xr:uid="{00000000-0002-0000-1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1">
    <pageSetUpPr fitToPage="1"/>
  </sheetPr>
  <dimension ref="A1:I20"/>
  <sheetViews>
    <sheetView showGridLines="0" workbookViewId="0">
      <selection activeCell="I17" sqref="A8:I17"/>
    </sheetView>
  </sheetViews>
  <sheetFormatPr baseColWidth="10" defaultRowHeight="14.5"/>
  <cols>
    <col min="2" max="2" width="16.453125" customWidth="1"/>
    <col min="4" max="4" width="10" customWidth="1"/>
    <col min="5" max="5" width="13.453125" customWidth="1"/>
    <col min="6" max="6" width="6.1796875" customWidth="1"/>
    <col min="7" max="7" width="8.1796875" customWidth="1"/>
    <col min="8" max="8" width="15.5429687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1647</v>
      </c>
      <c r="I2" s="1460"/>
    </row>
    <row r="3" spans="1:9" s="132" customFormat="1" ht="15" customHeight="1">
      <c r="A3" s="7" t="s">
        <v>26</v>
      </c>
      <c r="B3" s="7"/>
      <c r="C3" s="1221">
        <f>'NOTE 1'!C3</f>
        <v>0</v>
      </c>
      <c r="D3" s="1221"/>
      <c r="E3" s="1221"/>
      <c r="F3" s="1221"/>
      <c r="G3" s="1221"/>
      <c r="H3" s="1221"/>
      <c r="I3" s="1221"/>
    </row>
    <row r="4" spans="1:9" s="132" customFormat="1" ht="15" customHeight="1">
      <c r="A4" s="7" t="s">
        <v>27</v>
      </c>
      <c r="B4" s="1221">
        <f>'NOTE 1'!B4</f>
        <v>0</v>
      </c>
      <c r="C4" s="1223"/>
      <c r="D4" s="1223"/>
      <c r="E4" s="1223"/>
      <c r="F4" s="1223"/>
      <c r="G4" s="1223"/>
      <c r="H4" s="61" t="s">
        <v>28</v>
      </c>
      <c r="I4" s="44">
        <f>'NOTE 1'!I4</f>
        <v>0</v>
      </c>
    </row>
    <row r="5" spans="1:9" s="132" customFormat="1" ht="15" customHeight="1">
      <c r="A5" s="7" t="s">
        <v>2022</v>
      </c>
      <c r="B5" s="7"/>
      <c r="C5" s="1223">
        <f>'NOTE 1'!C5</f>
        <v>0</v>
      </c>
      <c r="D5" s="1223"/>
      <c r="E5" s="43" t="s">
        <v>30</v>
      </c>
      <c r="F5" s="1214">
        <f>'NOTE 1'!G5</f>
        <v>0</v>
      </c>
      <c r="G5" s="1214"/>
      <c r="H5" s="61" t="s">
        <v>31</v>
      </c>
      <c r="I5" s="111">
        <f>'NOTE 1'!I5</f>
        <v>0</v>
      </c>
    </row>
    <row r="6" spans="1:9" s="132" customFormat="1" ht="15" customHeight="1">
      <c r="A6" s="268" t="s">
        <v>2024</v>
      </c>
      <c r="B6" s="7"/>
      <c r="C6" s="1461">
        <f>'NOTE 1'!C6</f>
        <v>0</v>
      </c>
      <c r="D6" s="1461"/>
      <c r="E6" s="262"/>
      <c r="F6" s="44"/>
      <c r="G6" s="44"/>
      <c r="H6" s="263"/>
      <c r="I6" s="44"/>
    </row>
    <row r="7" spans="1:9" ht="35.15" customHeight="1" thickBot="1">
      <c r="A7" s="1169" t="s">
        <v>1529</v>
      </c>
      <c r="B7" s="1169"/>
      <c r="C7" s="1169"/>
      <c r="D7" s="1169"/>
      <c r="E7" s="1169"/>
      <c r="F7" s="1169"/>
      <c r="G7" s="1169"/>
      <c r="H7" s="1169"/>
      <c r="I7" s="1169"/>
    </row>
    <row r="8" spans="1:9" ht="35.25" customHeight="1">
      <c r="A8" s="1632" t="s">
        <v>525</v>
      </c>
      <c r="B8" s="1633"/>
      <c r="C8" s="1633"/>
      <c r="D8" s="1633"/>
      <c r="E8" s="1633" t="s">
        <v>526</v>
      </c>
      <c r="F8" s="1633"/>
      <c r="G8" s="1633" t="s">
        <v>527</v>
      </c>
      <c r="H8" s="1633"/>
      <c r="I8" s="865" t="s">
        <v>546</v>
      </c>
    </row>
    <row r="9" spans="1:9" ht="17.149999999999999" customHeight="1">
      <c r="A9" s="1442" t="s">
        <v>606</v>
      </c>
      <c r="B9" s="1443"/>
      <c r="C9" s="1443"/>
      <c r="D9" s="1443"/>
      <c r="E9" s="1547"/>
      <c r="F9" s="1548"/>
      <c r="G9" s="1631"/>
      <c r="H9" s="1631"/>
      <c r="I9" s="866" t="str">
        <f>IF(G9,(E9-G9)/G9,IF(ISBLANK(G9),"",IF(E9,IF( E9 &gt; 0,1,-1),"")))</f>
        <v/>
      </c>
    </row>
    <row r="10" spans="1:9" ht="17.149999999999999" customHeight="1">
      <c r="A10" s="1442" t="s">
        <v>607</v>
      </c>
      <c r="B10" s="1443"/>
      <c r="C10" s="1443"/>
      <c r="D10" s="1443"/>
      <c r="E10" s="1547"/>
      <c r="F10" s="1548"/>
      <c r="G10" s="1631"/>
      <c r="H10" s="1631"/>
      <c r="I10" s="866" t="str">
        <f t="shared" ref="I10:I17" si="0">IF(G10,(E10-G10)/G10,IF(ISBLANK(G10),"",IF(E10,IF( E10 &gt; 0,1,-1),"")))</f>
        <v/>
      </c>
    </row>
    <row r="11" spans="1:9" ht="17.149999999999999" customHeight="1">
      <c r="A11" s="1442" t="s">
        <v>608</v>
      </c>
      <c r="B11" s="1443"/>
      <c r="C11" s="1443"/>
      <c r="D11" s="1443"/>
      <c r="E11" s="1547"/>
      <c r="F11" s="1548"/>
      <c r="G11" s="1631"/>
      <c r="H11" s="1631"/>
      <c r="I11" s="866" t="str">
        <f t="shared" si="0"/>
        <v/>
      </c>
    </row>
    <row r="12" spans="1:9" ht="17.149999999999999" customHeight="1">
      <c r="A12" s="1442" t="s">
        <v>609</v>
      </c>
      <c r="B12" s="1443"/>
      <c r="C12" s="1443"/>
      <c r="D12" s="1443"/>
      <c r="E12" s="1547"/>
      <c r="F12" s="1548"/>
      <c r="G12" s="1631"/>
      <c r="H12" s="1631"/>
      <c r="I12" s="866" t="str">
        <f t="shared" si="0"/>
        <v/>
      </c>
    </row>
    <row r="13" spans="1:9" ht="17.149999999999999" customHeight="1">
      <c r="A13" s="1442" t="s">
        <v>610</v>
      </c>
      <c r="B13" s="1443"/>
      <c r="C13" s="1443"/>
      <c r="D13" s="1443"/>
      <c r="E13" s="1547"/>
      <c r="F13" s="1548"/>
      <c r="G13" s="1631"/>
      <c r="H13" s="1631"/>
      <c r="I13" s="866" t="str">
        <f t="shared" si="0"/>
        <v/>
      </c>
    </row>
    <row r="14" spans="1:9" ht="17.149999999999999" customHeight="1">
      <c r="A14" s="1442" t="s">
        <v>611</v>
      </c>
      <c r="B14" s="1443"/>
      <c r="C14" s="1443"/>
      <c r="D14" s="1443"/>
      <c r="E14" s="1547"/>
      <c r="F14" s="1548"/>
      <c r="G14" s="1631"/>
      <c r="H14" s="1631"/>
      <c r="I14" s="866" t="str">
        <f t="shared" si="0"/>
        <v/>
      </c>
    </row>
    <row r="15" spans="1:9" ht="17.149999999999999" customHeight="1">
      <c r="A15" s="1612" t="s">
        <v>612</v>
      </c>
      <c r="B15" s="1613"/>
      <c r="C15" s="1613"/>
      <c r="D15" s="1613"/>
      <c r="E15" s="1537">
        <f>SUM(E9:F14)</f>
        <v>0</v>
      </c>
      <c r="F15" s="1538"/>
      <c r="G15" s="1537">
        <f>SUM(G9:H14)</f>
        <v>0</v>
      </c>
      <c r="H15" s="1538"/>
      <c r="I15" s="867" t="str">
        <f t="shared" si="0"/>
        <v/>
      </c>
    </row>
    <row r="16" spans="1:9" ht="17.149999999999999" customHeight="1">
      <c r="A16" s="1442" t="s">
        <v>613</v>
      </c>
      <c r="B16" s="1443"/>
      <c r="C16" s="1443"/>
      <c r="D16" s="1443"/>
      <c r="E16" s="1631"/>
      <c r="F16" s="1631"/>
      <c r="G16" s="1631"/>
      <c r="H16" s="1631"/>
      <c r="I16" s="866" t="str">
        <f t="shared" si="0"/>
        <v/>
      </c>
    </row>
    <row r="17" spans="1:9" ht="17.149999999999999" customHeight="1" thickBot="1">
      <c r="A17" s="1629" t="s">
        <v>626</v>
      </c>
      <c r="B17" s="1630"/>
      <c r="C17" s="1630"/>
      <c r="D17" s="1630"/>
      <c r="E17" s="1635">
        <f>E15-E16</f>
        <v>0</v>
      </c>
      <c r="F17" s="1635"/>
      <c r="G17" s="1635">
        <f>G15-G16</f>
        <v>0</v>
      </c>
      <c r="H17" s="1635"/>
      <c r="I17" s="869" t="str">
        <f t="shared" si="0"/>
        <v/>
      </c>
    </row>
    <row r="18" spans="1:9" s="3" customFormat="1" ht="13.5" customHeight="1">
      <c r="A18" s="581" t="s">
        <v>1792</v>
      </c>
    </row>
    <row r="19" spans="1:9" s="3" customFormat="1" ht="13.5" customHeight="1">
      <c r="A19" s="637" t="s">
        <v>1692</v>
      </c>
    </row>
    <row r="20" spans="1:9" s="3" customFormat="1" ht="13.5" customHeight="1">
      <c r="A20" s="637" t="s">
        <v>1686</v>
      </c>
    </row>
  </sheetData>
  <sheetProtection selectLockedCells="1"/>
  <mergeCells count="38">
    <mergeCell ref="A7:I7"/>
    <mergeCell ref="A8:D8"/>
    <mergeCell ref="E8:F8"/>
    <mergeCell ref="G8:H8"/>
    <mergeCell ref="A9:D9"/>
    <mergeCell ref="E9:F9"/>
    <mergeCell ref="G9:H9"/>
    <mergeCell ref="A1:I1"/>
    <mergeCell ref="H2:I2"/>
    <mergeCell ref="C3:I3"/>
    <mergeCell ref="B4:G4"/>
    <mergeCell ref="C5:D5"/>
    <mergeCell ref="F5:G5"/>
    <mergeCell ref="G10:H10"/>
    <mergeCell ref="A11:D11"/>
    <mergeCell ref="E11:F11"/>
    <mergeCell ref="G11:H11"/>
    <mergeCell ref="A12:D12"/>
    <mergeCell ref="E12:F12"/>
    <mergeCell ref="G12:H12"/>
    <mergeCell ref="A10:D10"/>
    <mergeCell ref="E10:F10"/>
    <mergeCell ref="C6:D6"/>
    <mergeCell ref="A15:D15"/>
    <mergeCell ref="E15:F15"/>
    <mergeCell ref="G15:H15"/>
    <mergeCell ref="A17:D17"/>
    <mergeCell ref="E17:F17"/>
    <mergeCell ref="G17:H17"/>
    <mergeCell ref="A16:D16"/>
    <mergeCell ref="E16:F16"/>
    <mergeCell ref="G16:H16"/>
    <mergeCell ref="A13:D13"/>
    <mergeCell ref="E13:F13"/>
    <mergeCell ref="G13:H13"/>
    <mergeCell ref="A14:D14"/>
    <mergeCell ref="E14:F14"/>
    <mergeCell ref="G14:H14"/>
  </mergeCells>
  <dataValidations count="1">
    <dataValidation type="whole" allowBlank="1" showInputMessage="1" showErrorMessage="1" errorTitle="Attention!" error="Valeur numérique attendue" sqref="E9:H14 E16:H16" xr:uid="{00000000-0002-0000-1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2">
    <pageSetUpPr fitToPage="1"/>
  </sheetPr>
  <dimension ref="A1:I32"/>
  <sheetViews>
    <sheetView showGridLines="0" topLeftCell="A8" workbookViewId="0">
      <selection activeCell="G17" sqref="G17:H17"/>
    </sheetView>
  </sheetViews>
  <sheetFormatPr baseColWidth="10" defaultRowHeight="14.5"/>
  <cols>
    <col min="2" max="2" width="14.1796875" customWidth="1"/>
    <col min="4" max="4" width="6" customWidth="1"/>
    <col min="5" max="5" width="14.453125" customWidth="1"/>
    <col min="6" max="6" width="11.453125" customWidth="1"/>
    <col min="7" max="7" width="9" customWidth="1"/>
    <col min="8" max="8" width="15.8164062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1648</v>
      </c>
      <c r="I2" s="1460"/>
    </row>
    <row r="3" spans="1:9" s="132" customFormat="1" ht="15" customHeight="1">
      <c r="A3" s="7" t="s">
        <v>26</v>
      </c>
      <c r="B3" s="7"/>
      <c r="C3" s="1221"/>
      <c r="D3" s="1221"/>
      <c r="E3" s="1221"/>
      <c r="F3" s="1221"/>
      <c r="G3" s="1221"/>
      <c r="H3" s="1221"/>
      <c r="I3" s="1221"/>
    </row>
    <row r="4" spans="1:9" s="132" customFormat="1" ht="15" customHeight="1">
      <c r="A4" s="7" t="s">
        <v>27</v>
      </c>
      <c r="B4" s="1221"/>
      <c r="C4" s="1223"/>
      <c r="D4" s="1223"/>
      <c r="E4" s="1223"/>
      <c r="F4" s="1223"/>
      <c r="G4" s="1223"/>
      <c r="H4" s="61" t="s">
        <v>28</v>
      </c>
      <c r="I4" s="44"/>
    </row>
    <row r="5" spans="1:9" s="132" customFormat="1" ht="15" customHeight="1">
      <c r="A5" s="7" t="s">
        <v>2018</v>
      </c>
      <c r="B5" s="7"/>
      <c r="C5" s="1223"/>
      <c r="D5" s="1223"/>
      <c r="E5" s="43" t="s">
        <v>30</v>
      </c>
      <c r="F5" s="1214"/>
      <c r="G5" s="1214"/>
      <c r="H5" s="61" t="s">
        <v>31</v>
      </c>
      <c r="I5" s="111"/>
    </row>
    <row r="6" spans="1:9" s="132" customFormat="1" ht="15" customHeight="1">
      <c r="A6" s="7" t="s">
        <v>2024</v>
      </c>
      <c r="B6" s="7"/>
      <c r="C6" s="1461"/>
      <c r="D6" s="1461"/>
      <c r="E6" s="262"/>
      <c r="F6" s="44"/>
      <c r="G6" s="44"/>
      <c r="H6" s="263"/>
      <c r="I6" s="44"/>
    </row>
    <row r="7" spans="1:9" ht="35.15" customHeight="1" thickBot="1">
      <c r="A7" s="1169" t="s">
        <v>1530</v>
      </c>
      <c r="B7" s="1169"/>
      <c r="C7" s="1169"/>
      <c r="D7" s="1169"/>
      <c r="E7" s="1169"/>
      <c r="F7" s="1169"/>
      <c r="G7" s="1169"/>
      <c r="H7" s="1169"/>
      <c r="I7" s="1169"/>
    </row>
    <row r="8" spans="1:9" ht="34.5" customHeight="1">
      <c r="A8" s="1632" t="s">
        <v>525</v>
      </c>
      <c r="B8" s="1633"/>
      <c r="C8" s="1633"/>
      <c r="D8" s="1633"/>
      <c r="E8" s="1633" t="s">
        <v>526</v>
      </c>
      <c r="F8" s="1633"/>
      <c r="G8" s="1633" t="s">
        <v>527</v>
      </c>
      <c r="H8" s="1633"/>
      <c r="I8" s="865" t="s">
        <v>546</v>
      </c>
    </row>
    <row r="9" spans="1:9" ht="17.149999999999999" customHeight="1">
      <c r="A9" s="1442" t="s">
        <v>614</v>
      </c>
      <c r="B9" s="1443"/>
      <c r="C9" s="1443"/>
      <c r="D9" s="1443"/>
      <c r="E9" s="1631"/>
      <c r="F9" s="1631"/>
      <c r="G9" s="1631"/>
      <c r="H9" s="1631"/>
      <c r="I9" s="866" t="str">
        <f>IF(G9,(E9-G9)/G9,IF(ISBLANK(G9),"",IF(E9,IF( E9 &gt; 0,1,-1),"")))</f>
        <v/>
      </c>
    </row>
    <row r="10" spans="1:9" ht="17.149999999999999" customHeight="1">
      <c r="A10" s="1442" t="s">
        <v>615</v>
      </c>
      <c r="B10" s="1443"/>
      <c r="C10" s="1443"/>
      <c r="D10" s="1443"/>
      <c r="E10" s="1631"/>
      <c r="F10" s="1631"/>
      <c r="G10" s="1631"/>
      <c r="H10" s="1631"/>
      <c r="I10" s="866" t="str">
        <f t="shared" ref="I10:I23" si="0">IF(G10,(E10-G10)/G10,IF(ISBLANK(G10),"",IF(E10,IF( E10 &gt; 0,1,-1),"")))</f>
        <v/>
      </c>
    </row>
    <row r="11" spans="1:9" ht="17.149999999999999" customHeight="1">
      <c r="A11" s="1442" t="s">
        <v>616</v>
      </c>
      <c r="B11" s="1443"/>
      <c r="C11" s="1443"/>
      <c r="D11" s="1443"/>
      <c r="E11" s="1547"/>
      <c r="F11" s="1548"/>
      <c r="G11" s="1547"/>
      <c r="H11" s="1548"/>
      <c r="I11" s="866" t="str">
        <f t="shared" si="0"/>
        <v/>
      </c>
    </row>
    <row r="12" spans="1:9" ht="17.149999999999999" customHeight="1">
      <c r="A12" s="1442" t="s">
        <v>1567</v>
      </c>
      <c r="B12" s="1443"/>
      <c r="C12" s="1443"/>
      <c r="D12" s="1443"/>
      <c r="E12" s="1631"/>
      <c r="F12" s="1631"/>
      <c r="G12" s="1631"/>
      <c r="H12" s="1631"/>
      <c r="I12" s="866" t="str">
        <f t="shared" si="0"/>
        <v/>
      </c>
    </row>
    <row r="13" spans="1:9" ht="17.149999999999999" customHeight="1">
      <c r="A13" s="1442" t="s">
        <v>617</v>
      </c>
      <c r="B13" s="1443"/>
      <c r="C13" s="1443"/>
      <c r="D13" s="1443"/>
      <c r="E13" s="1631"/>
      <c r="F13" s="1631"/>
      <c r="G13" s="1631"/>
      <c r="H13" s="1631"/>
      <c r="I13" s="866" t="str">
        <f t="shared" si="0"/>
        <v/>
      </c>
    </row>
    <row r="14" spans="1:9" ht="17.149999999999999" customHeight="1">
      <c r="A14" s="1442" t="s">
        <v>618</v>
      </c>
      <c r="B14" s="1443"/>
      <c r="C14" s="1443"/>
      <c r="D14" s="1443"/>
      <c r="E14" s="1631"/>
      <c r="F14" s="1631"/>
      <c r="G14" s="1631"/>
      <c r="H14" s="1631"/>
      <c r="I14" s="866" t="str">
        <f t="shared" si="0"/>
        <v/>
      </c>
    </row>
    <row r="15" spans="1:9" ht="17.149999999999999" customHeight="1">
      <c r="A15" s="1442" t="s">
        <v>619</v>
      </c>
      <c r="B15" s="1443"/>
      <c r="C15" s="1443"/>
      <c r="D15" s="1443"/>
      <c r="E15" s="1631"/>
      <c r="F15" s="1631"/>
      <c r="G15" s="1631"/>
      <c r="H15" s="1631"/>
      <c r="I15" s="866" t="str">
        <f t="shared" si="0"/>
        <v/>
      </c>
    </row>
    <row r="16" spans="1:9" ht="17.149999999999999" customHeight="1">
      <c r="A16" s="1442" t="s">
        <v>620</v>
      </c>
      <c r="B16" s="1443"/>
      <c r="C16" s="1443"/>
      <c r="D16" s="1443"/>
      <c r="E16" s="1631"/>
      <c r="F16" s="1631"/>
      <c r="G16" s="1631"/>
      <c r="H16" s="1631"/>
      <c r="I16" s="866" t="str">
        <f t="shared" si="0"/>
        <v/>
      </c>
    </row>
    <row r="17" spans="1:9" ht="17.149999999999999" customHeight="1">
      <c r="A17" s="1442" t="s">
        <v>621</v>
      </c>
      <c r="B17" s="1443"/>
      <c r="C17" s="1443"/>
      <c r="D17" s="1443"/>
      <c r="E17" s="1631"/>
      <c r="F17" s="1631"/>
      <c r="G17" s="1631"/>
      <c r="H17" s="1631"/>
      <c r="I17" s="866" t="str">
        <f t="shared" si="0"/>
        <v/>
      </c>
    </row>
    <row r="18" spans="1:9" ht="17.149999999999999" customHeight="1">
      <c r="A18" s="1442" t="s">
        <v>2011</v>
      </c>
      <c r="B18" s="1443"/>
      <c r="C18" s="1443"/>
      <c r="D18" s="1443"/>
      <c r="E18" s="1631"/>
      <c r="F18" s="1631"/>
      <c r="G18" s="1631"/>
      <c r="H18" s="1631"/>
      <c r="I18" s="866" t="str">
        <f t="shared" si="0"/>
        <v/>
      </c>
    </row>
    <row r="19" spans="1:9" ht="17.149999999999999" customHeight="1">
      <c r="A19" s="1442" t="s">
        <v>622</v>
      </c>
      <c r="B19" s="1443"/>
      <c r="C19" s="1443"/>
      <c r="D19" s="1443"/>
      <c r="E19" s="1631"/>
      <c r="F19" s="1631"/>
      <c r="G19" s="1631"/>
      <c r="H19" s="1631"/>
      <c r="I19" s="866" t="str">
        <f t="shared" si="0"/>
        <v/>
      </c>
    </row>
    <row r="20" spans="1:9" ht="17.149999999999999" customHeight="1">
      <c r="A20" s="1442" t="s">
        <v>623</v>
      </c>
      <c r="B20" s="1443"/>
      <c r="C20" s="1443"/>
      <c r="D20" s="1443"/>
      <c r="E20" s="1631"/>
      <c r="F20" s="1631"/>
      <c r="G20" s="1631"/>
      <c r="H20" s="1631"/>
      <c r="I20" s="866" t="str">
        <f t="shared" si="0"/>
        <v/>
      </c>
    </row>
    <row r="21" spans="1:9" ht="17.149999999999999" customHeight="1" thickBot="1">
      <c r="A21" s="1629" t="s">
        <v>624</v>
      </c>
      <c r="B21" s="1630"/>
      <c r="C21" s="1630"/>
      <c r="D21" s="1630"/>
      <c r="E21" s="1635">
        <f>SUM(E9:F20)</f>
        <v>0</v>
      </c>
      <c r="F21" s="1635"/>
      <c r="G21" s="1635">
        <f>SUM(G9:H20)</f>
        <v>0</v>
      </c>
      <c r="H21" s="1635"/>
      <c r="I21" s="869" t="str">
        <f t="shared" si="0"/>
        <v/>
      </c>
    </row>
    <row r="22" spans="1:9" ht="17.149999999999999" customHeight="1">
      <c r="A22" s="1680" t="s">
        <v>625</v>
      </c>
      <c r="B22" s="1680"/>
      <c r="C22" s="1680"/>
      <c r="D22" s="1680"/>
      <c r="E22" s="1681"/>
      <c r="F22" s="1681"/>
      <c r="G22" s="1681"/>
      <c r="H22" s="1681"/>
      <c r="I22" s="881" t="str">
        <f t="shared" si="0"/>
        <v/>
      </c>
    </row>
    <row r="23" spans="1:9" ht="17.149999999999999" customHeight="1">
      <c r="A23" s="1613" t="s">
        <v>626</v>
      </c>
      <c r="B23" s="1613"/>
      <c r="C23" s="1613"/>
      <c r="D23" s="1613"/>
      <c r="E23" s="1679">
        <f>E21-E22</f>
        <v>0</v>
      </c>
      <c r="F23" s="1679"/>
      <c r="G23" s="1679">
        <f>G21-G22</f>
        <v>0</v>
      </c>
      <c r="H23" s="1679"/>
      <c r="I23" s="434" t="str">
        <f t="shared" si="0"/>
        <v/>
      </c>
    </row>
    <row r="24" spans="1:9" s="3" customFormat="1" ht="14.25" customHeight="1">
      <c r="A24" s="581" t="s">
        <v>1792</v>
      </c>
    </row>
    <row r="25" spans="1:9" s="3" customFormat="1" ht="10.5">
      <c r="A25" s="637" t="s">
        <v>1693</v>
      </c>
    </row>
    <row r="26" spans="1:9" s="3" customFormat="1" ht="10.5">
      <c r="A26" s="641" t="s">
        <v>1964</v>
      </c>
    </row>
    <row r="27" spans="1:9" s="3" customFormat="1" ht="10.5">
      <c r="A27" s="641" t="s">
        <v>1965</v>
      </c>
    </row>
    <row r="28" spans="1:9" s="3" customFormat="1" ht="10.5">
      <c r="A28" s="641" t="s">
        <v>1966</v>
      </c>
    </row>
    <row r="29" spans="1:9" s="3" customFormat="1" ht="10.5">
      <c r="A29" s="641" t="s">
        <v>1967</v>
      </c>
    </row>
    <row r="30" spans="1:9" s="3" customFormat="1" ht="6.75" customHeight="1">
      <c r="A30" s="584"/>
    </row>
    <row r="31" spans="1:9" s="3" customFormat="1" ht="15.75" customHeight="1">
      <c r="A31" s="1678" t="s">
        <v>1568</v>
      </c>
      <c r="B31" s="1678"/>
      <c r="C31" s="1678"/>
      <c r="D31" s="1678"/>
      <c r="E31" s="1678"/>
      <c r="F31" s="1678"/>
      <c r="G31" s="1678"/>
      <c r="H31" s="1678"/>
      <c r="I31" s="1678"/>
    </row>
    <row r="32" spans="1:9" s="132" customFormat="1" ht="12"/>
  </sheetData>
  <sheetProtection selectLockedCells="1"/>
  <mergeCells count="57">
    <mergeCell ref="A7:I7"/>
    <mergeCell ref="A8:D8"/>
    <mergeCell ref="E8:F8"/>
    <mergeCell ref="G8:H8"/>
    <mergeCell ref="A9:D9"/>
    <mergeCell ref="E9:F9"/>
    <mergeCell ref="G9:H9"/>
    <mergeCell ref="A1:I1"/>
    <mergeCell ref="H2:I2"/>
    <mergeCell ref="C3:I3"/>
    <mergeCell ref="B4:G4"/>
    <mergeCell ref="C5:D5"/>
    <mergeCell ref="F5:G5"/>
    <mergeCell ref="G10:H10"/>
    <mergeCell ref="A12:D12"/>
    <mergeCell ref="E12:F12"/>
    <mergeCell ref="G12:H12"/>
    <mergeCell ref="A11:D11"/>
    <mergeCell ref="E11:F11"/>
    <mergeCell ref="G11:H11"/>
    <mergeCell ref="A10:D10"/>
    <mergeCell ref="E10:F10"/>
    <mergeCell ref="A13:D13"/>
    <mergeCell ref="E13:F13"/>
    <mergeCell ref="G13:H13"/>
    <mergeCell ref="A14:D14"/>
    <mergeCell ref="E14:F14"/>
    <mergeCell ref="G14:H14"/>
    <mergeCell ref="A15:D15"/>
    <mergeCell ref="E15:F15"/>
    <mergeCell ref="G15:H15"/>
    <mergeCell ref="A16:D16"/>
    <mergeCell ref="E16:F16"/>
    <mergeCell ref="G16:H16"/>
    <mergeCell ref="G20:H20"/>
    <mergeCell ref="A17:D17"/>
    <mergeCell ref="E17:F17"/>
    <mergeCell ref="G17:H17"/>
    <mergeCell ref="A18:D18"/>
    <mergeCell ref="E18:F18"/>
    <mergeCell ref="G18:H18"/>
    <mergeCell ref="C6:D6"/>
    <mergeCell ref="A31:I31"/>
    <mergeCell ref="A21:D21"/>
    <mergeCell ref="E21:F21"/>
    <mergeCell ref="G21:H21"/>
    <mergeCell ref="A23:D23"/>
    <mergeCell ref="E23:F23"/>
    <mergeCell ref="G23:H23"/>
    <mergeCell ref="A22:D22"/>
    <mergeCell ref="E22:F22"/>
    <mergeCell ref="G22:H22"/>
    <mergeCell ref="A19:D19"/>
    <mergeCell ref="E19:F19"/>
    <mergeCell ref="G19:H19"/>
    <mergeCell ref="A20:D20"/>
    <mergeCell ref="E20:F20"/>
  </mergeCells>
  <dataValidations count="1">
    <dataValidation type="whole" allowBlank="1" showInputMessage="1" showErrorMessage="1" errorTitle="Attention!" error="Valeur numérique attendue" sqref="E9:H20 E22:H22" xr:uid="{00000000-0002-0000-1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3">
    <pageSetUpPr fitToPage="1"/>
  </sheetPr>
  <dimension ref="A1:I44"/>
  <sheetViews>
    <sheetView showGridLines="0" topLeftCell="A18" workbookViewId="0">
      <selection activeCell="A27" sqref="A27:I42"/>
    </sheetView>
  </sheetViews>
  <sheetFormatPr baseColWidth="10" defaultRowHeight="14.5"/>
  <cols>
    <col min="1" max="1" width="8.453125" customWidth="1"/>
    <col min="2" max="2" width="15.1796875" customWidth="1"/>
    <col min="3" max="3" width="9.54296875" customWidth="1"/>
    <col min="4" max="4" width="2.1796875" customWidth="1"/>
    <col min="5" max="5" width="8.1796875" customWidth="1"/>
    <col min="6" max="9" width="15.5429687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1649</v>
      </c>
      <c r="I2" s="1460"/>
    </row>
    <row r="3" spans="1:9" s="132" customFormat="1" ht="15" customHeight="1">
      <c r="A3" s="7" t="s">
        <v>26</v>
      </c>
      <c r="B3" s="7"/>
      <c r="C3" s="1221">
        <f>'NOTE 11'!C3</f>
        <v>0</v>
      </c>
      <c r="D3" s="1221"/>
      <c r="E3" s="1221"/>
      <c r="F3" s="1221"/>
      <c r="G3" s="1221"/>
      <c r="H3" s="1221"/>
      <c r="I3" s="1221"/>
    </row>
    <row r="4" spans="1:9" s="132" customFormat="1" ht="15" customHeight="1">
      <c r="A4" s="7" t="s">
        <v>27</v>
      </c>
      <c r="B4" s="1221">
        <f>'NOTE 11'!B4</f>
        <v>0</v>
      </c>
      <c r="C4" s="1223"/>
      <c r="D4" s="1223"/>
      <c r="E4" s="1223"/>
      <c r="F4" s="1223"/>
      <c r="G4" s="1223"/>
      <c r="H4" s="61" t="s">
        <v>28</v>
      </c>
      <c r="I4" s="44">
        <f>'NOTE 11'!I4</f>
        <v>0</v>
      </c>
    </row>
    <row r="5" spans="1:9" s="132" customFormat="1" ht="15" customHeight="1">
      <c r="A5" s="7" t="s">
        <v>2018</v>
      </c>
      <c r="B5" s="7"/>
      <c r="C5" s="1223">
        <f>'NOTE 11'!C5</f>
        <v>0</v>
      </c>
      <c r="D5" s="1223"/>
      <c r="E5" s="1223"/>
      <c r="F5" s="43" t="s">
        <v>30</v>
      </c>
      <c r="G5" s="365">
        <f>'NOTE 11'!F5</f>
        <v>0</v>
      </c>
      <c r="H5" s="61" t="s">
        <v>31</v>
      </c>
      <c r="I5" s="111">
        <f>'NOTE 11'!I5</f>
        <v>0</v>
      </c>
    </row>
    <row r="6" spans="1:9" s="132" customFormat="1" ht="15" customHeight="1">
      <c r="A6" s="7" t="s">
        <v>2024</v>
      </c>
      <c r="B6" s="7"/>
      <c r="C6" s="1461">
        <f>'NOTE 11'!C6</f>
        <v>0</v>
      </c>
      <c r="D6" s="1461"/>
      <c r="E6" s="1461"/>
      <c r="F6" s="262"/>
      <c r="G6" s="44"/>
      <c r="H6" s="263"/>
      <c r="I6" s="44"/>
    </row>
    <row r="7" spans="1:9" s="1" customFormat="1" ht="35.15" customHeight="1">
      <c r="A7" s="1169" t="s">
        <v>1531</v>
      </c>
      <c r="B7" s="1169"/>
      <c r="C7" s="1169"/>
      <c r="D7" s="1169"/>
      <c r="E7" s="1169"/>
      <c r="F7" s="1169"/>
      <c r="G7" s="1169"/>
      <c r="H7" s="1169"/>
      <c r="I7" s="1169"/>
    </row>
    <row r="8" spans="1:9" ht="17.25" customHeight="1" thickBot="1">
      <c r="A8" s="1169" t="s">
        <v>126</v>
      </c>
      <c r="B8" s="1169"/>
      <c r="C8" s="1169"/>
      <c r="D8" s="1169"/>
      <c r="E8" s="1169"/>
      <c r="F8" s="1169"/>
      <c r="G8" s="1169"/>
      <c r="H8" s="1169"/>
      <c r="I8" s="1169"/>
    </row>
    <row r="9" spans="1:9" ht="41.25" customHeight="1">
      <c r="A9" s="1686" t="s">
        <v>525</v>
      </c>
      <c r="B9" s="1687"/>
      <c r="C9" s="1687"/>
      <c r="D9" s="1687"/>
      <c r="E9" s="883" t="s">
        <v>627</v>
      </c>
      <c r="F9" s="882" t="s">
        <v>628</v>
      </c>
      <c r="G9" s="882" t="s">
        <v>629</v>
      </c>
      <c r="H9" s="882" t="s">
        <v>630</v>
      </c>
      <c r="I9" s="884" t="s">
        <v>631</v>
      </c>
    </row>
    <row r="10" spans="1:9" ht="28.5" customHeight="1">
      <c r="A10" s="1442" t="s">
        <v>1935</v>
      </c>
      <c r="B10" s="1443"/>
      <c r="C10" s="1443"/>
      <c r="D10" s="1443"/>
      <c r="E10" s="136"/>
      <c r="F10" s="137"/>
      <c r="G10" s="137"/>
      <c r="H10" s="137"/>
      <c r="I10" s="885"/>
    </row>
    <row r="11" spans="1:9" ht="17.25" customHeight="1">
      <c r="A11" s="1682"/>
      <c r="B11" s="1683"/>
      <c r="C11" s="1683"/>
      <c r="D11" s="1683"/>
      <c r="E11" s="154"/>
      <c r="F11" s="126"/>
      <c r="G11" s="138"/>
      <c r="H11" s="138"/>
      <c r="I11" s="829">
        <f>ABS(F11*G11-F11*H11)</f>
        <v>0</v>
      </c>
    </row>
    <row r="12" spans="1:9" ht="17.25" customHeight="1">
      <c r="A12" s="1682"/>
      <c r="B12" s="1683"/>
      <c r="C12" s="1683"/>
      <c r="D12" s="1683"/>
      <c r="E12" s="154"/>
      <c r="F12" s="126"/>
      <c r="G12" s="138"/>
      <c r="H12" s="138"/>
      <c r="I12" s="829">
        <f t="shared" ref="I12:I24" si="0">ABS(F12*G12-F12*H12)</f>
        <v>0</v>
      </c>
    </row>
    <row r="13" spans="1:9" ht="17.25" customHeight="1">
      <c r="A13" s="1682"/>
      <c r="B13" s="1683"/>
      <c r="C13" s="1683"/>
      <c r="D13" s="1683"/>
      <c r="E13" s="154"/>
      <c r="F13" s="126"/>
      <c r="G13" s="138"/>
      <c r="H13" s="138"/>
      <c r="I13" s="829">
        <f t="shared" si="0"/>
        <v>0</v>
      </c>
    </row>
    <row r="14" spans="1:9" ht="17.25" customHeight="1">
      <c r="A14" s="1682"/>
      <c r="B14" s="1683"/>
      <c r="C14" s="1683"/>
      <c r="D14" s="1683"/>
      <c r="E14" s="154"/>
      <c r="F14" s="126"/>
      <c r="G14" s="138"/>
      <c r="H14" s="138"/>
      <c r="I14" s="829">
        <f t="shared" si="0"/>
        <v>0</v>
      </c>
    </row>
    <row r="15" spans="1:9" ht="17.25" customHeight="1">
      <c r="A15" s="1682"/>
      <c r="B15" s="1683"/>
      <c r="C15" s="1683"/>
      <c r="D15" s="1683"/>
      <c r="E15" s="154"/>
      <c r="F15" s="126"/>
      <c r="G15" s="138"/>
      <c r="H15" s="138"/>
      <c r="I15" s="829">
        <f t="shared" si="0"/>
        <v>0</v>
      </c>
    </row>
    <row r="16" spans="1:9" ht="17.25" customHeight="1">
      <c r="A16" s="1682"/>
      <c r="B16" s="1683"/>
      <c r="C16" s="1683"/>
      <c r="D16" s="1683"/>
      <c r="E16" s="154"/>
      <c r="F16" s="126"/>
      <c r="G16" s="138"/>
      <c r="H16" s="138"/>
      <c r="I16" s="829">
        <f t="shared" si="0"/>
        <v>0</v>
      </c>
    </row>
    <row r="17" spans="1:9" ht="28.5" customHeight="1">
      <c r="A17" s="1442" t="s">
        <v>1936</v>
      </c>
      <c r="B17" s="1443"/>
      <c r="C17" s="1443"/>
      <c r="D17" s="1443"/>
      <c r="E17" s="136"/>
      <c r="F17" s="109"/>
      <c r="G17" s="109"/>
      <c r="H17" s="109"/>
      <c r="I17" s="829"/>
    </row>
    <row r="18" spans="1:9" ht="17.25" customHeight="1">
      <c r="A18" s="1682"/>
      <c r="B18" s="1683"/>
      <c r="C18" s="1683"/>
      <c r="D18" s="1683"/>
      <c r="E18" s="154"/>
      <c r="F18" s="126"/>
      <c r="G18" s="138"/>
      <c r="H18" s="138"/>
      <c r="I18" s="829">
        <f t="shared" si="0"/>
        <v>0</v>
      </c>
    </row>
    <row r="19" spans="1:9" ht="17.25" customHeight="1">
      <c r="A19" s="1682"/>
      <c r="B19" s="1683"/>
      <c r="C19" s="1683"/>
      <c r="D19" s="1683"/>
      <c r="E19" s="154"/>
      <c r="F19" s="126"/>
      <c r="G19" s="138"/>
      <c r="H19" s="138"/>
      <c r="I19" s="829">
        <f t="shared" si="0"/>
        <v>0</v>
      </c>
    </row>
    <row r="20" spans="1:9" ht="17.25" customHeight="1">
      <c r="A20" s="1682"/>
      <c r="B20" s="1683"/>
      <c r="C20" s="1683"/>
      <c r="D20" s="1683"/>
      <c r="E20" s="154"/>
      <c r="F20" s="126"/>
      <c r="G20" s="138"/>
      <c r="H20" s="138"/>
      <c r="I20" s="829">
        <f t="shared" si="0"/>
        <v>0</v>
      </c>
    </row>
    <row r="21" spans="1:9" ht="17.25" customHeight="1">
      <c r="A21" s="1682"/>
      <c r="B21" s="1683"/>
      <c r="C21" s="1683"/>
      <c r="D21" s="1683"/>
      <c r="E21" s="154"/>
      <c r="F21" s="126"/>
      <c r="G21" s="138"/>
      <c r="H21" s="138"/>
      <c r="I21" s="829">
        <f t="shared" si="0"/>
        <v>0</v>
      </c>
    </row>
    <row r="22" spans="1:9" ht="17.25" customHeight="1">
      <c r="A22" s="1682"/>
      <c r="B22" s="1683"/>
      <c r="C22" s="1683"/>
      <c r="D22" s="1683"/>
      <c r="E22" s="154"/>
      <c r="F22" s="126"/>
      <c r="G22" s="138"/>
      <c r="H22" s="138"/>
      <c r="I22" s="829">
        <f t="shared" si="0"/>
        <v>0</v>
      </c>
    </row>
    <row r="23" spans="1:9" ht="17.25" customHeight="1">
      <c r="A23" s="1682"/>
      <c r="B23" s="1683"/>
      <c r="C23" s="1683"/>
      <c r="D23" s="1683"/>
      <c r="E23" s="154"/>
      <c r="F23" s="126"/>
      <c r="G23" s="138"/>
      <c r="H23" s="138"/>
      <c r="I23" s="829">
        <f t="shared" si="0"/>
        <v>0</v>
      </c>
    </row>
    <row r="24" spans="1:9" ht="17.25" customHeight="1" thickBot="1">
      <c r="A24" s="1684"/>
      <c r="B24" s="1685"/>
      <c r="C24" s="1685"/>
      <c r="D24" s="1685"/>
      <c r="E24" s="886"/>
      <c r="F24" s="862"/>
      <c r="G24" s="887"/>
      <c r="H24" s="887"/>
      <c r="I24" s="888">
        <f t="shared" si="0"/>
        <v>0</v>
      </c>
    </row>
    <row r="25" spans="1:9" s="3" customFormat="1" ht="27.75" customHeight="1">
      <c r="A25" s="1690" t="s">
        <v>1968</v>
      </c>
      <c r="B25" s="1690"/>
      <c r="C25" s="1690"/>
      <c r="D25" s="1690"/>
      <c r="E25" s="1690"/>
      <c r="F25" s="585"/>
      <c r="G25" s="586"/>
      <c r="H25" s="586"/>
      <c r="I25" s="587"/>
    </row>
    <row r="26" spans="1:9" ht="23.25" customHeight="1" thickBot="1">
      <c r="A26" s="1169" t="s">
        <v>632</v>
      </c>
      <c r="B26" s="1169"/>
      <c r="C26" s="1169"/>
      <c r="D26" s="1169"/>
      <c r="E26" s="1169"/>
      <c r="F26" s="1169"/>
      <c r="G26" s="1169"/>
      <c r="H26" s="1169"/>
      <c r="I26" s="1169"/>
    </row>
    <row r="27" spans="1:9" ht="27" customHeight="1">
      <c r="A27" s="1686" t="s">
        <v>525</v>
      </c>
      <c r="B27" s="1687"/>
      <c r="C27" s="1687"/>
      <c r="D27" s="1687"/>
      <c r="E27" s="1687"/>
      <c r="F27" s="1687"/>
      <c r="G27" s="882" t="s">
        <v>526</v>
      </c>
      <c r="H27" s="882" t="s">
        <v>527</v>
      </c>
      <c r="I27" s="884" t="s">
        <v>546</v>
      </c>
    </row>
    <row r="28" spans="1:9" ht="28.5" customHeight="1">
      <c r="A28" s="1442" t="s">
        <v>1937</v>
      </c>
      <c r="B28" s="1443"/>
      <c r="C28" s="1443"/>
      <c r="D28" s="1443"/>
      <c r="E28" s="1443"/>
      <c r="F28" s="1443"/>
      <c r="G28" s="109"/>
      <c r="H28" s="109"/>
      <c r="I28" s="829"/>
    </row>
    <row r="29" spans="1:9" ht="17.25" customHeight="1">
      <c r="A29" s="1688"/>
      <c r="B29" s="1689"/>
      <c r="C29" s="1689"/>
      <c r="D29" s="1689"/>
      <c r="E29" s="1689"/>
      <c r="F29" s="1689"/>
      <c r="G29" s="126"/>
      <c r="H29" s="126"/>
      <c r="I29" s="889" t="str">
        <f>IFERROR((G29-H29)/H29,"")</f>
        <v/>
      </c>
    </row>
    <row r="30" spans="1:9" ht="17.25" customHeight="1">
      <c r="A30" s="1688"/>
      <c r="B30" s="1689"/>
      <c r="C30" s="1689"/>
      <c r="D30" s="1689"/>
      <c r="E30" s="1689"/>
      <c r="F30" s="1689"/>
      <c r="G30" s="126"/>
      <c r="H30" s="126"/>
      <c r="I30" s="889" t="str">
        <f t="shared" ref="I30:I42" si="1">IFERROR((G30-H30)/H30,"")</f>
        <v/>
      </c>
    </row>
    <row r="31" spans="1:9" ht="17.25" customHeight="1">
      <c r="A31" s="1688"/>
      <c r="B31" s="1689"/>
      <c r="C31" s="1689"/>
      <c r="D31" s="1689"/>
      <c r="E31" s="1689"/>
      <c r="F31" s="1689"/>
      <c r="G31" s="126"/>
      <c r="H31" s="126"/>
      <c r="I31" s="889" t="str">
        <f t="shared" si="1"/>
        <v/>
      </c>
    </row>
    <row r="32" spans="1:9" ht="17.25" customHeight="1">
      <c r="A32" s="1688"/>
      <c r="B32" s="1689"/>
      <c r="C32" s="1689"/>
      <c r="D32" s="1689"/>
      <c r="E32" s="1689"/>
      <c r="F32" s="1689"/>
      <c r="G32" s="126"/>
      <c r="H32" s="126"/>
      <c r="I32" s="889" t="str">
        <f t="shared" si="1"/>
        <v/>
      </c>
    </row>
    <row r="33" spans="1:9" ht="17.25" customHeight="1">
      <c r="A33" s="1688"/>
      <c r="B33" s="1689"/>
      <c r="C33" s="1689"/>
      <c r="D33" s="1689"/>
      <c r="E33" s="1689"/>
      <c r="F33" s="1689"/>
      <c r="G33" s="126"/>
      <c r="H33" s="126"/>
      <c r="I33" s="889" t="str">
        <f t="shared" si="1"/>
        <v/>
      </c>
    </row>
    <row r="34" spans="1:9" ht="17.25" customHeight="1">
      <c r="A34" s="1688"/>
      <c r="B34" s="1689"/>
      <c r="C34" s="1689"/>
      <c r="D34" s="1689"/>
      <c r="E34" s="1689"/>
      <c r="F34" s="1689"/>
      <c r="G34" s="126"/>
      <c r="H34" s="126"/>
      <c r="I34" s="889" t="str">
        <f t="shared" si="1"/>
        <v/>
      </c>
    </row>
    <row r="35" spans="1:9" ht="28.5" customHeight="1">
      <c r="A35" s="1442" t="s">
        <v>1938</v>
      </c>
      <c r="B35" s="1443"/>
      <c r="C35" s="1443"/>
      <c r="D35" s="1443"/>
      <c r="E35" s="1443"/>
      <c r="F35" s="1443"/>
      <c r="G35" s="109"/>
      <c r="H35" s="109"/>
      <c r="I35" s="889"/>
    </row>
    <row r="36" spans="1:9" ht="17.25" customHeight="1">
      <c r="A36" s="1688"/>
      <c r="B36" s="1689"/>
      <c r="C36" s="1689"/>
      <c r="D36" s="1689"/>
      <c r="E36" s="1689"/>
      <c r="F36" s="1689"/>
      <c r="G36" s="126"/>
      <c r="H36" s="126"/>
      <c r="I36" s="889" t="str">
        <f t="shared" si="1"/>
        <v/>
      </c>
    </row>
    <row r="37" spans="1:9" ht="17.25" customHeight="1">
      <c r="A37" s="1688"/>
      <c r="B37" s="1689"/>
      <c r="C37" s="1689"/>
      <c r="D37" s="1689"/>
      <c r="E37" s="1689"/>
      <c r="F37" s="1689"/>
      <c r="G37" s="126"/>
      <c r="H37" s="126"/>
      <c r="I37" s="889" t="str">
        <f t="shared" si="1"/>
        <v/>
      </c>
    </row>
    <row r="38" spans="1:9" ht="17.25" customHeight="1">
      <c r="A38" s="1688"/>
      <c r="B38" s="1689"/>
      <c r="C38" s="1689"/>
      <c r="D38" s="1689"/>
      <c r="E38" s="1689"/>
      <c r="F38" s="1689"/>
      <c r="G38" s="126"/>
      <c r="H38" s="126"/>
      <c r="I38" s="889" t="str">
        <f t="shared" si="1"/>
        <v/>
      </c>
    </row>
    <row r="39" spans="1:9" ht="17.25" customHeight="1">
      <c r="A39" s="1688"/>
      <c r="B39" s="1689"/>
      <c r="C39" s="1689"/>
      <c r="D39" s="1689"/>
      <c r="E39" s="1689"/>
      <c r="F39" s="1689"/>
      <c r="G39" s="126"/>
      <c r="H39" s="126"/>
      <c r="I39" s="889" t="str">
        <f t="shared" si="1"/>
        <v/>
      </c>
    </row>
    <row r="40" spans="1:9" ht="17.25" customHeight="1">
      <c r="A40" s="1688"/>
      <c r="B40" s="1689"/>
      <c r="C40" s="1689"/>
      <c r="D40" s="1689"/>
      <c r="E40" s="1689"/>
      <c r="F40" s="1689"/>
      <c r="G40" s="126"/>
      <c r="H40" s="126"/>
      <c r="I40" s="889" t="str">
        <f t="shared" si="1"/>
        <v/>
      </c>
    </row>
    <row r="41" spans="1:9" ht="17.25" customHeight="1">
      <c r="A41" s="1688"/>
      <c r="B41" s="1689"/>
      <c r="C41" s="1689"/>
      <c r="D41" s="1689"/>
      <c r="E41" s="1689"/>
      <c r="F41" s="1689"/>
      <c r="G41" s="126"/>
      <c r="H41" s="126"/>
      <c r="I41" s="889" t="str">
        <f t="shared" si="1"/>
        <v/>
      </c>
    </row>
    <row r="42" spans="1:9" ht="17.25" customHeight="1" thickBot="1">
      <c r="A42" s="1693"/>
      <c r="B42" s="1694"/>
      <c r="C42" s="1694"/>
      <c r="D42" s="1694"/>
      <c r="E42" s="1694"/>
      <c r="F42" s="1694"/>
      <c r="G42" s="862"/>
      <c r="H42" s="862"/>
      <c r="I42" s="890" t="str">
        <f t="shared" si="1"/>
        <v/>
      </c>
    </row>
    <row r="43" spans="1:9" s="3" customFormat="1" ht="10.5">
      <c r="A43" s="1691" t="s">
        <v>1569</v>
      </c>
      <c r="B43" s="1692"/>
      <c r="C43" s="1692"/>
      <c r="D43" s="1692"/>
      <c r="E43" s="1692"/>
      <c r="F43" s="1692"/>
      <c r="G43" s="1692"/>
      <c r="H43" s="1692"/>
      <c r="I43" s="1692"/>
    </row>
    <row r="44" spans="1:9" s="3" customFormat="1" ht="10.5">
      <c r="A44" s="580" t="s">
        <v>1969</v>
      </c>
    </row>
  </sheetData>
  <sheetProtection selectLockedCells="1"/>
  <mergeCells count="43">
    <mergeCell ref="A16:D16"/>
    <mergeCell ref="A15:D15"/>
    <mergeCell ref="A8:I8"/>
    <mergeCell ref="A7:I7"/>
    <mergeCell ref="A1:I1"/>
    <mergeCell ref="H2:I2"/>
    <mergeCell ref="B4:G4"/>
    <mergeCell ref="C5:E5"/>
    <mergeCell ref="A9:D9"/>
    <mergeCell ref="A10:D10"/>
    <mergeCell ref="A11:D11"/>
    <mergeCell ref="A12:D12"/>
    <mergeCell ref="A13:D13"/>
    <mergeCell ref="A14:D14"/>
    <mergeCell ref="C6:E6"/>
    <mergeCell ref="C3:I3"/>
    <mergeCell ref="A17:D17"/>
    <mergeCell ref="A18:D18"/>
    <mergeCell ref="A19:D19"/>
    <mergeCell ref="A20:D20"/>
    <mergeCell ref="A21:D21"/>
    <mergeCell ref="A43:I43"/>
    <mergeCell ref="A42:F42"/>
    <mergeCell ref="A36:F36"/>
    <mergeCell ref="A37:F37"/>
    <mergeCell ref="A38:F38"/>
    <mergeCell ref="A39:F39"/>
    <mergeCell ref="A40:F40"/>
    <mergeCell ref="A41:F41"/>
    <mergeCell ref="A35:F35"/>
    <mergeCell ref="A22:D22"/>
    <mergeCell ref="A23:D23"/>
    <mergeCell ref="A24:D24"/>
    <mergeCell ref="A26:I26"/>
    <mergeCell ref="A27:F27"/>
    <mergeCell ref="A34:F34"/>
    <mergeCell ref="A32:F32"/>
    <mergeCell ref="A28:F28"/>
    <mergeCell ref="A29:F29"/>
    <mergeCell ref="A30:F30"/>
    <mergeCell ref="A31:F31"/>
    <mergeCell ref="A33:F33"/>
    <mergeCell ref="A25:E25"/>
  </mergeCells>
  <dataValidations count="2">
    <dataValidation type="whole" allowBlank="1" showInputMessage="1" showErrorMessage="1" errorTitle="Attention!" error="Valeur numérique attendue" sqref="A1:I1 G29:H42 F10:F24 G10:H10 G17:H17" xr:uid="{00000000-0002-0000-1F00-000000000000}">
      <formula1>-9999999999999</formula1>
      <formula2>9999999999999</formula2>
    </dataValidation>
    <dataValidation type="decimal" allowBlank="1" showInputMessage="1" showErrorMessage="1" errorTitle="Attention!" error="Valeur numérique attendue" sqref="G11:H16 G18:H24" xr:uid="{00000000-0002-0000-1F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4">
    <pageSetUpPr fitToPage="1"/>
  </sheetPr>
  <dimension ref="A1:L34"/>
  <sheetViews>
    <sheetView showGridLines="0" workbookViewId="0">
      <selection activeCell="A7" sqref="A7:L26"/>
    </sheetView>
  </sheetViews>
  <sheetFormatPr baseColWidth="10" defaultRowHeight="14.5"/>
  <cols>
    <col min="2" max="2" width="16.54296875" customWidth="1"/>
    <col min="3" max="3" width="2.54296875" customWidth="1"/>
    <col min="4" max="4" width="5.453125" customWidth="1"/>
    <col min="5" max="5" width="11.453125" customWidth="1"/>
    <col min="6" max="7" width="11.54296875" customWidth="1"/>
    <col min="8" max="8" width="12.1796875" customWidth="1"/>
    <col min="9" max="9" width="13.54296875" customWidth="1"/>
    <col min="10" max="10" width="10.453125" customWidth="1"/>
    <col min="11" max="12" width="13" customWidth="1"/>
    <col min="13" max="13" width="3.453125" customWidth="1"/>
  </cols>
  <sheetData>
    <row r="1" spans="1:12">
      <c r="A1" s="1134" t="s">
        <v>183</v>
      </c>
      <c r="B1" s="1134"/>
      <c r="C1" s="1134"/>
      <c r="D1" s="1134"/>
      <c r="E1" s="1134"/>
      <c r="F1" s="1134"/>
      <c r="G1" s="1134"/>
      <c r="H1" s="1134"/>
      <c r="I1" s="1134"/>
      <c r="J1" s="1134"/>
      <c r="K1" s="1134"/>
      <c r="L1" s="1134"/>
    </row>
    <row r="2" spans="1:12" ht="24" customHeight="1">
      <c r="A2" s="40"/>
      <c r="B2" s="40"/>
      <c r="C2" s="40"/>
      <c r="D2" s="40"/>
      <c r="E2" s="40"/>
      <c r="F2" s="40"/>
      <c r="G2" s="40"/>
      <c r="H2" s="40"/>
      <c r="I2" s="40"/>
      <c r="J2" s="40"/>
      <c r="K2" s="1135" t="s">
        <v>1660</v>
      </c>
      <c r="L2" s="1460"/>
    </row>
    <row r="3" spans="1:12" s="132" customFormat="1" ht="15" customHeight="1">
      <c r="A3" s="7" t="s">
        <v>26</v>
      </c>
      <c r="B3" s="7"/>
      <c r="C3" s="1221">
        <f>'NOTE 11'!C3</f>
        <v>0</v>
      </c>
      <c r="D3" s="1221"/>
      <c r="E3" s="1221"/>
      <c r="F3" s="1221"/>
      <c r="G3" s="1221"/>
      <c r="H3" s="1221"/>
      <c r="I3" s="1221"/>
      <c r="J3" s="1221"/>
      <c r="K3" s="1221"/>
      <c r="L3" s="1221"/>
    </row>
    <row r="4" spans="1:12" s="132" customFormat="1" ht="15" customHeight="1">
      <c r="A4" s="7" t="s">
        <v>27</v>
      </c>
      <c r="B4" s="1221">
        <f>'NOTE 11'!B4</f>
        <v>0</v>
      </c>
      <c r="C4" s="1223"/>
      <c r="D4" s="1223"/>
      <c r="E4" s="1223"/>
      <c r="F4" s="1223"/>
      <c r="G4" s="1223"/>
      <c r="H4" s="1223"/>
      <c r="I4" s="1223"/>
      <c r="J4" s="1223"/>
      <c r="K4" s="61" t="s">
        <v>28</v>
      </c>
      <c r="L4" s="44">
        <f>'NOTE 11'!I4</f>
        <v>0</v>
      </c>
    </row>
    <row r="5" spans="1:12" s="132" customFormat="1" ht="15" customHeight="1">
      <c r="A5" s="7" t="s">
        <v>2021</v>
      </c>
      <c r="B5" s="7"/>
      <c r="C5" s="1223">
        <f>'NOTE 11'!C5</f>
        <v>0</v>
      </c>
      <c r="D5" s="1223"/>
      <c r="E5" s="1223"/>
      <c r="F5" s="1223"/>
      <c r="G5" s="1223"/>
      <c r="H5" s="1223"/>
      <c r="I5" s="30" t="s">
        <v>30</v>
      </c>
      <c r="J5" s="365">
        <f>'NOTE 11'!F5</f>
        <v>0</v>
      </c>
      <c r="K5" s="114" t="s">
        <v>31</v>
      </c>
      <c r="L5" s="111">
        <f>'NOTE 11'!I5</f>
        <v>0</v>
      </c>
    </row>
    <row r="6" spans="1:12" s="132" customFormat="1" ht="15" customHeight="1" thickBot="1">
      <c r="A6" s="7" t="s">
        <v>2024</v>
      </c>
      <c r="B6" s="7"/>
      <c r="C6" s="1560">
        <f>'NOTE 11'!C6</f>
        <v>0</v>
      </c>
      <c r="D6" s="1560"/>
      <c r="E6" s="1560"/>
      <c r="F6" s="1560"/>
      <c r="G6" s="1560"/>
      <c r="H6" s="1560"/>
      <c r="I6" s="43"/>
      <c r="J6" s="244"/>
      <c r="K6" s="61"/>
      <c r="L6" s="244"/>
    </row>
    <row r="7" spans="1:12" ht="33.65" customHeight="1" thickBot="1">
      <c r="A7" s="1697" t="s">
        <v>1532</v>
      </c>
      <c r="B7" s="1698"/>
      <c r="C7" s="1698"/>
      <c r="D7" s="1698"/>
      <c r="E7" s="1698"/>
      <c r="F7" s="1698"/>
      <c r="G7" s="1698"/>
      <c r="H7" s="1698"/>
      <c r="I7" s="1698"/>
      <c r="J7" s="1698"/>
      <c r="K7" s="1698"/>
      <c r="L7" s="1699"/>
    </row>
    <row r="8" spans="1:12" ht="1.75" hidden="1" customHeight="1">
      <c r="A8" s="891"/>
      <c r="B8" s="127"/>
      <c r="C8" s="127"/>
      <c r="D8" s="139"/>
      <c r="E8" s="139"/>
      <c r="F8" s="139"/>
      <c r="G8" s="139"/>
      <c r="H8" s="139"/>
      <c r="I8" s="1700" t="s">
        <v>633</v>
      </c>
      <c r="J8" s="1700"/>
      <c r="K8" s="1701"/>
      <c r="L8" s="892"/>
    </row>
    <row r="9" spans="1:12" s="3" customFormat="1" ht="59.25" customHeight="1">
      <c r="A9" s="1706" t="s">
        <v>1570</v>
      </c>
      <c r="B9" s="1378"/>
      <c r="C9" s="1378"/>
      <c r="D9" s="1378"/>
      <c r="E9" s="308" t="s">
        <v>1572</v>
      </c>
      <c r="F9" s="308" t="s">
        <v>634</v>
      </c>
      <c r="G9" s="308" t="s">
        <v>1571</v>
      </c>
      <c r="H9" s="308" t="s">
        <v>1573</v>
      </c>
      <c r="I9" s="308" t="s">
        <v>635</v>
      </c>
      <c r="J9" s="308" t="s">
        <v>636</v>
      </c>
      <c r="K9" s="308" t="s">
        <v>637</v>
      </c>
      <c r="L9" s="788" t="s">
        <v>638</v>
      </c>
    </row>
    <row r="10" spans="1:12" ht="16" customHeight="1">
      <c r="A10" s="1695"/>
      <c r="B10" s="1696"/>
      <c r="C10" s="1696"/>
      <c r="D10" s="1696"/>
      <c r="E10" s="553"/>
      <c r="F10" s="553"/>
      <c r="G10" s="554"/>
      <c r="H10" s="554"/>
      <c r="I10" s="555"/>
      <c r="J10" s="556"/>
      <c r="K10" s="557">
        <f>L8*J10</f>
        <v>0</v>
      </c>
      <c r="L10" s="893"/>
    </row>
    <row r="11" spans="1:12" ht="16" customHeight="1">
      <c r="A11" s="1695"/>
      <c r="B11" s="1696"/>
      <c r="C11" s="1696"/>
      <c r="D11" s="1696"/>
      <c r="E11" s="553"/>
      <c r="F11" s="553"/>
      <c r="G11" s="554"/>
      <c r="H11" s="554"/>
      <c r="I11" s="555"/>
      <c r="J11" s="556"/>
      <c r="K11" s="557">
        <f>L8*J11</f>
        <v>0</v>
      </c>
      <c r="L11" s="893"/>
    </row>
    <row r="12" spans="1:12" ht="16" customHeight="1">
      <c r="A12" s="1695"/>
      <c r="B12" s="1696"/>
      <c r="C12" s="1696"/>
      <c r="D12" s="1696"/>
      <c r="E12" s="553"/>
      <c r="F12" s="553"/>
      <c r="G12" s="554"/>
      <c r="H12" s="554"/>
      <c r="I12" s="555"/>
      <c r="J12" s="556"/>
      <c r="K12" s="557">
        <f>L8*J12</f>
        <v>0</v>
      </c>
      <c r="L12" s="893"/>
    </row>
    <row r="13" spans="1:12" ht="16" customHeight="1">
      <c r="A13" s="1695"/>
      <c r="B13" s="1696"/>
      <c r="C13" s="1696"/>
      <c r="D13" s="1696"/>
      <c r="E13" s="553"/>
      <c r="F13" s="553"/>
      <c r="G13" s="554"/>
      <c r="H13" s="554"/>
      <c r="I13" s="555"/>
      <c r="J13" s="556"/>
      <c r="K13" s="557">
        <f>L8*J13</f>
        <v>0</v>
      </c>
      <c r="L13" s="893"/>
    </row>
    <row r="14" spans="1:12" ht="16" customHeight="1">
      <c r="A14" s="1695"/>
      <c r="B14" s="1696"/>
      <c r="C14" s="1696"/>
      <c r="D14" s="1696"/>
      <c r="E14" s="553"/>
      <c r="F14" s="553"/>
      <c r="G14" s="554"/>
      <c r="H14" s="554"/>
      <c r="I14" s="555"/>
      <c r="J14" s="556"/>
      <c r="K14" s="557">
        <f>L8*J14</f>
        <v>0</v>
      </c>
      <c r="L14" s="893"/>
    </row>
    <row r="15" spans="1:12" ht="16" customHeight="1">
      <c r="A15" s="1695"/>
      <c r="B15" s="1696"/>
      <c r="C15" s="1696"/>
      <c r="D15" s="1696"/>
      <c r="E15" s="553"/>
      <c r="F15" s="553"/>
      <c r="G15" s="554"/>
      <c r="H15" s="554"/>
      <c r="I15" s="555"/>
      <c r="J15" s="556"/>
      <c r="K15" s="557">
        <f>L8*J15</f>
        <v>0</v>
      </c>
      <c r="L15" s="893"/>
    </row>
    <row r="16" spans="1:12" ht="16" customHeight="1">
      <c r="A16" s="1695"/>
      <c r="B16" s="1696"/>
      <c r="C16" s="1696"/>
      <c r="D16" s="1696"/>
      <c r="E16" s="553"/>
      <c r="F16" s="553"/>
      <c r="G16" s="554"/>
      <c r="H16" s="554"/>
      <c r="I16" s="555"/>
      <c r="J16" s="556"/>
      <c r="K16" s="557">
        <f>L8*J16</f>
        <v>0</v>
      </c>
      <c r="L16" s="893"/>
    </row>
    <row r="17" spans="1:12" ht="16" customHeight="1">
      <c r="A17" s="1695"/>
      <c r="B17" s="1696"/>
      <c r="C17" s="1696"/>
      <c r="D17" s="1696"/>
      <c r="E17" s="553"/>
      <c r="F17" s="553"/>
      <c r="G17" s="554"/>
      <c r="H17" s="554"/>
      <c r="I17" s="555"/>
      <c r="J17" s="556"/>
      <c r="K17" s="557">
        <f>L8*J17</f>
        <v>0</v>
      </c>
      <c r="L17" s="893"/>
    </row>
    <row r="18" spans="1:12" ht="16" customHeight="1">
      <c r="A18" s="1695"/>
      <c r="B18" s="1696"/>
      <c r="C18" s="1696"/>
      <c r="D18" s="1696"/>
      <c r="E18" s="553"/>
      <c r="F18" s="553"/>
      <c r="G18" s="554"/>
      <c r="H18" s="554"/>
      <c r="I18" s="555"/>
      <c r="J18" s="556"/>
      <c r="K18" s="557">
        <f>L8*J18</f>
        <v>0</v>
      </c>
      <c r="L18" s="893"/>
    </row>
    <row r="19" spans="1:12" ht="16" customHeight="1">
      <c r="A19" s="1695"/>
      <c r="B19" s="1696"/>
      <c r="C19" s="1696"/>
      <c r="D19" s="1696"/>
      <c r="E19" s="553"/>
      <c r="F19" s="553"/>
      <c r="G19" s="554"/>
      <c r="H19" s="554"/>
      <c r="I19" s="555"/>
      <c r="J19" s="556"/>
      <c r="K19" s="557">
        <f>L8*J19</f>
        <v>0</v>
      </c>
      <c r="L19" s="893"/>
    </row>
    <row r="20" spans="1:12" ht="16" customHeight="1">
      <c r="A20" s="1695"/>
      <c r="B20" s="1696"/>
      <c r="C20" s="1696"/>
      <c r="D20" s="1696"/>
      <c r="E20" s="553"/>
      <c r="F20" s="553"/>
      <c r="G20" s="554"/>
      <c r="H20" s="554"/>
      <c r="I20" s="555"/>
      <c r="J20" s="556"/>
      <c r="K20" s="557">
        <f>L8*J20</f>
        <v>0</v>
      </c>
      <c r="L20" s="893"/>
    </row>
    <row r="21" spans="1:12" ht="16" customHeight="1">
      <c r="A21" s="1695"/>
      <c r="B21" s="1696"/>
      <c r="C21" s="1696"/>
      <c r="D21" s="1696"/>
      <c r="E21" s="553"/>
      <c r="F21" s="553"/>
      <c r="G21" s="554"/>
      <c r="H21" s="554"/>
      <c r="I21" s="555"/>
      <c r="J21" s="556"/>
      <c r="K21" s="557">
        <f>L8*J21</f>
        <v>0</v>
      </c>
      <c r="L21" s="893"/>
    </row>
    <row r="22" spans="1:12" ht="16" customHeight="1">
      <c r="A22" s="1695"/>
      <c r="B22" s="1696"/>
      <c r="C22" s="1696"/>
      <c r="D22" s="1696"/>
      <c r="E22" s="553"/>
      <c r="F22" s="553"/>
      <c r="G22" s="554"/>
      <c r="H22" s="554"/>
      <c r="I22" s="555"/>
      <c r="J22" s="556"/>
      <c r="K22" s="557">
        <f>L8*J22</f>
        <v>0</v>
      </c>
      <c r="L22" s="893"/>
    </row>
    <row r="23" spans="1:12" ht="16" customHeight="1">
      <c r="A23" s="1695"/>
      <c r="B23" s="1696"/>
      <c r="C23" s="1696"/>
      <c r="D23" s="1696"/>
      <c r="E23" s="553"/>
      <c r="F23" s="553"/>
      <c r="G23" s="554"/>
      <c r="H23" s="554"/>
      <c r="I23" s="555"/>
      <c r="J23" s="556"/>
      <c r="K23" s="557">
        <f>L8*J23</f>
        <v>0</v>
      </c>
      <c r="L23" s="893"/>
    </row>
    <row r="24" spans="1:12" ht="16" customHeight="1">
      <c r="A24" s="1695"/>
      <c r="B24" s="1696"/>
      <c r="C24" s="1696"/>
      <c r="D24" s="1696"/>
      <c r="E24" s="553"/>
      <c r="F24" s="553"/>
      <c r="G24" s="554"/>
      <c r="H24" s="554"/>
      <c r="I24" s="555"/>
      <c r="J24" s="556"/>
      <c r="K24" s="557">
        <f>L8*J24</f>
        <v>0</v>
      </c>
      <c r="L24" s="893"/>
    </row>
    <row r="25" spans="1:12" ht="16" customHeight="1">
      <c r="A25" s="1707" t="s">
        <v>639</v>
      </c>
      <c r="B25" s="1708"/>
      <c r="C25" s="1708"/>
      <c r="D25" s="1708"/>
      <c r="E25" s="553"/>
      <c r="F25" s="553"/>
      <c r="G25" s="310"/>
      <c r="H25" s="310"/>
      <c r="I25" s="311"/>
      <c r="J25" s="558"/>
      <c r="K25" s="152"/>
      <c r="L25" s="894"/>
    </row>
    <row r="26" spans="1:12" ht="16" customHeight="1" thickBot="1">
      <c r="A26" s="1702" t="s">
        <v>480</v>
      </c>
      <c r="B26" s="1703"/>
      <c r="C26" s="1703"/>
      <c r="D26" s="1703"/>
      <c r="E26" s="1703"/>
      <c r="F26" s="1703"/>
      <c r="G26" s="1703"/>
      <c r="H26" s="1704"/>
      <c r="I26" s="1705"/>
      <c r="J26" s="895"/>
      <c r="K26" s="896">
        <f>SUM(K10:K25)</f>
        <v>0</v>
      </c>
      <c r="L26" s="897"/>
    </row>
    <row r="27" spans="1:12" s="3" customFormat="1" ht="10.5">
      <c r="A27" s="581" t="s">
        <v>1792</v>
      </c>
    </row>
    <row r="28" spans="1:12" s="3" customFormat="1" ht="11.25" customHeight="1">
      <c r="A28" s="641" t="s">
        <v>1970</v>
      </c>
      <c r="I28" s="642" t="s">
        <v>1799</v>
      </c>
    </row>
    <row r="29" spans="1:12" s="3" customFormat="1" ht="11.25" customHeight="1">
      <c r="A29" s="637" t="s">
        <v>1694</v>
      </c>
      <c r="I29" s="643" t="s">
        <v>1800</v>
      </c>
    </row>
    <row r="30" spans="1:12" s="3" customFormat="1" ht="11.25" customHeight="1">
      <c r="A30" s="641" t="s">
        <v>1971</v>
      </c>
      <c r="I30" s="644" t="s">
        <v>1802</v>
      </c>
    </row>
    <row r="31" spans="1:12" s="3" customFormat="1" ht="11.25" customHeight="1">
      <c r="A31" s="641" t="s">
        <v>1972</v>
      </c>
      <c r="I31" s="644" t="s">
        <v>1801</v>
      </c>
    </row>
    <row r="32" spans="1:12" s="3" customFormat="1" ht="11.25" customHeight="1">
      <c r="A32" s="641" t="s">
        <v>1973</v>
      </c>
      <c r="I32" s="644" t="s">
        <v>1803</v>
      </c>
    </row>
    <row r="33" spans="9:9" s="3" customFormat="1" ht="10.5">
      <c r="I33" s="644" t="s">
        <v>1974</v>
      </c>
    </row>
    <row r="34" spans="9:9" s="3" customFormat="1" ht="10.5">
      <c r="I34" s="644" t="s">
        <v>1804</v>
      </c>
    </row>
  </sheetData>
  <sheetProtection selectLockedCells="1"/>
  <mergeCells count="26">
    <mergeCell ref="A26:I26"/>
    <mergeCell ref="A14:D14"/>
    <mergeCell ref="A15:D15"/>
    <mergeCell ref="A9:D9"/>
    <mergeCell ref="A10:D10"/>
    <mergeCell ref="A11:D11"/>
    <mergeCell ref="A12:D12"/>
    <mergeCell ref="A25:D25"/>
    <mergeCell ref="A23:D23"/>
    <mergeCell ref="A16:D16"/>
    <mergeCell ref="A17:D17"/>
    <mergeCell ref="A18:D18"/>
    <mergeCell ref="A19:D19"/>
    <mergeCell ref="A20:D20"/>
    <mergeCell ref="A21:D21"/>
    <mergeCell ref="A22:D22"/>
    <mergeCell ref="A24:D24"/>
    <mergeCell ref="A13:D13"/>
    <mergeCell ref="A1:L1"/>
    <mergeCell ref="K2:L2"/>
    <mergeCell ref="C3:L3"/>
    <mergeCell ref="B4:J4"/>
    <mergeCell ref="A7:L7"/>
    <mergeCell ref="C6:H6"/>
    <mergeCell ref="C5:H5"/>
    <mergeCell ref="I8:K8"/>
  </mergeCells>
  <dataValidations count="2">
    <dataValidation type="whole" errorStyle="information" allowBlank="1" showErrorMessage="1" errorTitle="Valeur erronée" error="Valeur numérique attendue" sqref="K26 L10:L24" xr:uid="{00000000-0002-0000-2000-000000000000}">
      <formula1>-9999999999999</formula1>
      <formula2>9999999999999</formula2>
    </dataValidation>
    <dataValidation type="whole" errorStyle="information" allowBlank="1" showErrorMessage="1" errorTitle="Attention!" error="Valeur numérique attendue" sqref="J10:J24 K10:K25" xr:uid="{00000000-0002-0000-20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1"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5">
    <pageSetUpPr fitToPage="1"/>
  </sheetPr>
  <dimension ref="A1:H27"/>
  <sheetViews>
    <sheetView showGridLines="0" topLeftCell="A7" workbookViewId="0">
      <selection activeCell="A8" sqref="A8:H22"/>
    </sheetView>
  </sheetViews>
  <sheetFormatPr baseColWidth="10" defaultRowHeight="14.5"/>
  <cols>
    <col min="2" max="2" width="17" customWidth="1"/>
    <col min="4" max="4" width="2.1796875" customWidth="1"/>
    <col min="5" max="5" width="13.81640625" customWidth="1"/>
    <col min="6" max="8" width="15.54296875" customWidth="1"/>
  </cols>
  <sheetData>
    <row r="1" spans="1:8">
      <c r="A1" s="1134" t="s">
        <v>183</v>
      </c>
      <c r="B1" s="1134"/>
      <c r="C1" s="1134"/>
      <c r="D1" s="1134"/>
      <c r="E1" s="1134"/>
      <c r="F1" s="1134"/>
      <c r="G1" s="1134"/>
      <c r="H1" s="1134"/>
    </row>
    <row r="2" spans="1:8" ht="25" customHeight="1">
      <c r="A2" s="40"/>
      <c r="B2" s="40"/>
      <c r="C2" s="40"/>
      <c r="D2" s="40"/>
      <c r="E2" s="40"/>
      <c r="F2" s="40"/>
      <c r="G2" s="1135" t="s">
        <v>1659</v>
      </c>
      <c r="H2" s="1460"/>
    </row>
    <row r="3" spans="1:8" s="132" customFormat="1" ht="15" customHeight="1">
      <c r="A3" s="7" t="s">
        <v>26</v>
      </c>
      <c r="B3" s="7"/>
      <c r="C3" s="1221">
        <f>'NOTE 11'!C3</f>
        <v>0</v>
      </c>
      <c r="D3" s="1221"/>
      <c r="E3" s="1221"/>
      <c r="F3" s="1221"/>
      <c r="G3" s="1221"/>
      <c r="H3" s="1221"/>
    </row>
    <row r="4" spans="1:8" s="132" customFormat="1" ht="15" customHeight="1">
      <c r="A4" s="7" t="s">
        <v>27</v>
      </c>
      <c r="B4" s="1221">
        <f>'NOTE 11'!B4</f>
        <v>0</v>
      </c>
      <c r="C4" s="1223"/>
      <c r="D4" s="1223"/>
      <c r="E4" s="1223"/>
      <c r="F4" s="1223"/>
      <c r="G4" s="61" t="s">
        <v>28</v>
      </c>
      <c r="H4" s="44">
        <f>'NOTE 11'!I4</f>
        <v>0</v>
      </c>
    </row>
    <row r="5" spans="1:8" s="132" customFormat="1" ht="15" customHeight="1">
      <c r="A5" s="7" t="s">
        <v>2021</v>
      </c>
      <c r="B5" s="7"/>
      <c r="C5" s="1223">
        <f>'NOTE 11'!C5</f>
        <v>0</v>
      </c>
      <c r="D5" s="1223"/>
      <c r="E5" s="43" t="s">
        <v>30</v>
      </c>
      <c r="F5" s="365">
        <f>'NOTE 11'!F5</f>
        <v>0</v>
      </c>
      <c r="G5" s="61" t="s">
        <v>31</v>
      </c>
      <c r="H5" s="111">
        <f>'NOTE 11'!I5</f>
        <v>0</v>
      </c>
    </row>
    <row r="6" spans="1:8" s="132" customFormat="1" ht="15" customHeight="1">
      <c r="A6" s="7" t="s">
        <v>2024</v>
      </c>
      <c r="B6" s="7"/>
      <c r="C6" s="1158">
        <f>'NOTE 11'!C6</f>
        <v>0</v>
      </c>
      <c r="D6" s="1158"/>
      <c r="E6" s="1158"/>
      <c r="F6" s="44"/>
      <c r="G6" s="263"/>
      <c r="H6" s="44"/>
    </row>
    <row r="7" spans="1:8" ht="35.15" customHeight="1" thickBot="1">
      <c r="A7" s="1169" t="s">
        <v>1533</v>
      </c>
      <c r="B7" s="1169"/>
      <c r="C7" s="1169"/>
      <c r="D7" s="1169"/>
      <c r="E7" s="1169"/>
      <c r="F7" s="1169"/>
      <c r="G7" s="1169"/>
      <c r="H7" s="1169"/>
    </row>
    <row r="8" spans="1:8" ht="34.5" customHeight="1">
      <c r="A8" s="1686" t="s">
        <v>525</v>
      </c>
      <c r="B8" s="1687"/>
      <c r="C8" s="1687"/>
      <c r="D8" s="1687"/>
      <c r="E8" s="1687"/>
      <c r="F8" s="882" t="s">
        <v>526</v>
      </c>
      <c r="G8" s="882" t="s">
        <v>527</v>
      </c>
      <c r="H8" s="884" t="s">
        <v>640</v>
      </c>
    </row>
    <row r="9" spans="1:8" ht="17.149999999999999" customHeight="1">
      <c r="A9" s="1442" t="s">
        <v>642</v>
      </c>
      <c r="B9" s="1443"/>
      <c r="C9" s="1443"/>
      <c r="D9" s="1443"/>
      <c r="E9" s="1443"/>
      <c r="F9" s="126"/>
      <c r="G9" s="126"/>
      <c r="H9" s="829">
        <f>ABS(F9-G9)</f>
        <v>0</v>
      </c>
    </row>
    <row r="10" spans="1:8" ht="17.149999999999999" customHeight="1">
      <c r="A10" s="1442" t="s">
        <v>641</v>
      </c>
      <c r="B10" s="1443"/>
      <c r="C10" s="1443"/>
      <c r="D10" s="1443"/>
      <c r="E10" s="1443"/>
      <c r="F10" s="126"/>
      <c r="G10" s="126"/>
      <c r="H10" s="829">
        <f t="shared" ref="H10:H13" si="0">ABS(F10-G10)</f>
        <v>0</v>
      </c>
    </row>
    <row r="11" spans="1:8" ht="17.149999999999999" customHeight="1">
      <c r="A11" s="1442" t="s">
        <v>643</v>
      </c>
      <c r="B11" s="1443"/>
      <c r="C11" s="1443"/>
      <c r="D11" s="1443"/>
      <c r="E11" s="1443"/>
      <c r="F11" s="126"/>
      <c r="G11" s="126"/>
      <c r="H11" s="829">
        <f t="shared" si="0"/>
        <v>0</v>
      </c>
    </row>
    <row r="12" spans="1:8" ht="17.149999999999999" customHeight="1">
      <c r="A12" s="1442" t="s">
        <v>644</v>
      </c>
      <c r="B12" s="1443"/>
      <c r="C12" s="1443"/>
      <c r="D12" s="1443"/>
      <c r="E12" s="1443"/>
      <c r="F12" s="126"/>
      <c r="G12" s="126"/>
      <c r="H12" s="829">
        <f t="shared" si="0"/>
        <v>0</v>
      </c>
    </row>
    <row r="13" spans="1:8" ht="17.149999999999999" customHeight="1">
      <c r="A13" s="1442" t="s">
        <v>645</v>
      </c>
      <c r="B13" s="1443"/>
      <c r="C13" s="1443"/>
      <c r="D13" s="1443"/>
      <c r="E13" s="1443"/>
      <c r="F13" s="126"/>
      <c r="G13" s="126"/>
      <c r="H13" s="829">
        <f t="shared" si="0"/>
        <v>0</v>
      </c>
    </row>
    <row r="14" spans="1:8" ht="17.149999999999999" customHeight="1">
      <c r="A14" s="1612" t="s">
        <v>646</v>
      </c>
      <c r="B14" s="1613"/>
      <c r="C14" s="1613"/>
      <c r="D14" s="1613"/>
      <c r="E14" s="1613"/>
      <c r="F14" s="108">
        <f>SUM(F9:F13)</f>
        <v>0</v>
      </c>
      <c r="G14" s="108">
        <f t="shared" ref="G14" si="1">SUM(G9:G13)</f>
        <v>0</v>
      </c>
      <c r="H14" s="872">
        <f>ABS(F14-G14)</f>
        <v>0</v>
      </c>
    </row>
    <row r="15" spans="1:8" ht="17.149999999999999" customHeight="1">
      <c r="A15" s="1442" t="s">
        <v>647</v>
      </c>
      <c r="B15" s="1443"/>
      <c r="C15" s="1443"/>
      <c r="D15" s="1443"/>
      <c r="E15" s="1443"/>
      <c r="F15" s="126"/>
      <c r="G15" s="126"/>
      <c r="H15" s="829">
        <f>ABS(F15-G15)</f>
        <v>0</v>
      </c>
    </row>
    <row r="16" spans="1:8" ht="17.149999999999999" customHeight="1">
      <c r="A16" s="1442" t="s">
        <v>648</v>
      </c>
      <c r="B16" s="1443"/>
      <c r="C16" s="1443"/>
      <c r="D16" s="1443"/>
      <c r="E16" s="1443"/>
      <c r="F16" s="126"/>
      <c r="G16" s="126"/>
      <c r="H16" s="829">
        <f t="shared" ref="H16:H19" si="2">ABS(F16-G16)</f>
        <v>0</v>
      </c>
    </row>
    <row r="17" spans="1:8" ht="17.149999999999999" customHeight="1">
      <c r="A17" s="1442" t="s">
        <v>649</v>
      </c>
      <c r="B17" s="1443"/>
      <c r="C17" s="1443"/>
      <c r="D17" s="1443"/>
      <c r="E17" s="1443"/>
      <c r="F17" s="126"/>
      <c r="G17" s="126"/>
      <c r="H17" s="829">
        <f t="shared" si="2"/>
        <v>0</v>
      </c>
    </row>
    <row r="18" spans="1:8" ht="30" customHeight="1">
      <c r="A18" s="1442" t="s">
        <v>650</v>
      </c>
      <c r="B18" s="1443"/>
      <c r="C18" s="1443"/>
      <c r="D18" s="1443"/>
      <c r="E18" s="1443"/>
      <c r="F18" s="126"/>
      <c r="G18" s="126"/>
      <c r="H18" s="829">
        <f t="shared" si="2"/>
        <v>0</v>
      </c>
    </row>
    <row r="19" spans="1:8" ht="17.149999999999999" customHeight="1">
      <c r="A19" s="1442" t="s">
        <v>651</v>
      </c>
      <c r="B19" s="1443"/>
      <c r="C19" s="1443"/>
      <c r="D19" s="1443"/>
      <c r="E19" s="1443"/>
      <c r="F19" s="126"/>
      <c r="G19" s="126"/>
      <c r="H19" s="829">
        <f t="shared" si="2"/>
        <v>0</v>
      </c>
    </row>
    <row r="20" spans="1:8" ht="17.149999999999999" customHeight="1">
      <c r="A20" s="1612" t="s">
        <v>652</v>
      </c>
      <c r="B20" s="1613"/>
      <c r="C20" s="1613"/>
      <c r="D20" s="1613"/>
      <c r="E20" s="1613"/>
      <c r="F20" s="108">
        <f>SUM(F15:F19)</f>
        <v>0</v>
      </c>
      <c r="G20" s="108">
        <f t="shared" ref="G20" si="3">SUM(G15:G19)</f>
        <v>0</v>
      </c>
      <c r="H20" s="872">
        <f>ABS(F20-G20)</f>
        <v>0</v>
      </c>
    </row>
    <row r="21" spans="1:8" ht="17.149999999999999" customHeight="1">
      <c r="A21" s="1707" t="s">
        <v>221</v>
      </c>
      <c r="B21" s="1708"/>
      <c r="C21" s="1708"/>
      <c r="D21" s="1708"/>
      <c r="E21" s="1708"/>
      <c r="F21" s="140"/>
      <c r="G21" s="140"/>
      <c r="H21" s="898">
        <f>ABS(F21-G21)</f>
        <v>0</v>
      </c>
    </row>
    <row r="22" spans="1:8" ht="17.149999999999999" customHeight="1" thickBot="1">
      <c r="A22" s="1709" t="s">
        <v>1574</v>
      </c>
      <c r="B22" s="1710"/>
      <c r="C22" s="1710"/>
      <c r="D22" s="1710"/>
      <c r="E22" s="1710"/>
      <c r="F22" s="899"/>
      <c r="G22" s="899"/>
      <c r="H22" s="900">
        <f>ABS(F22-G22)</f>
        <v>0</v>
      </c>
    </row>
    <row r="23" spans="1:8" s="3" customFormat="1" ht="10.5">
      <c r="A23" s="581" t="s">
        <v>1791</v>
      </c>
    </row>
    <row r="24" spans="1:8" s="3" customFormat="1" ht="12" customHeight="1">
      <c r="A24" s="641" t="s">
        <v>1975</v>
      </c>
    </row>
    <row r="25" spans="1:8" s="3" customFormat="1" ht="12" customHeight="1">
      <c r="A25" s="641" t="s">
        <v>1976</v>
      </c>
    </row>
    <row r="26" spans="1:8" s="3" customFormat="1" ht="12" customHeight="1">
      <c r="A26" s="641" t="s">
        <v>1977</v>
      </c>
    </row>
    <row r="27" spans="1:8" s="3" customFormat="1" ht="12" customHeight="1">
      <c r="A27" s="641" t="s">
        <v>1978</v>
      </c>
    </row>
  </sheetData>
  <sheetProtection selectLockedCells="1"/>
  <mergeCells count="22">
    <mergeCell ref="A22:E22"/>
    <mergeCell ref="A14:E14"/>
    <mergeCell ref="A15:E15"/>
    <mergeCell ref="A1:H1"/>
    <mergeCell ref="G2:H2"/>
    <mergeCell ref="C3:H3"/>
    <mergeCell ref="B4:F4"/>
    <mergeCell ref="C5:D5"/>
    <mergeCell ref="C6:E6"/>
    <mergeCell ref="A21:E21"/>
    <mergeCell ref="A16:E16"/>
    <mergeCell ref="A17:E17"/>
    <mergeCell ref="A18:E18"/>
    <mergeCell ref="A19:E19"/>
    <mergeCell ref="A20:E20"/>
    <mergeCell ref="A13:E13"/>
    <mergeCell ref="A12:E12"/>
    <mergeCell ref="A7:H7"/>
    <mergeCell ref="A8:E8"/>
    <mergeCell ref="A9:E9"/>
    <mergeCell ref="A10:E10"/>
    <mergeCell ref="A11:E11"/>
  </mergeCells>
  <dataValidations count="1">
    <dataValidation type="whole" errorStyle="information" allowBlank="1" showInputMessage="1" showErrorMessage="1" errorTitle="Attention!" error="Valeur numérique attendue" sqref="F9:G13 F15:G19 F21:G22" xr:uid="{00000000-0002-0000-2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6">
    <pageSetUpPr fitToPage="1"/>
  </sheetPr>
  <dimension ref="A1:J30"/>
  <sheetViews>
    <sheetView showGridLines="0" topLeftCell="A9" workbookViewId="0">
      <selection activeCell="J29" sqref="J29"/>
    </sheetView>
  </sheetViews>
  <sheetFormatPr baseColWidth="10" defaultRowHeight="14.5"/>
  <cols>
    <col min="2" max="2" width="16.54296875" customWidth="1"/>
    <col min="3" max="3" width="24" customWidth="1"/>
    <col min="4" max="4" width="6.54296875" customWidth="1"/>
    <col min="5" max="7" width="15.54296875" customWidth="1"/>
    <col min="8" max="8" width="9.81640625" customWidth="1"/>
    <col min="9" max="9" width="15.54296875" customWidth="1"/>
    <col min="10" max="10" width="14.453125" customWidth="1"/>
  </cols>
  <sheetData>
    <row r="1" spans="1:10">
      <c r="A1" s="1134" t="s">
        <v>183</v>
      </c>
      <c r="B1" s="1134"/>
      <c r="C1" s="1134"/>
      <c r="D1" s="1134"/>
      <c r="E1" s="1134"/>
      <c r="F1" s="1134"/>
      <c r="G1" s="1134"/>
      <c r="H1" s="1134"/>
      <c r="I1" s="1134"/>
      <c r="J1" s="1134"/>
    </row>
    <row r="2" spans="1:10" ht="25" customHeight="1">
      <c r="A2" s="40"/>
      <c r="B2" s="40"/>
      <c r="C2" s="40"/>
      <c r="D2" s="40"/>
      <c r="E2" s="40"/>
      <c r="F2" s="40"/>
      <c r="G2" s="40"/>
      <c r="I2" s="1135" t="s">
        <v>1939</v>
      </c>
      <c r="J2" s="1137"/>
    </row>
    <row r="3" spans="1:10" s="132" customFormat="1" ht="15" customHeight="1">
      <c r="A3" s="7" t="s">
        <v>26</v>
      </c>
      <c r="B3" s="7"/>
      <c r="C3" s="1221">
        <f>'NOTE 11'!C3</f>
        <v>0</v>
      </c>
      <c r="D3" s="1221"/>
      <c r="E3" s="1221"/>
      <c r="F3" s="1221"/>
      <c r="G3" s="1221"/>
      <c r="H3" s="1221"/>
      <c r="I3" s="1221"/>
      <c r="J3" s="1221"/>
    </row>
    <row r="4" spans="1:10" s="132" customFormat="1" ht="15" customHeight="1">
      <c r="A4" s="7" t="s">
        <v>27</v>
      </c>
      <c r="B4" s="1221">
        <f>'NOTE 11'!B4</f>
        <v>0</v>
      </c>
      <c r="C4" s="1221"/>
      <c r="D4" s="1221"/>
      <c r="E4" s="1221"/>
      <c r="F4" s="1221"/>
      <c r="G4" s="1221"/>
      <c r="H4" s="1221"/>
      <c r="I4" s="61" t="s">
        <v>28</v>
      </c>
      <c r="J4" s="119">
        <f>'NOTE 11'!I4</f>
        <v>0</v>
      </c>
    </row>
    <row r="5" spans="1:10" s="132" customFormat="1" ht="15" customHeight="1">
      <c r="A5" s="7" t="s">
        <v>2021</v>
      </c>
      <c r="B5" s="7"/>
      <c r="C5" s="1221">
        <f>'NOTE 11'!C5</f>
        <v>0</v>
      </c>
      <c r="D5" s="1221"/>
      <c r="E5" s="1221"/>
      <c r="F5" s="43" t="s">
        <v>30</v>
      </c>
      <c r="G5" s="1508">
        <f>'NOTE 11'!F5</f>
        <v>0</v>
      </c>
      <c r="H5" s="1508"/>
      <c r="I5" s="61" t="s">
        <v>31</v>
      </c>
      <c r="J5" s="44">
        <f>'NOTE 11'!I5</f>
        <v>0</v>
      </c>
    </row>
    <row r="6" spans="1:10" s="132" customFormat="1" ht="15" customHeight="1">
      <c r="A6" s="7" t="s">
        <v>2026</v>
      </c>
      <c r="B6" s="7"/>
      <c r="C6" s="1461">
        <f>'NOTE 11'!C6</f>
        <v>0</v>
      </c>
      <c r="D6" s="1461"/>
      <c r="E6" s="1461"/>
      <c r="F6" s="262"/>
      <c r="G6" s="44"/>
      <c r="H6" s="44"/>
      <c r="I6" s="263"/>
      <c r="J6" s="44"/>
    </row>
    <row r="7" spans="1:10" ht="35.15" customHeight="1" thickBot="1">
      <c r="A7" s="1169" t="s">
        <v>1940</v>
      </c>
      <c r="B7" s="1169"/>
      <c r="C7" s="1169"/>
      <c r="D7" s="1169"/>
      <c r="E7" s="1169"/>
      <c r="F7" s="1169"/>
      <c r="G7" s="1169"/>
      <c r="H7" s="1169"/>
      <c r="I7" s="1169"/>
      <c r="J7" s="1169"/>
    </row>
    <row r="8" spans="1:10" ht="43.5" customHeight="1">
      <c r="A8" s="1686" t="s">
        <v>525</v>
      </c>
      <c r="B8" s="1687"/>
      <c r="C8" s="1687"/>
      <c r="D8" s="882" t="s">
        <v>187</v>
      </c>
      <c r="E8" s="882" t="s">
        <v>526</v>
      </c>
      <c r="F8" s="882" t="s">
        <v>527</v>
      </c>
      <c r="G8" s="882" t="s">
        <v>654</v>
      </c>
      <c r="H8" s="882" t="s">
        <v>546</v>
      </c>
      <c r="I8" s="882" t="s">
        <v>655</v>
      </c>
      <c r="J8" s="884" t="s">
        <v>656</v>
      </c>
    </row>
    <row r="9" spans="1:10" ht="17.149999999999999" customHeight="1">
      <c r="A9" s="1442" t="s">
        <v>657</v>
      </c>
      <c r="B9" s="1443"/>
      <c r="C9" s="1443"/>
      <c r="D9" s="125"/>
      <c r="E9" s="126"/>
      <c r="F9" s="126"/>
      <c r="G9" s="109">
        <f>ABS(E9-F9)</f>
        <v>0</v>
      </c>
      <c r="H9" s="433" t="str">
        <f>IF(F9,(E9-F9)/F9,IF(ISBLANK(F9),"",IF(E9,IF( E9 &gt; 0,1,-1),"")))</f>
        <v/>
      </c>
      <c r="I9" s="125"/>
      <c r="J9" s="901"/>
    </row>
    <row r="10" spans="1:10" ht="17.149999999999999" customHeight="1">
      <c r="A10" s="1442" t="s">
        <v>658</v>
      </c>
      <c r="B10" s="1443"/>
      <c r="C10" s="1443"/>
      <c r="D10" s="125"/>
      <c r="E10" s="126"/>
      <c r="F10" s="126"/>
      <c r="G10" s="109">
        <f t="shared" ref="G10:G16" si="0">ABS(E10-F10)</f>
        <v>0</v>
      </c>
      <c r="H10" s="433" t="str">
        <f t="shared" ref="H10:H26" si="1">IF(F10,(E10-F10)/F10,IF(ISBLANK(F10),"",IF(E10,IF( E10 &gt; 0,1,-1),"")))</f>
        <v/>
      </c>
      <c r="I10" s="125"/>
      <c r="J10" s="901"/>
    </row>
    <row r="11" spans="1:10" ht="17.149999999999999" customHeight="1">
      <c r="A11" s="1442" t="s">
        <v>659</v>
      </c>
      <c r="B11" s="1443"/>
      <c r="C11" s="1443"/>
      <c r="D11" s="125"/>
      <c r="E11" s="126"/>
      <c r="F11" s="126"/>
      <c r="G11" s="109">
        <f t="shared" si="0"/>
        <v>0</v>
      </c>
      <c r="H11" s="433" t="str">
        <f t="shared" si="1"/>
        <v/>
      </c>
      <c r="I11" s="125"/>
      <c r="J11" s="901"/>
    </row>
    <row r="12" spans="1:10" ht="17.149999999999999" customHeight="1">
      <c r="A12" s="1442" t="s">
        <v>660</v>
      </c>
      <c r="B12" s="1443"/>
      <c r="C12" s="1443"/>
      <c r="D12" s="125"/>
      <c r="E12" s="126"/>
      <c r="F12" s="126"/>
      <c r="G12" s="109">
        <f t="shared" si="0"/>
        <v>0</v>
      </c>
      <c r="H12" s="433" t="str">
        <f t="shared" si="1"/>
        <v/>
      </c>
      <c r="I12" s="125"/>
      <c r="J12" s="901"/>
    </row>
    <row r="13" spans="1:10" ht="17.149999999999999" customHeight="1">
      <c r="A13" s="1442" t="s">
        <v>661</v>
      </c>
      <c r="B13" s="1443"/>
      <c r="C13" s="1443"/>
      <c r="D13" s="125"/>
      <c r="E13" s="126"/>
      <c r="F13" s="126"/>
      <c r="G13" s="109">
        <f t="shared" si="0"/>
        <v>0</v>
      </c>
      <c r="H13" s="433" t="str">
        <f t="shared" si="1"/>
        <v/>
      </c>
      <c r="I13" s="125"/>
      <c r="J13" s="901"/>
    </row>
    <row r="14" spans="1:10" ht="17.149999999999999" customHeight="1">
      <c r="A14" s="1442" t="s">
        <v>1575</v>
      </c>
      <c r="B14" s="1443"/>
      <c r="C14" s="1443"/>
      <c r="D14" s="125"/>
      <c r="E14" s="126"/>
      <c r="F14" s="126"/>
      <c r="G14" s="109">
        <f t="shared" si="0"/>
        <v>0</v>
      </c>
      <c r="H14" s="433" t="str">
        <f t="shared" si="1"/>
        <v/>
      </c>
      <c r="I14" s="125"/>
      <c r="J14" s="901"/>
    </row>
    <row r="15" spans="1:10" ht="17.149999999999999" customHeight="1">
      <c r="A15" s="1442" t="s">
        <v>466</v>
      </c>
      <c r="B15" s="1443"/>
      <c r="C15" s="1443"/>
      <c r="D15" s="125"/>
      <c r="E15" s="126"/>
      <c r="F15" s="126"/>
      <c r="G15" s="109">
        <f t="shared" si="0"/>
        <v>0</v>
      </c>
      <c r="H15" s="433" t="str">
        <f t="shared" si="1"/>
        <v/>
      </c>
      <c r="I15" s="125"/>
      <c r="J15" s="901"/>
    </row>
    <row r="16" spans="1:10" ht="17.149999999999999" customHeight="1">
      <c r="A16" s="1442" t="s">
        <v>662</v>
      </c>
      <c r="B16" s="1443"/>
      <c r="C16" s="1443"/>
      <c r="D16" s="125"/>
      <c r="E16" s="126"/>
      <c r="F16" s="126"/>
      <c r="G16" s="109">
        <f t="shared" si="0"/>
        <v>0</v>
      </c>
      <c r="H16" s="433" t="str">
        <f t="shared" si="1"/>
        <v/>
      </c>
      <c r="I16" s="125"/>
      <c r="J16" s="901"/>
    </row>
    <row r="17" spans="1:10" ht="17.149999999999999" customHeight="1">
      <c r="A17" s="1612" t="s">
        <v>663</v>
      </c>
      <c r="B17" s="1613"/>
      <c r="C17" s="1613"/>
      <c r="D17" s="141"/>
      <c r="E17" s="108">
        <f>SUM(E9:E16)</f>
        <v>0</v>
      </c>
      <c r="F17" s="108">
        <f>SUM(F9:F16)</f>
        <v>0</v>
      </c>
      <c r="G17" s="143">
        <f>ABS(E17-F17)</f>
        <v>0</v>
      </c>
      <c r="H17" s="434" t="str">
        <f t="shared" si="1"/>
        <v/>
      </c>
      <c r="I17" s="108"/>
      <c r="J17" s="872"/>
    </row>
    <row r="18" spans="1:10" ht="17.149999999999999" customHeight="1">
      <c r="A18" s="1442" t="s">
        <v>664</v>
      </c>
      <c r="B18" s="1443"/>
      <c r="C18" s="1443"/>
      <c r="D18" s="125"/>
      <c r="E18" s="126"/>
      <c r="F18" s="126"/>
      <c r="G18" s="109">
        <f>ABS(E18-F18)</f>
        <v>0</v>
      </c>
      <c r="H18" s="433" t="str">
        <f t="shared" si="1"/>
        <v/>
      </c>
      <c r="I18" s="125"/>
      <c r="J18" s="901"/>
    </row>
    <row r="19" spans="1:10" ht="17.149999999999999" customHeight="1">
      <c r="A19" s="1442" t="s">
        <v>665</v>
      </c>
      <c r="B19" s="1443"/>
      <c r="C19" s="1443"/>
      <c r="D19" s="125"/>
      <c r="E19" s="126"/>
      <c r="F19" s="126"/>
      <c r="G19" s="109">
        <f t="shared" ref="G19:G24" si="2">ABS(E19-F19)</f>
        <v>0</v>
      </c>
      <c r="H19" s="433" t="str">
        <f t="shared" si="1"/>
        <v/>
      </c>
      <c r="I19" s="125"/>
      <c r="J19" s="901"/>
    </row>
    <row r="20" spans="1:10" ht="17.149999999999999" customHeight="1">
      <c r="A20" s="1442" t="s">
        <v>1805</v>
      </c>
      <c r="B20" s="1443"/>
      <c r="C20" s="1443"/>
      <c r="D20" s="125" t="s">
        <v>666</v>
      </c>
      <c r="E20" s="126"/>
      <c r="F20" s="126"/>
      <c r="G20" s="109">
        <f t="shared" si="2"/>
        <v>0</v>
      </c>
      <c r="H20" s="433" t="str">
        <f t="shared" si="1"/>
        <v/>
      </c>
      <c r="I20" s="125"/>
      <c r="J20" s="901"/>
    </row>
    <row r="21" spans="1:10" ht="17.149999999999999" customHeight="1">
      <c r="A21" s="1442" t="s">
        <v>667</v>
      </c>
      <c r="B21" s="1443"/>
      <c r="C21" s="1443"/>
      <c r="D21" s="125"/>
      <c r="E21" s="126"/>
      <c r="F21" s="126"/>
      <c r="G21" s="109">
        <f t="shared" si="2"/>
        <v>0</v>
      </c>
      <c r="H21" s="433" t="str">
        <f t="shared" si="1"/>
        <v/>
      </c>
      <c r="I21" s="125"/>
      <c r="J21" s="901"/>
    </row>
    <row r="22" spans="1:10" ht="17.149999999999999" customHeight="1">
      <c r="A22" s="1442" t="s">
        <v>668</v>
      </c>
      <c r="B22" s="1443"/>
      <c r="C22" s="1443"/>
      <c r="D22" s="125"/>
      <c r="E22" s="126"/>
      <c r="F22" s="126"/>
      <c r="G22" s="109">
        <f t="shared" si="2"/>
        <v>0</v>
      </c>
      <c r="H22" s="433" t="str">
        <f t="shared" si="1"/>
        <v/>
      </c>
      <c r="I22" s="125"/>
      <c r="J22" s="901"/>
    </row>
    <row r="23" spans="1:10" ht="17.149999999999999" customHeight="1">
      <c r="A23" s="1442" t="s">
        <v>669</v>
      </c>
      <c r="B23" s="1443"/>
      <c r="C23" s="1443"/>
      <c r="D23" s="125"/>
      <c r="E23" s="126"/>
      <c r="F23" s="126"/>
      <c r="G23" s="109">
        <f t="shared" si="2"/>
        <v>0</v>
      </c>
      <c r="H23" s="433" t="str">
        <f t="shared" si="1"/>
        <v/>
      </c>
      <c r="I23" s="125"/>
      <c r="J23" s="901"/>
    </row>
    <row r="24" spans="1:10" ht="17.149999999999999" customHeight="1">
      <c r="A24" s="1711" t="s">
        <v>670</v>
      </c>
      <c r="B24" s="1712"/>
      <c r="C24" s="1712"/>
      <c r="D24" s="125"/>
      <c r="E24" s="126"/>
      <c r="F24" s="126"/>
      <c r="G24" s="109">
        <f t="shared" si="2"/>
        <v>0</v>
      </c>
      <c r="H24" s="433" t="str">
        <f t="shared" si="1"/>
        <v/>
      </c>
      <c r="I24" s="125"/>
      <c r="J24" s="901"/>
    </row>
    <row r="25" spans="1:10" ht="17.149999999999999" customHeight="1">
      <c r="A25" s="1612" t="s">
        <v>671</v>
      </c>
      <c r="B25" s="1613"/>
      <c r="C25" s="1613"/>
      <c r="D25" s="142"/>
      <c r="E25" s="108">
        <f>SUM(E18:E24)</f>
        <v>0</v>
      </c>
      <c r="F25" s="108">
        <f>SUM(F18:F24)</f>
        <v>0</v>
      </c>
      <c r="G25" s="143">
        <f>ABS(E25-F25)</f>
        <v>0</v>
      </c>
      <c r="H25" s="434" t="str">
        <f t="shared" si="1"/>
        <v/>
      </c>
      <c r="I25" s="108"/>
      <c r="J25" s="872"/>
    </row>
    <row r="26" spans="1:10" ht="17.149999999999999" customHeight="1" thickBot="1">
      <c r="A26" s="1713" t="s">
        <v>653</v>
      </c>
      <c r="B26" s="1714"/>
      <c r="C26" s="1714"/>
      <c r="D26" s="902"/>
      <c r="E26" s="903">
        <f>E17+E25</f>
        <v>0</v>
      </c>
      <c r="F26" s="903">
        <f>F17+F25</f>
        <v>0</v>
      </c>
      <c r="G26" s="904">
        <f>ABS(E26-F26)</f>
        <v>0</v>
      </c>
      <c r="H26" s="905" t="str">
        <f t="shared" si="1"/>
        <v/>
      </c>
      <c r="I26" s="903"/>
      <c r="J26" s="906"/>
    </row>
    <row r="27" spans="1:10" s="3" customFormat="1" ht="12" customHeight="1">
      <c r="A27" s="581" t="s">
        <v>1791</v>
      </c>
    </row>
    <row r="28" spans="1:10" s="3" customFormat="1" ht="12" customHeight="1">
      <c r="A28" s="641" t="s">
        <v>1979</v>
      </c>
    </row>
    <row r="29" spans="1:10" s="3" customFormat="1" ht="12" customHeight="1">
      <c r="A29" s="641" t="s">
        <v>1980</v>
      </c>
    </row>
    <row r="30" spans="1:10" ht="12" customHeight="1">
      <c r="A30" s="576" t="s">
        <v>1806</v>
      </c>
    </row>
  </sheetData>
  <sheetProtection selectLockedCells="1"/>
  <mergeCells count="27">
    <mergeCell ref="A1:J1"/>
    <mergeCell ref="I2:J2"/>
    <mergeCell ref="C3:J3"/>
    <mergeCell ref="B4:H4"/>
    <mergeCell ref="C5:E5"/>
    <mergeCell ref="G5:H5"/>
    <mergeCell ref="A26:C26"/>
    <mergeCell ref="A18:C18"/>
    <mergeCell ref="A19:C19"/>
    <mergeCell ref="A20:C20"/>
    <mergeCell ref="A21:C21"/>
    <mergeCell ref="A22:C22"/>
    <mergeCell ref="A23:C23"/>
    <mergeCell ref="C6:E6"/>
    <mergeCell ref="A16:C16"/>
    <mergeCell ref="A17:C17"/>
    <mergeCell ref="A24:C24"/>
    <mergeCell ref="A25:C25"/>
    <mergeCell ref="A7:J7"/>
    <mergeCell ref="A8:C8"/>
    <mergeCell ref="A9:C9"/>
    <mergeCell ref="A10:C10"/>
    <mergeCell ref="A11:C11"/>
    <mergeCell ref="A12:C12"/>
    <mergeCell ref="A13:C13"/>
    <mergeCell ref="A14:C14"/>
    <mergeCell ref="A15:C15"/>
  </mergeCells>
  <dataValidations count="1">
    <dataValidation type="whole" allowBlank="1" showInputMessage="1" showErrorMessage="1" errorTitle="Attention!" error="Valeur numérique attendue" sqref="E9:F16 E18:F24" xr:uid="{00000000-0002-0000-2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7">
    <pageSetUpPr fitToPage="1"/>
  </sheetPr>
  <dimension ref="A1:K20"/>
  <sheetViews>
    <sheetView showGridLines="0" workbookViewId="0">
      <selection activeCell="A8" sqref="A8:K14"/>
    </sheetView>
  </sheetViews>
  <sheetFormatPr baseColWidth="10" defaultRowHeight="14.5"/>
  <cols>
    <col min="2" max="2" width="16.81640625" customWidth="1"/>
    <col min="5" max="5" width="10.453125" customWidth="1"/>
    <col min="6" max="6" width="6.81640625" customWidth="1"/>
    <col min="7" max="9" width="15.54296875" customWidth="1"/>
    <col min="10" max="11" width="14.453125" customWidth="1"/>
  </cols>
  <sheetData>
    <row r="1" spans="1:11">
      <c r="A1" s="1134" t="s">
        <v>183</v>
      </c>
      <c r="B1" s="1134"/>
      <c r="C1" s="1134"/>
      <c r="D1" s="1134"/>
      <c r="E1" s="1134"/>
      <c r="F1" s="1134"/>
      <c r="G1" s="1134"/>
      <c r="H1" s="1134"/>
      <c r="I1" s="1134"/>
      <c r="J1" s="1134"/>
      <c r="K1" s="1134"/>
    </row>
    <row r="2" spans="1:11" ht="25" customHeight="1">
      <c r="A2" s="40"/>
      <c r="B2" s="40"/>
      <c r="C2" s="40"/>
      <c r="D2" s="40"/>
      <c r="E2" s="40"/>
      <c r="F2" s="40"/>
      <c r="G2" s="40"/>
      <c r="J2" s="1135" t="s">
        <v>1941</v>
      </c>
      <c r="K2" s="1137"/>
    </row>
    <row r="3" spans="1:11" s="132" customFormat="1" ht="15" customHeight="1">
      <c r="A3" s="7" t="s">
        <v>26</v>
      </c>
      <c r="B3" s="7"/>
      <c r="C3" s="1221">
        <f>'NOTE 11'!C3</f>
        <v>0</v>
      </c>
      <c r="D3" s="1221"/>
      <c r="E3" s="1221"/>
      <c r="F3" s="1221"/>
      <c r="G3" s="1221"/>
      <c r="H3" s="1221"/>
      <c r="I3" s="1221"/>
      <c r="J3" s="1221"/>
      <c r="K3" s="1221"/>
    </row>
    <row r="4" spans="1:11" s="132" customFormat="1" ht="15" customHeight="1">
      <c r="A4" s="7" t="s">
        <v>27</v>
      </c>
      <c r="B4" s="1221">
        <f>'NOTE 11'!B4</f>
        <v>0</v>
      </c>
      <c r="C4" s="1221"/>
      <c r="D4" s="1221"/>
      <c r="E4" s="1221"/>
      <c r="F4" s="1221"/>
      <c r="G4" s="1221"/>
      <c r="H4" s="1221"/>
      <c r="I4" s="1221"/>
      <c r="J4" s="61" t="s">
        <v>28</v>
      </c>
      <c r="K4" s="119">
        <f>'NOTE 11'!I4</f>
        <v>0</v>
      </c>
    </row>
    <row r="5" spans="1:11" s="132" customFormat="1" ht="15" customHeight="1">
      <c r="A5" s="7" t="s">
        <v>2021</v>
      </c>
      <c r="B5" s="7"/>
      <c r="C5" s="1221">
        <f>'NOTE 11'!C5</f>
        <v>0</v>
      </c>
      <c r="D5" s="1221"/>
      <c r="E5" s="1221"/>
      <c r="F5" s="1221"/>
      <c r="G5" s="43" t="s">
        <v>30</v>
      </c>
      <c r="H5" s="1215">
        <f>'NOTE 11'!F5</f>
        <v>0</v>
      </c>
      <c r="I5" s="1215"/>
      <c r="J5" s="61" t="s">
        <v>31</v>
      </c>
      <c r="K5" s="44">
        <f>'NOTE 11'!I5</f>
        <v>0</v>
      </c>
    </row>
    <row r="6" spans="1:11" s="132" customFormat="1" ht="15" customHeight="1">
      <c r="A6" s="7" t="s">
        <v>2026</v>
      </c>
      <c r="B6" s="7"/>
      <c r="C6" s="1461">
        <f>'NOTE 11'!C6</f>
        <v>0</v>
      </c>
      <c r="D6" s="1461"/>
      <c r="E6" s="1461"/>
      <c r="F6" s="1461"/>
      <c r="G6" s="262"/>
      <c r="H6" s="44"/>
      <c r="I6" s="44"/>
      <c r="J6" s="263"/>
      <c r="K6" s="44"/>
    </row>
    <row r="7" spans="1:11" ht="35.15" customHeight="1" thickBot="1">
      <c r="A7" s="1169" t="s">
        <v>1942</v>
      </c>
      <c r="B7" s="1169"/>
      <c r="C7" s="1169"/>
      <c r="D7" s="1169"/>
      <c r="E7" s="1169"/>
      <c r="F7" s="1169"/>
      <c r="G7" s="1169"/>
      <c r="H7" s="1169"/>
      <c r="I7" s="1169"/>
      <c r="J7" s="1169"/>
      <c r="K7" s="1169"/>
    </row>
    <row r="8" spans="1:11" ht="44.25" customHeight="1">
      <c r="A8" s="1686" t="s">
        <v>525</v>
      </c>
      <c r="B8" s="1687"/>
      <c r="C8" s="1687"/>
      <c r="D8" s="1687"/>
      <c r="E8" s="1687"/>
      <c r="F8" s="882" t="s">
        <v>187</v>
      </c>
      <c r="G8" s="882" t="s">
        <v>526</v>
      </c>
      <c r="H8" s="882" t="s">
        <v>527</v>
      </c>
      <c r="I8" s="882" t="s">
        <v>654</v>
      </c>
      <c r="J8" s="882" t="s">
        <v>546</v>
      </c>
      <c r="K8" s="884" t="s">
        <v>656</v>
      </c>
    </row>
    <row r="9" spans="1:11" ht="27.75" customHeight="1">
      <c r="A9" s="1442" t="s">
        <v>672</v>
      </c>
      <c r="B9" s="1443"/>
      <c r="C9" s="1443"/>
      <c r="D9" s="1443"/>
      <c r="E9" s="1443"/>
      <c r="F9" s="125"/>
      <c r="G9" s="126"/>
      <c r="H9" s="126"/>
      <c r="I9" s="109">
        <f>ABS(G9-H9)</f>
        <v>0</v>
      </c>
      <c r="J9" s="433" t="str">
        <f>IF(H9,(G9-H9)/H9,IF(ISBLANK(H9),"",IF(G9,IF( G9 &gt; 0,1,-1),"")))</f>
        <v/>
      </c>
      <c r="K9" s="901"/>
    </row>
    <row r="10" spans="1:11" ht="27.75" customHeight="1">
      <c r="A10" s="1442" t="s">
        <v>673</v>
      </c>
      <c r="B10" s="1443"/>
      <c r="C10" s="1443"/>
      <c r="D10" s="1443"/>
      <c r="E10" s="1443"/>
      <c r="F10" s="125"/>
      <c r="G10" s="126"/>
      <c r="H10" s="126"/>
      <c r="I10" s="109">
        <f t="shared" ref="I10:I13" si="0">ABS(G10-H10)</f>
        <v>0</v>
      </c>
      <c r="J10" s="433" t="str">
        <f t="shared" ref="J10:J14" si="1">IF(H10,(G10-H10)/H10,IF(ISBLANK(H10),"",IF(G10,IF( G10 &gt; 0,1,-1),"")))</f>
        <v/>
      </c>
      <c r="K10" s="901"/>
    </row>
    <row r="11" spans="1:11" ht="27.75" customHeight="1">
      <c r="A11" s="1442" t="s">
        <v>674</v>
      </c>
      <c r="B11" s="1443"/>
      <c r="C11" s="1443"/>
      <c r="D11" s="1443"/>
      <c r="E11" s="1443"/>
      <c r="F11" s="125"/>
      <c r="G11" s="126"/>
      <c r="H11" s="126"/>
      <c r="I11" s="109">
        <f t="shared" si="0"/>
        <v>0</v>
      </c>
      <c r="J11" s="433" t="str">
        <f t="shared" si="1"/>
        <v/>
      </c>
      <c r="K11" s="901"/>
    </row>
    <row r="12" spans="1:11" ht="27.75" customHeight="1">
      <c r="A12" s="1442" t="s">
        <v>675</v>
      </c>
      <c r="B12" s="1443"/>
      <c r="C12" s="1443"/>
      <c r="D12" s="1443"/>
      <c r="E12" s="1443"/>
      <c r="F12" s="125"/>
      <c r="G12" s="126"/>
      <c r="H12" s="126"/>
      <c r="I12" s="109">
        <f t="shared" si="0"/>
        <v>0</v>
      </c>
      <c r="J12" s="433" t="str">
        <f t="shared" si="1"/>
        <v/>
      </c>
      <c r="K12" s="901"/>
    </row>
    <row r="13" spans="1:11" ht="27.75" customHeight="1">
      <c r="A13" s="1442" t="s">
        <v>1808</v>
      </c>
      <c r="B13" s="1443"/>
      <c r="C13" s="1443"/>
      <c r="D13" s="1443"/>
      <c r="E13" s="1443"/>
      <c r="F13" s="125"/>
      <c r="G13" s="126"/>
      <c r="H13" s="126"/>
      <c r="I13" s="109">
        <f t="shared" si="0"/>
        <v>0</v>
      </c>
      <c r="J13" s="433" t="str">
        <f t="shared" si="1"/>
        <v/>
      </c>
      <c r="K13" s="901"/>
    </row>
    <row r="14" spans="1:11" ht="27.75" customHeight="1" thickBot="1">
      <c r="A14" s="1629" t="s">
        <v>676</v>
      </c>
      <c r="B14" s="1630"/>
      <c r="C14" s="1630"/>
      <c r="D14" s="1630"/>
      <c r="E14" s="1630"/>
      <c r="F14" s="908"/>
      <c r="G14" s="868">
        <f>SUM(G9:G13)</f>
        <v>0</v>
      </c>
      <c r="H14" s="868">
        <f>SUM(H9:H13)</f>
        <v>0</v>
      </c>
      <c r="I14" s="871">
        <f>ABS(G14-H14)</f>
        <v>0</v>
      </c>
      <c r="J14" s="874" t="str">
        <f t="shared" si="1"/>
        <v/>
      </c>
      <c r="K14" s="909"/>
    </row>
    <row r="15" spans="1:11" ht="2.25" customHeight="1">
      <c r="A15" s="48"/>
      <c r="B15" s="48"/>
      <c r="C15" s="48"/>
      <c r="D15" s="48"/>
      <c r="E15" s="48"/>
      <c r="F15" s="48"/>
      <c r="G15" s="48"/>
      <c r="H15" s="48"/>
      <c r="I15" s="48"/>
      <c r="J15" s="907"/>
    </row>
    <row r="16" spans="1:11" s="440" customFormat="1" ht="23.25" customHeight="1">
      <c r="A16" s="1159" t="s">
        <v>1807</v>
      </c>
      <c r="B16" s="1159"/>
      <c r="C16" s="1159"/>
      <c r="D16" s="1159"/>
      <c r="E16" s="1159"/>
      <c r="F16" s="1159"/>
      <c r="G16" s="1159"/>
      <c r="H16" s="1159"/>
      <c r="I16" s="1159"/>
      <c r="J16" s="1159"/>
      <c r="K16" s="1159"/>
    </row>
    <row r="17" spans="1:1" s="440" customFormat="1" ht="10.5">
      <c r="A17" s="581" t="s">
        <v>1791</v>
      </c>
    </row>
    <row r="18" spans="1:1" s="440" customFormat="1" ht="11.25" customHeight="1">
      <c r="A18" s="641" t="s">
        <v>1981</v>
      </c>
    </row>
    <row r="19" spans="1:1" s="440" customFormat="1" ht="11.25" customHeight="1">
      <c r="A19" s="641" t="s">
        <v>1982</v>
      </c>
    </row>
    <row r="20" spans="1:1" s="440" customFormat="1" ht="11.25" customHeight="1">
      <c r="A20" s="641" t="s">
        <v>1983</v>
      </c>
    </row>
  </sheetData>
  <sheetProtection selectLockedCells="1"/>
  <mergeCells count="16">
    <mergeCell ref="A13:E13"/>
    <mergeCell ref="A14:E14"/>
    <mergeCell ref="A16:K16"/>
    <mergeCell ref="A7:K7"/>
    <mergeCell ref="A8:E8"/>
    <mergeCell ref="A9:E9"/>
    <mergeCell ref="A10:E10"/>
    <mergeCell ref="A11:E11"/>
    <mergeCell ref="A12:E12"/>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G9:H13" xr:uid="{00000000-0002-0000-2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8">
    <pageSetUpPr fitToPage="1"/>
  </sheetPr>
  <dimension ref="A1:K46"/>
  <sheetViews>
    <sheetView showGridLines="0" zoomScaleNormal="100" workbookViewId="0">
      <selection activeCell="A8" sqref="A8:K39"/>
    </sheetView>
  </sheetViews>
  <sheetFormatPr baseColWidth="10" defaultRowHeight="14.5"/>
  <cols>
    <col min="2" max="2" width="16.54296875" customWidth="1"/>
    <col min="4" max="4" width="25.81640625" customWidth="1"/>
    <col min="5" max="6" width="15.54296875" customWidth="1"/>
    <col min="7" max="7" width="12.81640625" customWidth="1"/>
    <col min="8" max="8" width="10.54296875" customWidth="1"/>
    <col min="9" max="11" width="15.54296875" customWidth="1"/>
  </cols>
  <sheetData>
    <row r="1" spans="1:11" ht="14.25" customHeight="1">
      <c r="A1" s="1134" t="s">
        <v>183</v>
      </c>
      <c r="B1" s="1134"/>
      <c r="C1" s="1134"/>
      <c r="D1" s="1134"/>
      <c r="E1" s="1134"/>
      <c r="F1" s="1134"/>
      <c r="G1" s="1134"/>
      <c r="H1" s="1134"/>
      <c r="I1" s="1134"/>
      <c r="J1" s="1134"/>
      <c r="K1" s="1134"/>
    </row>
    <row r="2" spans="1:11" ht="22.5" customHeight="1">
      <c r="A2" s="40"/>
      <c r="B2" s="40"/>
      <c r="C2" s="40"/>
      <c r="D2" s="40"/>
      <c r="E2" s="40"/>
      <c r="F2" s="40"/>
      <c r="G2" s="40"/>
      <c r="J2" s="1135" t="s">
        <v>1943</v>
      </c>
      <c r="K2" s="1137"/>
    </row>
    <row r="3" spans="1:11" s="132" customFormat="1" ht="15" customHeight="1">
      <c r="A3" s="7" t="s">
        <v>26</v>
      </c>
      <c r="B3" s="7"/>
      <c r="C3" s="1221">
        <f>'NOTE 11'!C3</f>
        <v>0</v>
      </c>
      <c r="D3" s="1221"/>
      <c r="E3" s="1221"/>
      <c r="F3" s="1221"/>
      <c r="G3" s="1221"/>
      <c r="H3" s="1221"/>
      <c r="I3" s="1221"/>
      <c r="J3" s="1221"/>
      <c r="K3" s="1221"/>
    </row>
    <row r="4" spans="1:11" s="132" customFormat="1" ht="15" customHeight="1">
      <c r="A4" s="7" t="s">
        <v>27</v>
      </c>
      <c r="B4" s="1221">
        <f>'NOTE 11'!B4</f>
        <v>0</v>
      </c>
      <c r="C4" s="1221"/>
      <c r="D4" s="1221"/>
      <c r="E4" s="1221"/>
      <c r="F4" s="1221"/>
      <c r="G4" s="1221"/>
      <c r="H4" s="1221"/>
      <c r="I4" s="1221"/>
      <c r="J4" s="61" t="s">
        <v>28</v>
      </c>
      <c r="K4" s="119">
        <f>'NOTE 11'!I4</f>
        <v>0</v>
      </c>
    </row>
    <row r="5" spans="1:11" s="132" customFormat="1" ht="15" customHeight="1">
      <c r="A5" s="7" t="s">
        <v>2021</v>
      </c>
      <c r="B5" s="7"/>
      <c r="C5" s="1221">
        <f>'NOTE 11'!C5</f>
        <v>0</v>
      </c>
      <c r="D5" s="1221"/>
      <c r="E5" s="1221"/>
      <c r="F5" s="1221"/>
      <c r="G5" s="1224" t="s">
        <v>30</v>
      </c>
      <c r="H5" s="1224"/>
      <c r="I5" s="119">
        <f>'NOTE 11'!F5</f>
        <v>0</v>
      </c>
      <c r="J5" s="61" t="s">
        <v>31</v>
      </c>
      <c r="K5" s="44">
        <f>'NOTE 11'!I5</f>
        <v>0</v>
      </c>
    </row>
    <row r="6" spans="1:11" s="132" customFormat="1" ht="15" customHeight="1">
      <c r="A6" s="7" t="s">
        <v>2026</v>
      </c>
      <c r="B6" s="7"/>
      <c r="C6" s="1461">
        <f>'NOTE 11'!C6</f>
        <v>0</v>
      </c>
      <c r="D6" s="1461"/>
      <c r="E6" s="1461"/>
      <c r="F6" s="1461"/>
      <c r="G6" s="262"/>
      <c r="H6" s="44"/>
      <c r="I6" s="44"/>
      <c r="J6" s="263"/>
      <c r="K6" s="44"/>
    </row>
    <row r="7" spans="1:11" ht="27.75" customHeight="1" thickBot="1">
      <c r="A7" s="1169" t="s">
        <v>1944</v>
      </c>
      <c r="B7" s="1169"/>
      <c r="C7" s="1169"/>
      <c r="D7" s="1169"/>
      <c r="E7" s="1169"/>
      <c r="F7" s="1169"/>
      <c r="G7" s="1169"/>
      <c r="H7" s="1169"/>
      <c r="I7" s="1169"/>
      <c r="J7" s="1169"/>
      <c r="K7" s="1169"/>
    </row>
    <row r="8" spans="1:11" ht="39.75" customHeight="1">
      <c r="A8" s="1686" t="s">
        <v>525</v>
      </c>
      <c r="B8" s="1687"/>
      <c r="C8" s="1687"/>
      <c r="D8" s="1687"/>
      <c r="E8" s="882" t="s">
        <v>526</v>
      </c>
      <c r="F8" s="882" t="s">
        <v>527</v>
      </c>
      <c r="G8" s="882" t="s">
        <v>654</v>
      </c>
      <c r="H8" s="882" t="s">
        <v>546</v>
      </c>
      <c r="I8" s="882" t="s">
        <v>677</v>
      </c>
      <c r="J8" s="882" t="s">
        <v>678</v>
      </c>
      <c r="K8" s="884" t="s">
        <v>679</v>
      </c>
    </row>
    <row r="9" spans="1:11" ht="14.15" customHeight="1">
      <c r="A9" s="1442" t="s">
        <v>680</v>
      </c>
      <c r="B9" s="1443"/>
      <c r="C9" s="1443"/>
      <c r="D9" s="1443"/>
      <c r="E9" s="126"/>
      <c r="F9" s="126"/>
      <c r="G9" s="109">
        <f>ABS(E9-F9)</f>
        <v>0</v>
      </c>
      <c r="H9" s="433" t="str">
        <f>IF(F9,(E9-F9)/F9,IF(ISBLANK(F9),"",IF(E9,IF( E9 &gt; 0,1,-1),"")))</f>
        <v/>
      </c>
      <c r="I9" s="126"/>
      <c r="J9" s="126"/>
      <c r="K9" s="830"/>
    </row>
    <row r="10" spans="1:11" ht="14.15" customHeight="1">
      <c r="A10" s="1442" t="s">
        <v>1809</v>
      </c>
      <c r="B10" s="1443"/>
      <c r="C10" s="1443"/>
      <c r="D10" s="1443"/>
      <c r="E10" s="126"/>
      <c r="F10" s="126"/>
      <c r="G10" s="109">
        <f t="shared" ref="G10:G18" si="0">ABS(E10-F10)</f>
        <v>0</v>
      </c>
      <c r="H10" s="433" t="str">
        <f t="shared" ref="H10:H39" si="1">IF(F10,(E10-F10)/F10,IF(ISBLANK(F10),"",IF(E10,IF( E10 &gt; 0,1,-1),"")))</f>
        <v/>
      </c>
      <c r="I10" s="126"/>
      <c r="J10" s="126"/>
      <c r="K10" s="830"/>
    </row>
    <row r="11" spans="1:11" ht="14.15" customHeight="1">
      <c r="A11" s="1442" t="s">
        <v>681</v>
      </c>
      <c r="B11" s="1443"/>
      <c r="C11" s="1443"/>
      <c r="D11" s="1443"/>
      <c r="E11" s="126"/>
      <c r="F11" s="126"/>
      <c r="G11" s="109">
        <f t="shared" si="0"/>
        <v>0</v>
      </c>
      <c r="H11" s="433" t="str">
        <f t="shared" si="1"/>
        <v/>
      </c>
      <c r="I11" s="126"/>
      <c r="J11" s="126"/>
      <c r="K11" s="830"/>
    </row>
    <row r="12" spans="1:11" ht="14.15" customHeight="1">
      <c r="A12" s="1442" t="s">
        <v>682</v>
      </c>
      <c r="B12" s="1443"/>
      <c r="C12" s="1443"/>
      <c r="D12" s="1443"/>
      <c r="E12" s="126"/>
      <c r="F12" s="126"/>
      <c r="G12" s="109">
        <f t="shared" si="0"/>
        <v>0</v>
      </c>
      <c r="H12" s="433" t="str">
        <f t="shared" si="1"/>
        <v/>
      </c>
      <c r="I12" s="126"/>
      <c r="J12" s="126"/>
      <c r="K12" s="830"/>
    </row>
    <row r="13" spans="1:11" ht="14.15" customHeight="1">
      <c r="A13" s="1442" t="s">
        <v>683</v>
      </c>
      <c r="B13" s="1443"/>
      <c r="C13" s="1443"/>
      <c r="D13" s="1443"/>
      <c r="E13" s="126"/>
      <c r="F13" s="126"/>
      <c r="G13" s="109">
        <f t="shared" si="0"/>
        <v>0</v>
      </c>
      <c r="H13" s="433" t="str">
        <f t="shared" si="1"/>
        <v/>
      </c>
      <c r="I13" s="126"/>
      <c r="J13" s="126"/>
      <c r="K13" s="830"/>
    </row>
    <row r="14" spans="1:11" ht="14.15" customHeight="1">
      <c r="A14" s="1442" t="s">
        <v>537</v>
      </c>
      <c r="B14" s="1443"/>
      <c r="C14" s="1443"/>
      <c r="D14" s="1443"/>
      <c r="E14" s="126"/>
      <c r="F14" s="126"/>
      <c r="G14" s="109">
        <f t="shared" si="0"/>
        <v>0</v>
      </c>
      <c r="H14" s="433" t="str">
        <f t="shared" si="1"/>
        <v/>
      </c>
      <c r="I14" s="126"/>
      <c r="J14" s="126"/>
      <c r="K14" s="830"/>
    </row>
    <row r="15" spans="1:11" ht="14.15" customHeight="1">
      <c r="A15" s="1442" t="s">
        <v>1810</v>
      </c>
      <c r="B15" s="1443"/>
      <c r="C15" s="1443"/>
      <c r="D15" s="1443"/>
      <c r="E15" s="126"/>
      <c r="F15" s="126"/>
      <c r="G15" s="109">
        <f t="shared" si="0"/>
        <v>0</v>
      </c>
      <c r="H15" s="433" t="str">
        <f t="shared" si="1"/>
        <v/>
      </c>
      <c r="I15" s="126"/>
      <c r="J15" s="126"/>
      <c r="K15" s="830"/>
    </row>
    <row r="16" spans="1:11" ht="14.15" customHeight="1">
      <c r="A16" s="1442" t="s">
        <v>684</v>
      </c>
      <c r="B16" s="1443"/>
      <c r="C16" s="1443"/>
      <c r="D16" s="1443"/>
      <c r="E16" s="126"/>
      <c r="F16" s="126"/>
      <c r="G16" s="109">
        <f t="shared" si="0"/>
        <v>0</v>
      </c>
      <c r="H16" s="433" t="str">
        <f t="shared" si="1"/>
        <v/>
      </c>
      <c r="I16" s="126"/>
      <c r="J16" s="126"/>
      <c r="K16" s="830"/>
    </row>
    <row r="17" spans="1:11" ht="14.15" customHeight="1">
      <c r="A17" s="1442" t="s">
        <v>1811</v>
      </c>
      <c r="B17" s="1443"/>
      <c r="C17" s="1443"/>
      <c r="D17" s="1443"/>
      <c r="E17" s="126"/>
      <c r="F17" s="126"/>
      <c r="G17" s="109">
        <f t="shared" si="0"/>
        <v>0</v>
      </c>
      <c r="H17" s="433" t="str">
        <f t="shared" si="1"/>
        <v/>
      </c>
      <c r="I17" s="126"/>
      <c r="J17" s="126"/>
      <c r="K17" s="830"/>
    </row>
    <row r="18" spans="1:11" ht="14.15" customHeight="1">
      <c r="A18" s="1442" t="s">
        <v>685</v>
      </c>
      <c r="B18" s="1443"/>
      <c r="C18" s="1443"/>
      <c r="D18" s="1443"/>
      <c r="E18" s="126"/>
      <c r="F18" s="126"/>
      <c r="G18" s="109">
        <f t="shared" si="0"/>
        <v>0</v>
      </c>
      <c r="H18" s="433" t="str">
        <f t="shared" si="1"/>
        <v/>
      </c>
      <c r="I18" s="126"/>
      <c r="J18" s="126"/>
      <c r="K18" s="830"/>
    </row>
    <row r="19" spans="1:11" ht="14.15" customHeight="1">
      <c r="A19" s="1612" t="s">
        <v>1576</v>
      </c>
      <c r="B19" s="1613"/>
      <c r="C19" s="1613"/>
      <c r="D19" s="1613"/>
      <c r="E19" s="108">
        <f>SUM(E9:E18)</f>
        <v>0</v>
      </c>
      <c r="F19" s="108">
        <f>SUM(F9:F18)</f>
        <v>0</v>
      </c>
      <c r="G19" s="108">
        <f>ABS(E19-F19)</f>
        <v>0</v>
      </c>
      <c r="H19" s="434" t="str">
        <f t="shared" si="1"/>
        <v/>
      </c>
      <c r="I19" s="108">
        <f>SUM(I9:I18)</f>
        <v>0</v>
      </c>
      <c r="J19" s="108">
        <f>SUM(J9:J18)</f>
        <v>0</v>
      </c>
      <c r="K19" s="872">
        <f>SUM(K9:K18)</f>
        <v>0</v>
      </c>
    </row>
    <row r="20" spans="1:11" ht="14.15" customHeight="1">
      <c r="A20" s="1442" t="s">
        <v>686</v>
      </c>
      <c r="B20" s="1443"/>
      <c r="C20" s="1443"/>
      <c r="D20" s="1443"/>
      <c r="E20" s="126"/>
      <c r="F20" s="126"/>
      <c r="G20" s="109">
        <f t="shared" ref="G20:G26" si="2">ABS(E20-F20)</f>
        <v>0</v>
      </c>
      <c r="H20" s="433" t="str">
        <f t="shared" si="1"/>
        <v/>
      </c>
      <c r="I20" s="126"/>
      <c r="J20" s="126"/>
      <c r="K20" s="830"/>
    </row>
    <row r="21" spans="1:11" ht="14.15" customHeight="1">
      <c r="A21" s="1442" t="s">
        <v>687</v>
      </c>
      <c r="B21" s="1443"/>
      <c r="C21" s="1443"/>
      <c r="D21" s="1443"/>
      <c r="E21" s="126"/>
      <c r="F21" s="126"/>
      <c r="G21" s="109">
        <f t="shared" si="2"/>
        <v>0</v>
      </c>
      <c r="H21" s="433" t="str">
        <f t="shared" si="1"/>
        <v/>
      </c>
      <c r="I21" s="126"/>
      <c r="J21" s="126"/>
      <c r="K21" s="830"/>
    </row>
    <row r="22" spans="1:11" ht="14.15" customHeight="1">
      <c r="A22" s="1442" t="s">
        <v>688</v>
      </c>
      <c r="B22" s="1443"/>
      <c r="C22" s="1443"/>
      <c r="D22" s="1443"/>
      <c r="E22" s="126"/>
      <c r="F22" s="126"/>
      <c r="G22" s="109">
        <f t="shared" si="2"/>
        <v>0</v>
      </c>
      <c r="H22" s="433" t="str">
        <f t="shared" si="1"/>
        <v/>
      </c>
      <c r="I22" s="126"/>
      <c r="J22" s="126"/>
      <c r="K22" s="830"/>
    </row>
    <row r="23" spans="1:11" ht="14.15" customHeight="1">
      <c r="A23" s="1442" t="s">
        <v>537</v>
      </c>
      <c r="B23" s="1443"/>
      <c r="C23" s="1443"/>
      <c r="D23" s="1443"/>
      <c r="E23" s="126"/>
      <c r="F23" s="126"/>
      <c r="G23" s="109">
        <f t="shared" si="2"/>
        <v>0</v>
      </c>
      <c r="H23" s="433" t="str">
        <f t="shared" si="1"/>
        <v/>
      </c>
      <c r="I23" s="126"/>
      <c r="J23" s="126"/>
      <c r="K23" s="830"/>
    </row>
    <row r="24" spans="1:11" ht="14.15" customHeight="1">
      <c r="A24" s="1442" t="s">
        <v>689</v>
      </c>
      <c r="B24" s="1443"/>
      <c r="C24" s="1443"/>
      <c r="D24" s="1443"/>
      <c r="E24" s="126"/>
      <c r="F24" s="126"/>
      <c r="G24" s="109">
        <f t="shared" si="2"/>
        <v>0</v>
      </c>
      <c r="H24" s="433" t="str">
        <f t="shared" si="1"/>
        <v/>
      </c>
      <c r="I24" s="126"/>
      <c r="J24" s="126"/>
      <c r="K24" s="830"/>
    </row>
    <row r="25" spans="1:11" ht="14.15" customHeight="1">
      <c r="A25" s="1612" t="s">
        <v>690</v>
      </c>
      <c r="B25" s="1613"/>
      <c r="C25" s="1613"/>
      <c r="D25" s="1613"/>
      <c r="E25" s="108">
        <f>SUM(E20:E24)</f>
        <v>0</v>
      </c>
      <c r="F25" s="108">
        <f>SUM(F20:F24)</f>
        <v>0</v>
      </c>
      <c r="G25" s="108">
        <f>ABS(E25-F25)</f>
        <v>0</v>
      </c>
      <c r="H25" s="434" t="str">
        <f t="shared" si="1"/>
        <v/>
      </c>
      <c r="I25" s="108">
        <f>SUM(I20:I24)</f>
        <v>0</v>
      </c>
      <c r="J25" s="108">
        <f t="shared" ref="J25:K25" si="3">SUM(J20:J24)</f>
        <v>0</v>
      </c>
      <c r="K25" s="872">
        <f t="shared" si="3"/>
        <v>0</v>
      </c>
    </row>
    <row r="26" spans="1:11" ht="14.15" customHeight="1">
      <c r="A26" s="1442" t="s">
        <v>691</v>
      </c>
      <c r="B26" s="1443"/>
      <c r="C26" s="1443"/>
      <c r="D26" s="1443"/>
      <c r="E26" s="126"/>
      <c r="F26" s="126"/>
      <c r="G26" s="109">
        <f t="shared" si="2"/>
        <v>0</v>
      </c>
      <c r="H26" s="433" t="str">
        <f t="shared" si="1"/>
        <v/>
      </c>
      <c r="I26" s="367"/>
      <c r="J26" s="368"/>
      <c r="K26" s="910"/>
    </row>
    <row r="27" spans="1:11" ht="14.15" customHeight="1">
      <c r="A27" s="1442" t="s">
        <v>692</v>
      </c>
      <c r="B27" s="1443"/>
      <c r="C27" s="1443"/>
      <c r="D27" s="1443"/>
      <c r="E27" s="126"/>
      <c r="F27" s="126"/>
      <c r="G27" s="109">
        <f t="shared" ref="G27:G38" si="4">ABS(E27-F27)</f>
        <v>0</v>
      </c>
      <c r="H27" s="433" t="str">
        <f t="shared" si="1"/>
        <v/>
      </c>
      <c r="I27" s="369"/>
      <c r="J27" s="370"/>
      <c r="K27" s="911"/>
    </row>
    <row r="28" spans="1:11" ht="14.15" customHeight="1">
      <c r="A28" s="1442" t="s">
        <v>693</v>
      </c>
      <c r="B28" s="1443"/>
      <c r="C28" s="1443"/>
      <c r="D28" s="1443"/>
      <c r="E28" s="126"/>
      <c r="F28" s="126"/>
      <c r="G28" s="109">
        <f t="shared" si="4"/>
        <v>0</v>
      </c>
      <c r="H28" s="433" t="str">
        <f t="shared" si="1"/>
        <v/>
      </c>
      <c r="I28" s="369"/>
      <c r="J28" s="370"/>
      <c r="K28" s="911"/>
    </row>
    <row r="29" spans="1:11" ht="14.15" customHeight="1">
      <c r="A29" s="1442" t="s">
        <v>1812</v>
      </c>
      <c r="B29" s="1443"/>
      <c r="C29" s="1443"/>
      <c r="D29" s="1443"/>
      <c r="E29" s="126"/>
      <c r="F29" s="126"/>
      <c r="G29" s="109">
        <f t="shared" si="4"/>
        <v>0</v>
      </c>
      <c r="H29" s="433" t="str">
        <f t="shared" si="1"/>
        <v/>
      </c>
      <c r="I29" s="369"/>
      <c r="J29" s="370"/>
      <c r="K29" s="911"/>
    </row>
    <row r="30" spans="1:11" ht="14.15" customHeight="1">
      <c r="A30" s="1442" t="s">
        <v>694</v>
      </c>
      <c r="B30" s="1443"/>
      <c r="C30" s="1443"/>
      <c r="D30" s="1443"/>
      <c r="E30" s="126"/>
      <c r="F30" s="126"/>
      <c r="G30" s="109">
        <f t="shared" si="4"/>
        <v>0</v>
      </c>
      <c r="H30" s="433" t="str">
        <f t="shared" si="1"/>
        <v/>
      </c>
      <c r="I30" s="369"/>
      <c r="J30" s="370"/>
      <c r="K30" s="911"/>
    </row>
    <row r="31" spans="1:11" ht="14.15" customHeight="1">
      <c r="A31" s="1442" t="s">
        <v>1577</v>
      </c>
      <c r="B31" s="1443"/>
      <c r="C31" s="1443"/>
      <c r="D31" s="1443"/>
      <c r="E31" s="126"/>
      <c r="F31" s="126"/>
      <c r="G31" s="109">
        <f t="shared" si="4"/>
        <v>0</v>
      </c>
      <c r="H31" s="433" t="str">
        <f t="shared" si="1"/>
        <v/>
      </c>
      <c r="I31" s="369"/>
      <c r="J31" s="370"/>
      <c r="K31" s="911"/>
    </row>
    <row r="32" spans="1:11" ht="14.15" customHeight="1">
      <c r="A32" s="1442" t="s">
        <v>1578</v>
      </c>
      <c r="B32" s="1443"/>
      <c r="C32" s="1443"/>
      <c r="D32" s="1443"/>
      <c r="E32" s="126"/>
      <c r="F32" s="126"/>
      <c r="G32" s="109">
        <f t="shared" si="4"/>
        <v>0</v>
      </c>
      <c r="H32" s="433" t="str">
        <f t="shared" si="1"/>
        <v/>
      </c>
      <c r="I32" s="369"/>
      <c r="J32" s="370"/>
      <c r="K32" s="911"/>
    </row>
    <row r="33" spans="1:11" ht="14.15" customHeight="1">
      <c r="A33" s="1442" t="s">
        <v>695</v>
      </c>
      <c r="B33" s="1443"/>
      <c r="C33" s="1443"/>
      <c r="D33" s="1443"/>
      <c r="E33" s="126"/>
      <c r="F33" s="126"/>
      <c r="G33" s="109">
        <f t="shared" si="4"/>
        <v>0</v>
      </c>
      <c r="H33" s="433" t="str">
        <f t="shared" si="1"/>
        <v/>
      </c>
      <c r="I33" s="369"/>
      <c r="J33" s="370"/>
      <c r="K33" s="911"/>
    </row>
    <row r="34" spans="1:11" ht="14.15" customHeight="1">
      <c r="A34" s="1442" t="s">
        <v>696</v>
      </c>
      <c r="B34" s="1443"/>
      <c r="C34" s="1443"/>
      <c r="D34" s="1443"/>
      <c r="E34" s="126"/>
      <c r="F34" s="126"/>
      <c r="G34" s="109">
        <f t="shared" si="4"/>
        <v>0</v>
      </c>
      <c r="H34" s="433" t="str">
        <f t="shared" si="1"/>
        <v/>
      </c>
      <c r="I34" s="369"/>
      <c r="J34" s="370"/>
      <c r="K34" s="911"/>
    </row>
    <row r="35" spans="1:11" ht="14.15" customHeight="1">
      <c r="A35" s="1442" t="s">
        <v>1813</v>
      </c>
      <c r="B35" s="1443"/>
      <c r="C35" s="1443"/>
      <c r="D35" s="1443"/>
      <c r="E35" s="126"/>
      <c r="F35" s="126"/>
      <c r="G35" s="109">
        <f t="shared" si="4"/>
        <v>0</v>
      </c>
      <c r="H35" s="433" t="str">
        <f t="shared" si="1"/>
        <v/>
      </c>
      <c r="I35" s="369"/>
      <c r="J35" s="370"/>
      <c r="K35" s="911"/>
    </row>
    <row r="36" spans="1:11" ht="14.15" customHeight="1">
      <c r="A36" s="1442" t="s">
        <v>697</v>
      </c>
      <c r="B36" s="1443"/>
      <c r="C36" s="1443"/>
      <c r="D36" s="1443"/>
      <c r="E36" s="126"/>
      <c r="F36" s="126"/>
      <c r="G36" s="109">
        <f t="shared" si="4"/>
        <v>0</v>
      </c>
      <c r="H36" s="433" t="str">
        <f t="shared" si="1"/>
        <v/>
      </c>
      <c r="I36" s="369"/>
      <c r="J36" s="370"/>
      <c r="K36" s="911"/>
    </row>
    <row r="37" spans="1:11" ht="14.15" customHeight="1">
      <c r="A37" s="1442" t="s">
        <v>1814</v>
      </c>
      <c r="B37" s="1443"/>
      <c r="C37" s="1443"/>
      <c r="D37" s="1443"/>
      <c r="E37" s="126"/>
      <c r="F37" s="126"/>
      <c r="G37" s="109">
        <f t="shared" si="4"/>
        <v>0</v>
      </c>
      <c r="H37" s="433" t="str">
        <f t="shared" si="1"/>
        <v/>
      </c>
      <c r="I37" s="369"/>
      <c r="J37" s="370"/>
      <c r="K37" s="911"/>
    </row>
    <row r="38" spans="1:11" ht="14.15" customHeight="1">
      <c r="A38" s="1442" t="s">
        <v>698</v>
      </c>
      <c r="B38" s="1443"/>
      <c r="C38" s="1443"/>
      <c r="D38" s="1443"/>
      <c r="E38" s="126"/>
      <c r="F38" s="126"/>
      <c r="G38" s="109">
        <f t="shared" si="4"/>
        <v>0</v>
      </c>
      <c r="H38" s="433" t="str">
        <f t="shared" si="1"/>
        <v/>
      </c>
      <c r="I38" s="369"/>
      <c r="J38" s="370"/>
      <c r="K38" s="911"/>
    </row>
    <row r="39" spans="1:11" ht="14.15" customHeight="1" thickBot="1">
      <c r="A39" s="1629" t="s">
        <v>699</v>
      </c>
      <c r="B39" s="1630"/>
      <c r="C39" s="1630"/>
      <c r="D39" s="1630"/>
      <c r="E39" s="868">
        <f>SUM(E26:E38)</f>
        <v>0</v>
      </c>
      <c r="F39" s="868">
        <f>SUM(F26:F38)</f>
        <v>0</v>
      </c>
      <c r="G39" s="868">
        <f>ABS(E39-F39)</f>
        <v>0</v>
      </c>
      <c r="H39" s="874" t="str">
        <f t="shared" si="1"/>
        <v/>
      </c>
      <c r="I39" s="912"/>
      <c r="J39" s="913"/>
      <c r="K39" s="914"/>
    </row>
    <row r="40" spans="1:11">
      <c r="A40" s="1717" t="s">
        <v>1579</v>
      </c>
      <c r="B40" s="1718"/>
      <c r="C40" s="1718"/>
      <c r="D40" s="1718"/>
      <c r="E40" s="1718"/>
      <c r="F40" s="1718"/>
      <c r="G40" s="1718"/>
      <c r="H40" s="1718"/>
      <c r="I40" s="1718"/>
      <c r="J40" s="1718"/>
      <c r="K40" s="1718"/>
    </row>
    <row r="41" spans="1:11" s="440" customFormat="1" ht="10.5">
      <c r="A41" s="589" t="s">
        <v>1546</v>
      </c>
    </row>
    <row r="42" spans="1:11" s="440" customFormat="1" ht="11.25" customHeight="1">
      <c r="A42" s="641" t="s">
        <v>1580</v>
      </c>
    </row>
    <row r="43" spans="1:11" s="440" customFormat="1" ht="11.25" customHeight="1">
      <c r="A43" s="641" t="s">
        <v>1816</v>
      </c>
    </row>
    <row r="44" spans="1:11" s="440" customFormat="1" ht="11.25" customHeight="1">
      <c r="A44" s="576" t="s">
        <v>1815</v>
      </c>
    </row>
    <row r="45" spans="1:11" s="593" customFormat="1" ht="11.25" customHeight="1">
      <c r="A45" s="1715" t="s">
        <v>1817</v>
      </c>
      <c r="B45" s="1715"/>
      <c r="C45" s="1715"/>
      <c r="D45" s="1715"/>
      <c r="E45" s="1715"/>
      <c r="F45" s="1715"/>
      <c r="G45" s="591"/>
      <c r="H45" s="591"/>
      <c r="I45" s="592"/>
      <c r="J45" s="592"/>
    </row>
    <row r="46" spans="1:11" s="593" customFormat="1" ht="11.25" customHeight="1">
      <c r="A46" s="1716" t="s">
        <v>1818</v>
      </c>
      <c r="B46" s="1716"/>
      <c r="C46" s="1716"/>
      <c r="D46" s="1716"/>
      <c r="E46" s="1716"/>
      <c r="F46" s="1716"/>
      <c r="G46" s="1716"/>
      <c r="H46" s="1716"/>
      <c r="I46" s="1716"/>
      <c r="J46" s="1716"/>
    </row>
  </sheetData>
  <sheetProtection selectLockedCells="1"/>
  <mergeCells count="43">
    <mergeCell ref="A13:D13"/>
    <mergeCell ref="A14:D14"/>
    <mergeCell ref="A12:D12"/>
    <mergeCell ref="A1:K1"/>
    <mergeCell ref="J2:K2"/>
    <mergeCell ref="C3:K3"/>
    <mergeCell ref="B4:I4"/>
    <mergeCell ref="C5:F5"/>
    <mergeCell ref="A7:K7"/>
    <mergeCell ref="A8:D8"/>
    <mergeCell ref="A9:D9"/>
    <mergeCell ref="A10:D10"/>
    <mergeCell ref="A11:D11"/>
    <mergeCell ref="C6:F6"/>
    <mergeCell ref="G5:H5"/>
    <mergeCell ref="A15:D15"/>
    <mergeCell ref="A16:D16"/>
    <mergeCell ref="A17:D17"/>
    <mergeCell ref="A18:D18"/>
    <mergeCell ref="A19:D19"/>
    <mergeCell ref="A21:D21"/>
    <mergeCell ref="A22:D22"/>
    <mergeCell ref="A23:D23"/>
    <mergeCell ref="A39:D39"/>
    <mergeCell ref="A25:D25"/>
    <mergeCell ref="A26:D26"/>
    <mergeCell ref="A24:D24"/>
    <mergeCell ref="A45:F45"/>
    <mergeCell ref="A46:J46"/>
    <mergeCell ref="A20:D20"/>
    <mergeCell ref="A40:K40"/>
    <mergeCell ref="A27:D27"/>
    <mergeCell ref="A28:D28"/>
    <mergeCell ref="A29:D29"/>
    <mergeCell ref="A30:D30"/>
    <mergeCell ref="A31:D31"/>
    <mergeCell ref="A32:D32"/>
    <mergeCell ref="A33:D33"/>
    <mergeCell ref="A34:D34"/>
    <mergeCell ref="A35:D35"/>
    <mergeCell ref="A36:D36"/>
    <mergeCell ref="A37:D37"/>
    <mergeCell ref="A38:D38"/>
  </mergeCells>
  <dataValidations count="1">
    <dataValidation type="whole" allowBlank="1" showInputMessage="1" showErrorMessage="1" errorTitle="Attention!" error="Valeur numérique attendue" sqref="E9:F18 I9:K18 E20:F24 I20:K24 E26:F38" xr:uid="{00000000-0002-0000-2400-000000000000}">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82"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9">
    <pageSetUpPr fitToPage="1"/>
  </sheetPr>
  <dimension ref="A1:I38"/>
  <sheetViews>
    <sheetView showGridLines="0" topLeftCell="A17" workbookViewId="0">
      <selection activeCell="A31" sqref="A31:I36"/>
    </sheetView>
  </sheetViews>
  <sheetFormatPr baseColWidth="10" defaultRowHeight="14.5"/>
  <cols>
    <col min="2" max="2" width="16.1796875" customWidth="1"/>
    <col min="3" max="3" width="6.1796875" customWidth="1"/>
    <col min="4" max="4" width="7.453125" customWidth="1"/>
    <col min="5" max="5" width="11" customWidth="1"/>
    <col min="6" max="6" width="14.453125" customWidth="1"/>
    <col min="7" max="7" width="14.81640625" customWidth="1"/>
    <col min="8" max="9" width="15.453125"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1945</v>
      </c>
      <c r="I2" s="1460"/>
    </row>
    <row r="3" spans="1:9" s="132" customFormat="1" ht="15" customHeight="1">
      <c r="A3" s="7" t="s">
        <v>26</v>
      </c>
      <c r="B3" s="7"/>
      <c r="C3" s="1221">
        <f>'NOTE 11'!C3</f>
        <v>0</v>
      </c>
      <c r="D3" s="1221"/>
      <c r="E3" s="1221"/>
      <c r="F3" s="1221"/>
      <c r="G3" s="1221"/>
      <c r="H3" s="1221"/>
      <c r="I3" s="1221"/>
    </row>
    <row r="4" spans="1:9" s="132" customFormat="1" ht="15" customHeight="1">
      <c r="A4" s="7" t="s">
        <v>27</v>
      </c>
      <c r="B4" s="1221">
        <f>'NOTE 11'!B4</f>
        <v>0</v>
      </c>
      <c r="C4" s="1223"/>
      <c r="D4" s="1223"/>
      <c r="E4" s="1223"/>
      <c r="F4" s="1223"/>
      <c r="G4" s="1223"/>
      <c r="H4" s="61" t="s">
        <v>28</v>
      </c>
      <c r="I4" s="44">
        <f>'NOTE 11'!I4</f>
        <v>0</v>
      </c>
    </row>
    <row r="5" spans="1:9" s="132" customFormat="1" ht="15" customHeight="1">
      <c r="A5" s="7" t="s">
        <v>2021</v>
      </c>
      <c r="B5" s="7"/>
      <c r="C5" s="1223">
        <f>'NOTE 11'!C5</f>
        <v>0</v>
      </c>
      <c r="D5" s="1223"/>
      <c r="E5" s="1223"/>
      <c r="F5" s="43" t="s">
        <v>30</v>
      </c>
      <c r="G5" s="365">
        <f>'NOTE 11'!F5</f>
        <v>0</v>
      </c>
      <c r="H5" s="61" t="s">
        <v>31</v>
      </c>
      <c r="I5" s="111">
        <f>'NOTE 11'!I5</f>
        <v>0</v>
      </c>
    </row>
    <row r="6" spans="1:9" s="132" customFormat="1" ht="15" customHeight="1">
      <c r="A6" s="7" t="s">
        <v>2026</v>
      </c>
      <c r="B6" s="7"/>
      <c r="C6" s="1461">
        <f>'NOTE 11'!C6</f>
        <v>0</v>
      </c>
      <c r="D6" s="1461"/>
      <c r="E6" s="1461"/>
      <c r="F6" s="262"/>
      <c r="G6" s="44"/>
      <c r="H6" s="263"/>
      <c r="I6" s="44"/>
    </row>
    <row r="7" spans="1:9" ht="35.15" customHeight="1" thickBot="1">
      <c r="A7" s="1169" t="s">
        <v>1946</v>
      </c>
      <c r="B7" s="1169"/>
      <c r="C7" s="1169"/>
      <c r="D7" s="1169"/>
      <c r="E7" s="1169"/>
      <c r="F7" s="1169"/>
      <c r="G7" s="1169"/>
      <c r="H7" s="1169"/>
      <c r="I7" s="1169"/>
    </row>
    <row r="8" spans="1:9" ht="27.75" customHeight="1">
      <c r="A8" s="1722" t="s">
        <v>700</v>
      </c>
      <c r="B8" s="1723"/>
      <c r="C8" s="1723"/>
      <c r="D8" s="1723"/>
      <c r="E8" s="1723"/>
      <c r="F8" s="1723"/>
      <c r="G8" s="1723"/>
      <c r="H8" s="1723"/>
      <c r="I8" s="1724"/>
    </row>
    <row r="9" spans="1:9" ht="18.75" customHeight="1">
      <c r="A9" s="1721" t="s">
        <v>525</v>
      </c>
      <c r="B9" s="1360"/>
      <c r="C9" s="1360"/>
      <c r="D9" s="1360"/>
      <c r="E9" s="1360"/>
      <c r="F9" s="1360"/>
      <c r="G9" s="1360"/>
      <c r="H9" s="309" t="s">
        <v>526</v>
      </c>
      <c r="I9" s="793" t="s">
        <v>527</v>
      </c>
    </row>
    <row r="10" spans="1:9" ht="18.75" customHeight="1">
      <c r="A10" s="1442" t="s">
        <v>701</v>
      </c>
      <c r="B10" s="1443"/>
      <c r="C10" s="1443"/>
      <c r="D10" s="1443"/>
      <c r="E10" s="1443"/>
      <c r="F10" s="1443"/>
      <c r="G10" s="1443"/>
      <c r="H10" s="126"/>
      <c r="I10" s="830"/>
    </row>
    <row r="11" spans="1:9" ht="18.75" customHeight="1">
      <c r="A11" s="1442" t="s">
        <v>702</v>
      </c>
      <c r="B11" s="1443"/>
      <c r="C11" s="1443"/>
      <c r="D11" s="1443"/>
      <c r="E11" s="1443"/>
      <c r="F11" s="1443"/>
      <c r="G11" s="1443"/>
      <c r="H11" s="126"/>
      <c r="I11" s="830"/>
    </row>
    <row r="12" spans="1:9" ht="18.75" customHeight="1">
      <c r="A12" s="1442" t="s">
        <v>703</v>
      </c>
      <c r="B12" s="1443"/>
      <c r="C12" s="1443"/>
      <c r="D12" s="1443"/>
      <c r="E12" s="1443"/>
      <c r="F12" s="1443"/>
      <c r="G12" s="1443"/>
      <c r="H12" s="126"/>
      <c r="I12" s="830"/>
    </row>
    <row r="13" spans="1:9" ht="18.75" customHeight="1">
      <c r="A13" s="1442" t="s">
        <v>704</v>
      </c>
      <c r="B13" s="1443"/>
      <c r="C13" s="1443"/>
      <c r="D13" s="1443"/>
      <c r="E13" s="1443"/>
      <c r="F13" s="1443"/>
      <c r="G13" s="1443"/>
      <c r="H13" s="126"/>
      <c r="I13" s="830"/>
    </row>
    <row r="14" spans="1:9" ht="18.75" customHeight="1">
      <c r="A14" s="1442" t="s">
        <v>705</v>
      </c>
      <c r="B14" s="1443"/>
      <c r="C14" s="1443"/>
      <c r="D14" s="1443"/>
      <c r="E14" s="1443"/>
      <c r="F14" s="1443"/>
      <c r="G14" s="1443"/>
      <c r="H14" s="126"/>
      <c r="I14" s="830"/>
    </row>
    <row r="15" spans="1:9" ht="18.75" customHeight="1" thickBot="1">
      <c r="A15" s="1719" t="s">
        <v>706</v>
      </c>
      <c r="B15" s="1720"/>
      <c r="C15" s="1720"/>
      <c r="D15" s="1720"/>
      <c r="E15" s="1720"/>
      <c r="F15" s="1720"/>
      <c r="G15" s="1720"/>
      <c r="H15" s="862"/>
      <c r="I15" s="863"/>
    </row>
    <row r="16" spans="1:9" s="3" customFormat="1" ht="12" customHeight="1">
      <c r="A16" s="581" t="s">
        <v>1792</v>
      </c>
      <c r="B16" s="113"/>
      <c r="C16" s="113"/>
      <c r="D16" s="113"/>
      <c r="E16" s="113"/>
      <c r="F16" s="113"/>
      <c r="G16" s="113"/>
      <c r="H16" s="585"/>
      <c r="I16" s="585"/>
    </row>
    <row r="17" spans="1:9" s="3" customFormat="1" ht="12" customHeight="1">
      <c r="A17" s="641" t="s">
        <v>1984</v>
      </c>
      <c r="B17" s="113"/>
      <c r="C17" s="113"/>
      <c r="D17" s="113"/>
      <c r="E17" s="113"/>
      <c r="F17" s="113"/>
      <c r="G17" s="113"/>
      <c r="H17" s="585"/>
      <c r="I17" s="585"/>
    </row>
    <row r="18" spans="1:9" ht="12.75" customHeight="1" thickBot="1">
      <c r="B18" s="7"/>
      <c r="C18" s="7"/>
      <c r="D18" s="7"/>
      <c r="E18" s="7"/>
      <c r="F18" s="7"/>
      <c r="G18" s="7"/>
      <c r="H18" s="7"/>
      <c r="I18" s="132"/>
    </row>
    <row r="19" spans="1:9" ht="27.75" customHeight="1">
      <c r="A19" s="1722" t="s">
        <v>707</v>
      </c>
      <c r="B19" s="1723"/>
      <c r="C19" s="1723"/>
      <c r="D19" s="1723"/>
      <c r="E19" s="1723"/>
      <c r="F19" s="1723"/>
      <c r="G19" s="1723"/>
      <c r="H19" s="1723"/>
      <c r="I19" s="1724"/>
    </row>
    <row r="20" spans="1:9" ht="18.75" customHeight="1">
      <c r="A20" s="1721" t="s">
        <v>525</v>
      </c>
      <c r="B20" s="1360"/>
      <c r="C20" s="1360"/>
      <c r="D20" s="1360"/>
      <c r="E20" s="1360"/>
      <c r="F20" s="1360"/>
      <c r="G20" s="1360"/>
      <c r="H20" s="309" t="s">
        <v>526</v>
      </c>
      <c r="I20" s="793" t="s">
        <v>527</v>
      </c>
    </row>
    <row r="21" spans="1:9" ht="18.75" customHeight="1">
      <c r="A21" s="1456" t="s">
        <v>708</v>
      </c>
      <c r="B21" s="1457"/>
      <c r="C21" s="1457"/>
      <c r="D21" s="1457"/>
      <c r="E21" s="1457"/>
      <c r="F21" s="1457"/>
      <c r="G21" s="1457"/>
      <c r="H21" s="140"/>
      <c r="I21" s="915"/>
    </row>
    <row r="22" spans="1:9" ht="18.75" customHeight="1">
      <c r="A22" s="1442" t="s">
        <v>709</v>
      </c>
      <c r="B22" s="1443"/>
      <c r="C22" s="1443"/>
      <c r="D22" s="1443"/>
      <c r="E22" s="1443"/>
      <c r="F22" s="1443"/>
      <c r="G22" s="1443"/>
      <c r="H22" s="126"/>
      <c r="I22" s="830"/>
    </row>
    <row r="23" spans="1:9" ht="18.75" customHeight="1">
      <c r="A23" s="1442" t="s">
        <v>710</v>
      </c>
      <c r="B23" s="1443"/>
      <c r="C23" s="1443"/>
      <c r="D23" s="1443"/>
      <c r="E23" s="1443"/>
      <c r="F23" s="1443"/>
      <c r="G23" s="1443"/>
      <c r="H23" s="126"/>
      <c r="I23" s="830"/>
    </row>
    <row r="24" spans="1:9" ht="18.75" customHeight="1">
      <c r="A24" s="1442" t="s">
        <v>711</v>
      </c>
      <c r="B24" s="1443"/>
      <c r="C24" s="1443"/>
      <c r="D24" s="1443"/>
      <c r="E24" s="1443"/>
      <c r="F24" s="1443"/>
      <c r="G24" s="1443"/>
      <c r="H24" s="126"/>
      <c r="I24" s="830"/>
    </row>
    <row r="25" spans="1:9" ht="18.75" customHeight="1">
      <c r="A25" s="1442" t="s">
        <v>712</v>
      </c>
      <c r="B25" s="1443"/>
      <c r="C25" s="1443"/>
      <c r="D25" s="1443"/>
      <c r="E25" s="1443"/>
      <c r="F25" s="1443"/>
      <c r="G25" s="1443"/>
      <c r="H25" s="126"/>
      <c r="I25" s="830"/>
    </row>
    <row r="26" spans="1:9" ht="18.75" customHeight="1">
      <c r="A26" s="1442" t="s">
        <v>713</v>
      </c>
      <c r="B26" s="1443"/>
      <c r="C26" s="1443"/>
      <c r="D26" s="1443"/>
      <c r="E26" s="1443"/>
      <c r="F26" s="1443"/>
      <c r="G26" s="1443"/>
      <c r="H26" s="126"/>
      <c r="I26" s="830"/>
    </row>
    <row r="27" spans="1:9" ht="18.75" customHeight="1" thickBot="1">
      <c r="A27" s="1636" t="s">
        <v>714</v>
      </c>
      <c r="B27" s="1637"/>
      <c r="C27" s="1637"/>
      <c r="D27" s="1637"/>
      <c r="E27" s="1637"/>
      <c r="F27" s="1637"/>
      <c r="G27" s="1637"/>
      <c r="H27" s="899"/>
      <c r="I27" s="916"/>
    </row>
    <row r="28" spans="1:9" s="3" customFormat="1" ht="12" customHeight="1">
      <c r="A28" s="581" t="s">
        <v>1792</v>
      </c>
      <c r="B28" s="594"/>
      <c r="C28" s="594"/>
      <c r="D28" s="594"/>
      <c r="E28" s="594"/>
      <c r="F28" s="594"/>
      <c r="G28" s="594"/>
      <c r="H28" s="595"/>
      <c r="I28" s="595"/>
    </row>
    <row r="29" spans="1:9" s="3" customFormat="1" ht="12" customHeight="1">
      <c r="A29" s="641" t="s">
        <v>1985</v>
      </c>
      <c r="B29" s="594"/>
      <c r="C29" s="594"/>
      <c r="D29" s="594"/>
      <c r="E29" s="594"/>
      <c r="F29" s="594"/>
      <c r="G29" s="594"/>
      <c r="H29" s="595"/>
      <c r="I29" s="595"/>
    </row>
    <row r="30" spans="1:9" ht="15" thickBot="1">
      <c r="A30" s="7"/>
      <c r="B30" s="7"/>
      <c r="C30" s="7"/>
      <c r="D30" s="7"/>
      <c r="E30" s="7"/>
      <c r="F30" s="7"/>
      <c r="G30" s="7"/>
      <c r="H30" s="7"/>
      <c r="I30" s="132"/>
    </row>
    <row r="31" spans="1:9" ht="27.75" customHeight="1">
      <c r="A31" s="1722" t="s">
        <v>715</v>
      </c>
      <c r="B31" s="1723"/>
      <c r="C31" s="1723"/>
      <c r="D31" s="1723"/>
      <c r="E31" s="1723"/>
      <c r="F31" s="1723"/>
      <c r="G31" s="1723"/>
      <c r="H31" s="1723"/>
      <c r="I31" s="1724"/>
    </row>
    <row r="32" spans="1:9" ht="18.75" customHeight="1">
      <c r="A32" s="1721" t="s">
        <v>525</v>
      </c>
      <c r="B32" s="1360"/>
      <c r="C32" s="1360"/>
      <c r="D32" s="1360"/>
      <c r="E32" s="1360"/>
      <c r="F32" s="1360" t="s">
        <v>526</v>
      </c>
      <c r="G32" s="1360"/>
      <c r="H32" s="1360" t="s">
        <v>527</v>
      </c>
      <c r="I32" s="1361"/>
    </row>
    <row r="33" spans="1:9">
      <c r="A33" s="1725"/>
      <c r="B33" s="1643"/>
      <c r="C33" s="1643"/>
      <c r="D33" s="1643"/>
      <c r="E33" s="1643"/>
      <c r="F33" s="144" t="s">
        <v>716</v>
      </c>
      <c r="G33" s="144" t="s">
        <v>717</v>
      </c>
      <c r="H33" s="144" t="s">
        <v>716</v>
      </c>
      <c r="I33" s="917" t="s">
        <v>717</v>
      </c>
    </row>
    <row r="34" spans="1:9" ht="18.75" customHeight="1">
      <c r="A34" s="1442" t="s">
        <v>718</v>
      </c>
      <c r="B34" s="1443"/>
      <c r="C34" s="1443"/>
      <c r="D34" s="1443"/>
      <c r="E34" s="1443"/>
      <c r="F34" s="126"/>
      <c r="G34" s="126"/>
      <c r="H34" s="126"/>
      <c r="I34" s="830"/>
    </row>
    <row r="35" spans="1:9" ht="18.75" customHeight="1">
      <c r="A35" s="1442" t="s">
        <v>719</v>
      </c>
      <c r="B35" s="1443"/>
      <c r="C35" s="1443"/>
      <c r="D35" s="1443"/>
      <c r="E35" s="1443"/>
      <c r="F35" s="126"/>
      <c r="G35" s="126"/>
      <c r="H35" s="126"/>
      <c r="I35" s="830"/>
    </row>
    <row r="36" spans="1:9" ht="18.75" customHeight="1" thickBot="1">
      <c r="A36" s="1719" t="s">
        <v>720</v>
      </c>
      <c r="B36" s="1720"/>
      <c r="C36" s="1720"/>
      <c r="D36" s="1720"/>
      <c r="E36" s="1720"/>
      <c r="F36" s="862"/>
      <c r="G36" s="862"/>
      <c r="H36" s="862"/>
      <c r="I36" s="863"/>
    </row>
    <row r="37" spans="1:9" s="3" customFormat="1" ht="12" customHeight="1">
      <c r="A37" s="581" t="s">
        <v>1792</v>
      </c>
    </row>
    <row r="38" spans="1:9" s="3" customFormat="1" ht="12" customHeight="1">
      <c r="A38" s="641" t="s">
        <v>1986</v>
      </c>
    </row>
  </sheetData>
  <sheetProtection selectLockedCells="1"/>
  <mergeCells count="32">
    <mergeCell ref="A31:I31"/>
    <mergeCell ref="A14:G14"/>
    <mergeCell ref="A15:G15"/>
    <mergeCell ref="A27:G27"/>
    <mergeCell ref="A13:G13"/>
    <mergeCell ref="A26:G26"/>
    <mergeCell ref="A1:I1"/>
    <mergeCell ref="H2:I2"/>
    <mergeCell ref="C3:I3"/>
    <mergeCell ref="B4:G4"/>
    <mergeCell ref="C5:E5"/>
    <mergeCell ref="A7:I7"/>
    <mergeCell ref="A8:I8"/>
    <mergeCell ref="A9:G9"/>
    <mergeCell ref="A10:G10"/>
    <mergeCell ref="A11:G11"/>
    <mergeCell ref="A12:G12"/>
    <mergeCell ref="C6:E6"/>
    <mergeCell ref="A36:E36"/>
    <mergeCell ref="A32:E32"/>
    <mergeCell ref="F32:G32"/>
    <mergeCell ref="A19:I19"/>
    <mergeCell ref="A20:G20"/>
    <mergeCell ref="A21:G21"/>
    <mergeCell ref="A22:G22"/>
    <mergeCell ref="A23:G23"/>
    <mergeCell ref="H32:I32"/>
    <mergeCell ref="A33:E33"/>
    <mergeCell ref="A34:E34"/>
    <mergeCell ref="A35:E35"/>
    <mergeCell ref="A24:G24"/>
    <mergeCell ref="A25:G25"/>
  </mergeCells>
  <dataValidations count="1">
    <dataValidation type="whole" allowBlank="1" showInputMessage="1" showErrorMessage="1" errorTitle="Attention!" error="Valeur numérique attendue" sqref="H10:I15 H21:I27 F34:I36" xr:uid="{00000000-0002-0000-2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40">
    <pageSetUpPr fitToPage="1"/>
  </sheetPr>
  <dimension ref="A1:I25"/>
  <sheetViews>
    <sheetView showGridLines="0" topLeftCell="A8" workbookViewId="0">
      <selection activeCell="A16" sqref="A16:I22"/>
    </sheetView>
  </sheetViews>
  <sheetFormatPr baseColWidth="10" defaultRowHeight="14.5"/>
  <cols>
    <col min="2" max="2" width="15.54296875" customWidth="1"/>
    <col min="3" max="3" width="8.54296875" customWidth="1"/>
    <col min="4" max="4" width="9" customWidth="1"/>
    <col min="5" max="5" width="5.54296875" customWidth="1"/>
    <col min="6" max="7" width="18.54296875" customWidth="1"/>
    <col min="8" max="9" width="17" customWidth="1"/>
  </cols>
  <sheetData>
    <row r="1" spans="1:9">
      <c r="A1" s="1134" t="s">
        <v>183</v>
      </c>
      <c r="B1" s="1134"/>
      <c r="C1" s="1134"/>
      <c r="D1" s="1134"/>
      <c r="E1" s="1134"/>
      <c r="F1" s="1134"/>
      <c r="G1" s="1134"/>
      <c r="H1" s="1134"/>
      <c r="I1" s="1134"/>
    </row>
    <row r="2" spans="1:9" ht="25" customHeight="1">
      <c r="A2" s="40"/>
      <c r="B2" s="40"/>
      <c r="C2" s="40"/>
      <c r="D2" s="40"/>
      <c r="E2" s="40"/>
      <c r="F2" s="40"/>
      <c r="G2" s="40"/>
      <c r="H2" s="1135" t="s">
        <v>1947</v>
      </c>
      <c r="I2" s="1460"/>
    </row>
    <row r="3" spans="1:9" s="132" customFormat="1" ht="15" customHeight="1">
      <c r="A3" s="7" t="s">
        <v>26</v>
      </c>
      <c r="B3" s="7"/>
      <c r="C3" s="1221">
        <f>'NOTE 11'!C3</f>
        <v>0</v>
      </c>
      <c r="D3" s="1221"/>
      <c r="E3" s="1221"/>
      <c r="F3" s="1221"/>
      <c r="G3" s="1221"/>
      <c r="H3" s="1221"/>
      <c r="I3" s="1221"/>
    </row>
    <row r="4" spans="1:9" s="132" customFormat="1" ht="15" customHeight="1">
      <c r="A4" s="7" t="s">
        <v>27</v>
      </c>
      <c r="B4" s="1221">
        <f>'NOTE 11'!B4</f>
        <v>0</v>
      </c>
      <c r="C4" s="1223"/>
      <c r="D4" s="1223"/>
      <c r="E4" s="1223"/>
      <c r="F4" s="1223"/>
      <c r="G4" s="1223"/>
      <c r="H4" s="61" t="s">
        <v>28</v>
      </c>
      <c r="I4" s="44">
        <f>'NOTE 11'!I4</f>
        <v>0</v>
      </c>
    </row>
    <row r="5" spans="1:9" s="132" customFormat="1" ht="15" customHeight="1">
      <c r="A5" s="7" t="s">
        <v>2021</v>
      </c>
      <c r="B5" s="7"/>
      <c r="C5" s="1223">
        <f>'NOTE 11'!C5</f>
        <v>0</v>
      </c>
      <c r="D5" s="1223"/>
      <c r="E5" s="1223"/>
      <c r="F5" s="43" t="s">
        <v>30</v>
      </c>
      <c r="G5" s="365">
        <f>'NOTE 11'!F5</f>
        <v>0</v>
      </c>
      <c r="H5" s="61" t="s">
        <v>31</v>
      </c>
      <c r="I5" s="111">
        <f>'NOTE 11'!I5</f>
        <v>0</v>
      </c>
    </row>
    <row r="6" spans="1:9" s="132" customFormat="1" ht="15" customHeight="1">
      <c r="A6" s="7" t="s">
        <v>2026</v>
      </c>
      <c r="B6" s="7"/>
      <c r="C6" s="1461">
        <f>'NOTE 11'!C6</f>
        <v>0</v>
      </c>
      <c r="D6" s="1461"/>
      <c r="E6" s="44"/>
      <c r="F6" s="262"/>
      <c r="G6" s="44"/>
      <c r="H6" s="263"/>
      <c r="I6" s="44"/>
    </row>
    <row r="7" spans="1:9" ht="36" customHeight="1" thickBot="1">
      <c r="A7" s="1169" t="s">
        <v>1948</v>
      </c>
      <c r="B7" s="1169"/>
      <c r="C7" s="1169"/>
      <c r="D7" s="1169"/>
      <c r="E7" s="1169"/>
      <c r="F7" s="1169"/>
      <c r="G7" s="1169"/>
      <c r="H7" s="1169"/>
      <c r="I7" s="1169"/>
    </row>
    <row r="8" spans="1:9" ht="27.75" customHeight="1">
      <c r="A8" s="1722" t="s">
        <v>721</v>
      </c>
      <c r="B8" s="1723"/>
      <c r="C8" s="1723"/>
      <c r="D8" s="1723"/>
      <c r="E8" s="1723"/>
      <c r="F8" s="1723"/>
      <c r="G8" s="1723"/>
      <c r="H8" s="1723"/>
      <c r="I8" s="1724"/>
    </row>
    <row r="9" spans="1:9" ht="20.25" customHeight="1">
      <c r="A9" s="1721" t="s">
        <v>525</v>
      </c>
      <c r="B9" s="1360"/>
      <c r="C9" s="1360"/>
      <c r="D9" s="1360"/>
      <c r="E9" s="1360"/>
      <c r="F9" s="1360"/>
      <c r="G9" s="1360"/>
      <c r="H9" s="309" t="s">
        <v>526</v>
      </c>
      <c r="I9" s="793" t="s">
        <v>527</v>
      </c>
    </row>
    <row r="10" spans="1:9" ht="25.5" customHeight="1">
      <c r="A10" s="1442" t="s">
        <v>722</v>
      </c>
      <c r="B10" s="1443"/>
      <c r="C10" s="1443"/>
      <c r="D10" s="1443"/>
      <c r="E10" s="1443"/>
      <c r="F10" s="1443"/>
      <c r="G10" s="1443"/>
      <c r="H10" s="126"/>
      <c r="I10" s="830"/>
    </row>
    <row r="11" spans="1:9" ht="25.5" customHeight="1">
      <c r="A11" s="1442" t="s">
        <v>723</v>
      </c>
      <c r="B11" s="1443"/>
      <c r="C11" s="1443"/>
      <c r="D11" s="1443"/>
      <c r="E11" s="1443"/>
      <c r="F11" s="1443"/>
      <c r="G11" s="1443"/>
      <c r="H11" s="126"/>
      <c r="I11" s="830"/>
    </row>
    <row r="12" spans="1:9" ht="25.5" customHeight="1" thickBot="1">
      <c r="A12" s="1636" t="s">
        <v>724</v>
      </c>
      <c r="B12" s="1637"/>
      <c r="C12" s="1637"/>
      <c r="D12" s="1637"/>
      <c r="E12" s="1637"/>
      <c r="F12" s="1637"/>
      <c r="G12" s="1637"/>
      <c r="H12" s="918"/>
      <c r="I12" s="919"/>
    </row>
    <row r="13" spans="1:9" s="3" customFormat="1" ht="12" customHeight="1">
      <c r="A13" s="581" t="s">
        <v>1792</v>
      </c>
      <c r="B13" s="594"/>
      <c r="C13" s="594"/>
      <c r="D13" s="594"/>
      <c r="E13" s="594"/>
      <c r="F13" s="594"/>
      <c r="G13" s="594"/>
      <c r="H13" s="595"/>
      <c r="I13" s="595"/>
    </row>
    <row r="14" spans="1:9" s="3" customFormat="1" ht="12" customHeight="1">
      <c r="A14" s="641" t="s">
        <v>1987</v>
      </c>
      <c r="B14" s="594"/>
      <c r="C14" s="594"/>
      <c r="D14" s="594"/>
      <c r="E14" s="594"/>
      <c r="F14" s="594"/>
      <c r="G14" s="594"/>
      <c r="H14" s="595"/>
      <c r="I14" s="595"/>
    </row>
    <row r="15" spans="1:9" ht="15" thickBot="1">
      <c r="A15" s="132"/>
      <c r="B15" s="132"/>
      <c r="C15" s="132"/>
      <c r="D15" s="132"/>
      <c r="E15" s="132"/>
      <c r="F15" s="132"/>
      <c r="G15" s="132"/>
      <c r="H15" s="132"/>
      <c r="I15" s="132"/>
    </row>
    <row r="16" spans="1:9" ht="27.75" customHeight="1">
      <c r="A16" s="1722" t="s">
        <v>725</v>
      </c>
      <c r="B16" s="1723"/>
      <c r="C16" s="1723"/>
      <c r="D16" s="1723"/>
      <c r="E16" s="1723"/>
      <c r="F16" s="1723"/>
      <c r="G16" s="1723"/>
      <c r="H16" s="1723"/>
      <c r="I16" s="1724"/>
    </row>
    <row r="17" spans="1:9" ht="20.25" customHeight="1">
      <c r="A17" s="1721" t="s">
        <v>525</v>
      </c>
      <c r="B17" s="1360"/>
      <c r="C17" s="1360"/>
      <c r="D17" s="1360"/>
      <c r="E17" s="1360"/>
      <c r="F17" s="1360" t="s">
        <v>526</v>
      </c>
      <c r="G17" s="1360"/>
      <c r="H17" s="1360" t="s">
        <v>527</v>
      </c>
      <c r="I17" s="1361"/>
    </row>
    <row r="18" spans="1:9" ht="26.25" customHeight="1">
      <c r="A18" s="1726"/>
      <c r="B18" s="1727"/>
      <c r="C18" s="1727"/>
      <c r="D18" s="1727"/>
      <c r="E18" s="1727"/>
      <c r="F18" s="144" t="s">
        <v>726</v>
      </c>
      <c r="G18" s="144" t="s">
        <v>727</v>
      </c>
      <c r="H18" s="144" t="s">
        <v>728</v>
      </c>
      <c r="I18" s="917" t="s">
        <v>727</v>
      </c>
    </row>
    <row r="19" spans="1:9" ht="25.5" customHeight="1">
      <c r="A19" s="1442" t="s">
        <v>600</v>
      </c>
      <c r="B19" s="1443"/>
      <c r="C19" s="1443"/>
      <c r="D19" s="1443"/>
      <c r="E19" s="1443"/>
      <c r="F19" s="126"/>
      <c r="G19" s="126"/>
      <c r="H19" s="126"/>
      <c r="I19" s="830"/>
    </row>
    <row r="20" spans="1:9" ht="25.5" customHeight="1">
      <c r="A20" s="1442" t="s">
        <v>601</v>
      </c>
      <c r="B20" s="1443"/>
      <c r="C20" s="1443"/>
      <c r="D20" s="1443"/>
      <c r="E20" s="1443"/>
      <c r="F20" s="126"/>
      <c r="G20" s="126"/>
      <c r="H20" s="126"/>
      <c r="I20" s="830"/>
    </row>
    <row r="21" spans="1:9" ht="25.5" customHeight="1">
      <c r="A21" s="1442" t="s">
        <v>662</v>
      </c>
      <c r="B21" s="1443"/>
      <c r="C21" s="1443"/>
      <c r="D21" s="1443"/>
      <c r="E21" s="1443"/>
      <c r="F21" s="126"/>
      <c r="G21" s="126"/>
      <c r="H21" s="126"/>
      <c r="I21" s="830"/>
    </row>
    <row r="22" spans="1:9" ht="25.5" customHeight="1" thickBot="1">
      <c r="A22" s="1636" t="s">
        <v>729</v>
      </c>
      <c r="B22" s="1637"/>
      <c r="C22" s="1637"/>
      <c r="D22" s="1637"/>
      <c r="E22" s="1637"/>
      <c r="F22" s="870">
        <f>SUM(F19:F21)</f>
        <v>0</v>
      </c>
      <c r="G22" s="870">
        <f t="shared" ref="G22:I22" si="0">SUM(G19:G21)</f>
        <v>0</v>
      </c>
      <c r="H22" s="870">
        <f t="shared" si="0"/>
        <v>0</v>
      </c>
      <c r="I22" s="920">
        <f t="shared" si="0"/>
        <v>0</v>
      </c>
    </row>
    <row r="23" spans="1:9" s="3" customFormat="1" ht="12" customHeight="1">
      <c r="A23" s="581" t="s">
        <v>1792</v>
      </c>
    </row>
    <row r="24" spans="1:9" s="3" customFormat="1" ht="12" customHeight="1">
      <c r="A24" s="641" t="s">
        <v>1988</v>
      </c>
    </row>
    <row r="25" spans="1:9" s="3" customFormat="1" ht="12" customHeight="1">
      <c r="A25" s="641" t="s">
        <v>1989</v>
      </c>
    </row>
  </sheetData>
  <sheetProtection selectLockedCells="1"/>
  <mergeCells count="21">
    <mergeCell ref="A21:E21"/>
    <mergeCell ref="A22:E22"/>
    <mergeCell ref="A17:E17"/>
    <mergeCell ref="A20:E20"/>
    <mergeCell ref="A16:I16"/>
    <mergeCell ref="A19:E19"/>
    <mergeCell ref="A1:I1"/>
    <mergeCell ref="H2:I2"/>
    <mergeCell ref="C3:I3"/>
    <mergeCell ref="B4:G4"/>
    <mergeCell ref="C5:E5"/>
    <mergeCell ref="A12:G12"/>
    <mergeCell ref="C6:D6"/>
    <mergeCell ref="F17:G17"/>
    <mergeCell ref="H17:I17"/>
    <mergeCell ref="A18:E18"/>
    <mergeCell ref="A7:I7"/>
    <mergeCell ref="A8:I8"/>
    <mergeCell ref="A9:G9"/>
    <mergeCell ref="A10:G10"/>
    <mergeCell ref="A11:G11"/>
  </mergeCells>
  <dataValidations count="2">
    <dataValidation type="whole" allowBlank="1" showInputMessage="1" showErrorMessage="1" errorTitle="Attention!" error="Valeur numérique attendue" sqref="G19:G21 I19:I21" xr:uid="{00000000-0002-0000-2600-000000000000}">
      <formula1>-9999999999999</formula1>
      <formula2>9999999999999</formula2>
    </dataValidation>
    <dataValidation type="decimal" allowBlank="1" showInputMessage="1" showErrorMessage="1" errorTitle="Attention!" error="Valeur numérique attendue" sqref="F19:F21 H19:H21" xr:uid="{00000000-0002-0000-26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1">
    <pageSetUpPr fitToPage="1"/>
  </sheetPr>
  <dimension ref="A1:H30"/>
  <sheetViews>
    <sheetView showGridLines="0" topLeftCell="A15" workbookViewId="0">
      <selection activeCell="J25" sqref="J25"/>
    </sheetView>
  </sheetViews>
  <sheetFormatPr baseColWidth="10" defaultRowHeight="14.5"/>
  <cols>
    <col min="2" max="2" width="15.81640625" customWidth="1"/>
    <col min="3" max="3" width="10.1796875" customWidth="1"/>
    <col min="4" max="4" width="9.453125" customWidth="1"/>
    <col min="5" max="6" width="13.81640625" customWidth="1"/>
    <col min="7" max="8" width="15.54296875" customWidth="1"/>
  </cols>
  <sheetData>
    <row r="1" spans="1:8">
      <c r="A1" s="1134" t="s">
        <v>183</v>
      </c>
      <c r="B1" s="1134"/>
      <c r="C1" s="1134"/>
      <c r="D1" s="1134"/>
      <c r="E1" s="1134"/>
      <c r="F1" s="1134"/>
      <c r="G1" s="1134"/>
      <c r="H1" s="1134"/>
    </row>
    <row r="2" spans="1:8" ht="25" customHeight="1">
      <c r="A2" s="40"/>
      <c r="B2" s="40"/>
      <c r="C2" s="40"/>
      <c r="D2" s="40"/>
      <c r="E2" s="40"/>
      <c r="F2" s="40"/>
      <c r="G2" s="1135" t="s">
        <v>1949</v>
      </c>
      <c r="H2" s="1460"/>
    </row>
    <row r="3" spans="1:8" s="132" customFormat="1" ht="15" customHeight="1">
      <c r="A3" s="7" t="s">
        <v>26</v>
      </c>
      <c r="B3" s="7"/>
      <c r="C3" s="1221">
        <f>'NOTE 11'!C3</f>
        <v>0</v>
      </c>
      <c r="D3" s="1221"/>
      <c r="E3" s="1221"/>
      <c r="F3" s="1221"/>
      <c r="G3" s="1221"/>
      <c r="H3" s="1221"/>
    </row>
    <row r="4" spans="1:8" s="132" customFormat="1" ht="15" customHeight="1">
      <c r="A4" s="7" t="s">
        <v>27</v>
      </c>
      <c r="B4" s="1221">
        <f>'NOTE 11'!B4</f>
        <v>0</v>
      </c>
      <c r="C4" s="1223"/>
      <c r="D4" s="1223"/>
      <c r="E4" s="1223"/>
      <c r="F4" s="1223"/>
      <c r="G4" s="61" t="s">
        <v>28</v>
      </c>
      <c r="H4" s="44">
        <f>'NOTE 11'!I4</f>
        <v>0</v>
      </c>
    </row>
    <row r="5" spans="1:8" s="132" customFormat="1" ht="15" customHeight="1">
      <c r="A5" s="7" t="s">
        <v>2021</v>
      </c>
      <c r="B5" s="7"/>
      <c r="C5" s="1223">
        <f>'NOTE 11'!C5</f>
        <v>0</v>
      </c>
      <c r="D5" s="1223"/>
      <c r="E5" s="43" t="s">
        <v>30</v>
      </c>
      <c r="F5" s="365">
        <f>'NOTE 11'!F5</f>
        <v>0</v>
      </c>
      <c r="G5" s="61" t="s">
        <v>31</v>
      </c>
      <c r="H5" s="111">
        <f>'NOTE 11'!I5</f>
        <v>0</v>
      </c>
    </row>
    <row r="6" spans="1:8" s="132" customFormat="1" ht="15" customHeight="1">
      <c r="A6" s="7" t="s">
        <v>2024</v>
      </c>
      <c r="B6" s="7"/>
      <c r="C6" s="1158">
        <f>'NOTE 11'!C6</f>
        <v>0</v>
      </c>
      <c r="D6" s="1158"/>
      <c r="E6" s="1158"/>
      <c r="F6" s="44"/>
      <c r="G6" s="263"/>
      <c r="H6" s="44"/>
    </row>
    <row r="7" spans="1:8" ht="35.15" customHeight="1" thickBot="1">
      <c r="A7" s="1169" t="s">
        <v>1950</v>
      </c>
      <c r="B7" s="1169"/>
      <c r="C7" s="1169"/>
      <c r="D7" s="1169"/>
      <c r="E7" s="1169"/>
      <c r="F7" s="1169"/>
      <c r="G7" s="1169"/>
      <c r="H7" s="1169"/>
    </row>
    <row r="8" spans="1:8" ht="27.75" customHeight="1">
      <c r="A8" s="1686" t="s">
        <v>525</v>
      </c>
      <c r="B8" s="1687"/>
      <c r="C8" s="1687"/>
      <c r="D8" s="1687"/>
      <c r="E8" s="1687"/>
      <c r="F8" s="1687"/>
      <c r="G8" s="882" t="s">
        <v>526</v>
      </c>
      <c r="H8" s="884" t="s">
        <v>527</v>
      </c>
    </row>
    <row r="9" spans="1:8" ht="21" customHeight="1">
      <c r="A9" s="1612" t="s">
        <v>730</v>
      </c>
      <c r="B9" s="1613"/>
      <c r="C9" s="1613"/>
      <c r="D9" s="1613"/>
      <c r="E9" s="1613"/>
      <c r="F9" s="1613"/>
      <c r="G9" s="65">
        <f>SUM(G11:G18)</f>
        <v>0</v>
      </c>
      <c r="H9" s="921">
        <f>SUM(H11:H18)</f>
        <v>0</v>
      </c>
    </row>
    <row r="10" spans="1:8" ht="16.5" customHeight="1">
      <c r="A10" s="1707" t="s">
        <v>731</v>
      </c>
      <c r="B10" s="1708"/>
      <c r="C10" s="1708"/>
      <c r="D10" s="1708"/>
      <c r="E10" s="1708"/>
      <c r="F10" s="1708"/>
      <c r="G10" s="109"/>
      <c r="H10" s="829"/>
    </row>
    <row r="11" spans="1:8" ht="24.75" customHeight="1">
      <c r="A11" s="1731"/>
      <c r="B11" s="1732"/>
      <c r="C11" s="1732"/>
      <c r="D11" s="1732"/>
      <c r="E11" s="1732"/>
      <c r="F11" s="1732"/>
      <c r="G11" s="126"/>
      <c r="H11" s="830"/>
    </row>
    <row r="12" spans="1:8" ht="24.75" customHeight="1">
      <c r="A12" s="1731"/>
      <c r="B12" s="1732"/>
      <c r="C12" s="1732"/>
      <c r="D12" s="1732"/>
      <c r="E12" s="1732"/>
      <c r="F12" s="1732"/>
      <c r="G12" s="126"/>
      <c r="H12" s="830"/>
    </row>
    <row r="13" spans="1:8" ht="24.75" customHeight="1">
      <c r="A13" s="1731"/>
      <c r="B13" s="1732"/>
      <c r="C13" s="1732"/>
      <c r="D13" s="1732"/>
      <c r="E13" s="1732"/>
      <c r="F13" s="1732"/>
      <c r="G13" s="126"/>
      <c r="H13" s="830"/>
    </row>
    <row r="14" spans="1:8" ht="24.75" customHeight="1">
      <c r="A14" s="1731"/>
      <c r="B14" s="1732"/>
      <c r="C14" s="1732"/>
      <c r="D14" s="1732"/>
      <c r="E14" s="1732"/>
      <c r="F14" s="1732"/>
      <c r="G14" s="126"/>
      <c r="H14" s="830"/>
    </row>
    <row r="15" spans="1:8" ht="24.75" customHeight="1">
      <c r="A15" s="1731"/>
      <c r="B15" s="1732"/>
      <c r="C15" s="1732"/>
      <c r="D15" s="1732"/>
      <c r="E15" s="1732"/>
      <c r="F15" s="1732"/>
      <c r="G15" s="126"/>
      <c r="H15" s="830"/>
    </row>
    <row r="16" spans="1:8" ht="24.75" customHeight="1">
      <c r="A16" s="1731"/>
      <c r="B16" s="1732"/>
      <c r="C16" s="1732"/>
      <c r="D16" s="1732"/>
      <c r="E16" s="1732"/>
      <c r="F16" s="1732"/>
      <c r="G16" s="126"/>
      <c r="H16" s="830"/>
    </row>
    <row r="17" spans="1:8" ht="24.75" customHeight="1">
      <c r="A17" s="1731"/>
      <c r="B17" s="1732"/>
      <c r="C17" s="1732"/>
      <c r="D17" s="1732"/>
      <c r="E17" s="1732"/>
      <c r="F17" s="1732"/>
      <c r="G17" s="126"/>
      <c r="H17" s="830"/>
    </row>
    <row r="18" spans="1:8" ht="24.75" customHeight="1">
      <c r="A18" s="1731"/>
      <c r="B18" s="1732"/>
      <c r="C18" s="1732"/>
      <c r="D18" s="1732"/>
      <c r="E18" s="1732"/>
      <c r="F18" s="1732"/>
      <c r="G18" s="126"/>
      <c r="H18" s="830"/>
    </row>
    <row r="19" spans="1:8" ht="21" customHeight="1">
      <c r="A19" s="1612" t="s">
        <v>732</v>
      </c>
      <c r="B19" s="1613"/>
      <c r="C19" s="1613"/>
      <c r="D19" s="1613"/>
      <c r="E19" s="1613"/>
      <c r="F19" s="1613"/>
      <c r="G19" s="108">
        <f>SUM(G21:G28)</f>
        <v>0</v>
      </c>
      <c r="H19" s="872">
        <f>SUM(H21:H28)</f>
        <v>0</v>
      </c>
    </row>
    <row r="20" spans="1:8" ht="16.5" customHeight="1">
      <c r="A20" s="1707" t="s">
        <v>731</v>
      </c>
      <c r="B20" s="1708"/>
      <c r="C20" s="1708"/>
      <c r="D20" s="1708"/>
      <c r="E20" s="1708"/>
      <c r="F20" s="1708"/>
      <c r="G20" s="109"/>
      <c r="H20" s="829"/>
    </row>
    <row r="21" spans="1:8" ht="24.75" customHeight="1">
      <c r="A21" s="1731"/>
      <c r="B21" s="1732"/>
      <c r="C21" s="1732"/>
      <c r="D21" s="1732"/>
      <c r="E21" s="1732"/>
      <c r="F21" s="1732"/>
      <c r="G21" s="126"/>
      <c r="H21" s="830"/>
    </row>
    <row r="22" spans="1:8" ht="24.75" customHeight="1">
      <c r="A22" s="1731"/>
      <c r="B22" s="1732"/>
      <c r="C22" s="1732"/>
      <c r="D22" s="1732"/>
      <c r="E22" s="1732"/>
      <c r="F22" s="1732"/>
      <c r="G22" s="126"/>
      <c r="H22" s="830"/>
    </row>
    <row r="23" spans="1:8" ht="24.75" customHeight="1">
      <c r="A23" s="1731"/>
      <c r="B23" s="1732"/>
      <c r="C23" s="1732"/>
      <c r="D23" s="1732"/>
      <c r="E23" s="1732"/>
      <c r="F23" s="1732"/>
      <c r="G23" s="126"/>
      <c r="H23" s="830"/>
    </row>
    <row r="24" spans="1:8" ht="24.75" customHeight="1">
      <c r="A24" s="1731"/>
      <c r="B24" s="1732"/>
      <c r="C24" s="1732"/>
      <c r="D24" s="1732"/>
      <c r="E24" s="1732"/>
      <c r="F24" s="1732"/>
      <c r="G24" s="126"/>
      <c r="H24" s="830"/>
    </row>
    <row r="25" spans="1:8" ht="24.75" customHeight="1">
      <c r="A25" s="1731"/>
      <c r="B25" s="1732"/>
      <c r="C25" s="1732"/>
      <c r="D25" s="1732"/>
      <c r="E25" s="1732"/>
      <c r="F25" s="1732"/>
      <c r="G25" s="126"/>
      <c r="H25" s="830"/>
    </row>
    <row r="26" spans="1:8" ht="24.75" customHeight="1">
      <c r="A26" s="1731"/>
      <c r="B26" s="1732"/>
      <c r="C26" s="1732"/>
      <c r="D26" s="1732"/>
      <c r="E26" s="1732"/>
      <c r="F26" s="1732"/>
      <c r="G26" s="126"/>
      <c r="H26" s="830"/>
    </row>
    <row r="27" spans="1:8" ht="24.75" customHeight="1">
      <c r="A27" s="1731"/>
      <c r="B27" s="1732"/>
      <c r="C27" s="1732"/>
      <c r="D27" s="1732"/>
      <c r="E27" s="1732"/>
      <c r="F27" s="1732"/>
      <c r="G27" s="126"/>
      <c r="H27" s="830"/>
    </row>
    <row r="28" spans="1:8" ht="24.75" customHeight="1" thickBot="1">
      <c r="A28" s="1729"/>
      <c r="B28" s="1730"/>
      <c r="C28" s="1730"/>
      <c r="D28" s="1730"/>
      <c r="E28" s="1730"/>
      <c r="F28" s="1730"/>
      <c r="G28" s="862"/>
      <c r="H28" s="863"/>
    </row>
    <row r="29" spans="1:8" s="3" customFormat="1" ht="14.25" customHeight="1">
      <c r="A29" s="581" t="s">
        <v>1792</v>
      </c>
    </row>
    <row r="30" spans="1:8" s="3" customFormat="1" ht="24.75" customHeight="1">
      <c r="A30" s="1728" t="s">
        <v>1990</v>
      </c>
      <c r="B30" s="1728"/>
      <c r="C30" s="1728"/>
      <c r="D30" s="1728"/>
      <c r="E30" s="1728"/>
      <c r="F30" s="1728"/>
      <c r="G30" s="1728"/>
      <c r="H30" s="1728"/>
    </row>
  </sheetData>
  <sheetProtection selectLockedCells="1"/>
  <mergeCells count="29">
    <mergeCell ref="A13:F13"/>
    <mergeCell ref="A14:F14"/>
    <mergeCell ref="A15:F15"/>
    <mergeCell ref="A8:F8"/>
    <mergeCell ref="A9:F9"/>
    <mergeCell ref="A10:F10"/>
    <mergeCell ref="A11:F11"/>
    <mergeCell ref="A12:F12"/>
    <mergeCell ref="A1:H1"/>
    <mergeCell ref="G2:H2"/>
    <mergeCell ref="C3:H3"/>
    <mergeCell ref="B4:F4"/>
    <mergeCell ref="C5:D5"/>
    <mergeCell ref="C6:E6"/>
    <mergeCell ref="A30:H30"/>
    <mergeCell ref="A28:F28"/>
    <mergeCell ref="A20:F20"/>
    <mergeCell ref="A21:F21"/>
    <mergeCell ref="A22:F22"/>
    <mergeCell ref="A23:F23"/>
    <mergeCell ref="A24:F24"/>
    <mergeCell ref="A25:F25"/>
    <mergeCell ref="A16:F16"/>
    <mergeCell ref="A17:F17"/>
    <mergeCell ref="A18:F18"/>
    <mergeCell ref="A26:F26"/>
    <mergeCell ref="A27:F27"/>
    <mergeCell ref="A7:H7"/>
    <mergeCell ref="A19:F19"/>
  </mergeCells>
  <dataValidations count="1">
    <dataValidation type="whole" allowBlank="1" showInputMessage="1" showErrorMessage="1" errorTitle="Attention!" error="Valeur numérique attendue" sqref="G10:H18 G20:H28" xr:uid="{00000000-0002-0000-2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2">
    <pageSetUpPr fitToPage="1"/>
  </sheetPr>
  <dimension ref="A1:K22"/>
  <sheetViews>
    <sheetView showGridLines="0" topLeftCell="A7" workbookViewId="0">
      <selection activeCell="A8" sqref="A8:K18"/>
    </sheetView>
  </sheetViews>
  <sheetFormatPr baseColWidth="10" defaultRowHeight="14.5"/>
  <cols>
    <col min="2" max="2" width="16.54296875" customWidth="1"/>
    <col min="5" max="5" width="5.453125" customWidth="1"/>
    <col min="6" max="7" width="15.54296875" customWidth="1"/>
    <col min="8" max="8" width="11.453125" customWidth="1"/>
    <col min="9" max="11" width="15.54296875" customWidth="1"/>
  </cols>
  <sheetData>
    <row r="1" spans="1:11">
      <c r="A1" s="1134" t="s">
        <v>183</v>
      </c>
      <c r="B1" s="1134"/>
      <c r="C1" s="1134"/>
      <c r="D1" s="1134"/>
      <c r="E1" s="1134"/>
      <c r="F1" s="1134"/>
      <c r="G1" s="1134"/>
      <c r="H1" s="1134"/>
      <c r="I1" s="1134"/>
      <c r="J1" s="1134"/>
      <c r="K1" s="1134"/>
    </row>
    <row r="2" spans="1:11" ht="25" customHeight="1">
      <c r="A2" s="40"/>
      <c r="B2" s="40"/>
      <c r="C2" s="40"/>
      <c r="D2" s="40"/>
      <c r="E2" s="40"/>
      <c r="F2" s="40"/>
      <c r="J2" s="1135" t="s">
        <v>733</v>
      </c>
      <c r="K2" s="1137"/>
    </row>
    <row r="3" spans="1:11" s="132" customFormat="1" ht="15" customHeight="1">
      <c r="A3" s="7" t="s">
        <v>26</v>
      </c>
      <c r="B3" s="7"/>
      <c r="C3" s="1221">
        <f>'NOTE 11'!C3</f>
        <v>0</v>
      </c>
      <c r="D3" s="1221"/>
      <c r="E3" s="1221"/>
      <c r="F3" s="1221"/>
      <c r="G3" s="1221"/>
      <c r="H3" s="1221"/>
      <c r="I3" s="1221"/>
      <c r="J3" s="1221"/>
      <c r="K3" s="1221"/>
    </row>
    <row r="4" spans="1:11" s="132" customFormat="1" ht="15" customHeight="1">
      <c r="A4" s="7" t="s">
        <v>27</v>
      </c>
      <c r="B4" s="1221">
        <f>'NOTE 11'!B4</f>
        <v>0</v>
      </c>
      <c r="C4" s="1221"/>
      <c r="D4" s="1221"/>
      <c r="E4" s="1221"/>
      <c r="F4" s="1221"/>
      <c r="G4" s="1221"/>
      <c r="H4" s="1221"/>
      <c r="I4" s="1221"/>
      <c r="J4" s="61" t="s">
        <v>28</v>
      </c>
      <c r="K4" s="119">
        <f>'NOTE 11'!I4</f>
        <v>0</v>
      </c>
    </row>
    <row r="5" spans="1:11" s="132" customFormat="1" ht="15" customHeight="1">
      <c r="A5" s="7" t="s">
        <v>2021</v>
      </c>
      <c r="B5" s="7"/>
      <c r="C5" s="1221">
        <f>'NOTE 11'!C5</f>
        <v>0</v>
      </c>
      <c r="D5" s="1221"/>
      <c r="E5" s="1221"/>
      <c r="F5" s="43" t="s">
        <v>30</v>
      </c>
      <c r="G5" s="1215">
        <f>'NOTE 11'!F5</f>
        <v>0</v>
      </c>
      <c r="H5" s="1215"/>
      <c r="I5" s="1215"/>
      <c r="J5" s="61" t="s">
        <v>31</v>
      </c>
      <c r="K5" s="44">
        <f>'NOTE 11'!I5</f>
        <v>0</v>
      </c>
    </row>
    <row r="6" spans="1:11" s="132" customFormat="1" ht="15" customHeight="1">
      <c r="A6" s="268" t="s">
        <v>2024</v>
      </c>
      <c r="B6" s="7"/>
      <c r="C6" s="1461">
        <f>'NOTE 11'!C6</f>
        <v>0</v>
      </c>
      <c r="D6" s="1461"/>
      <c r="E6" s="1461"/>
      <c r="F6" s="262"/>
      <c r="G6" s="44"/>
      <c r="H6" s="44"/>
      <c r="I6" s="44"/>
      <c r="J6" s="263"/>
      <c r="K6" s="44"/>
    </row>
    <row r="7" spans="1:11" ht="35.15" customHeight="1" thickBot="1">
      <c r="A7" s="1169" t="s">
        <v>1581</v>
      </c>
      <c r="B7" s="1169"/>
      <c r="C7" s="1169"/>
      <c r="D7" s="1169"/>
      <c r="E7" s="1169"/>
      <c r="F7" s="1169"/>
      <c r="G7" s="1169"/>
      <c r="H7" s="1169"/>
      <c r="I7" s="1169"/>
      <c r="J7" s="1169"/>
      <c r="K7" s="1169"/>
    </row>
    <row r="8" spans="1:11" ht="60" customHeight="1">
      <c r="A8" s="1686" t="s">
        <v>525</v>
      </c>
      <c r="B8" s="1687"/>
      <c r="C8" s="1687"/>
      <c r="D8" s="1687"/>
      <c r="E8" s="1687"/>
      <c r="F8" s="882" t="s">
        <v>526</v>
      </c>
      <c r="G8" s="882" t="s">
        <v>527</v>
      </c>
      <c r="H8" s="882" t="s">
        <v>546</v>
      </c>
      <c r="I8" s="882" t="s">
        <v>734</v>
      </c>
      <c r="J8" s="882" t="s">
        <v>735</v>
      </c>
      <c r="K8" s="884" t="s">
        <v>679</v>
      </c>
    </row>
    <row r="9" spans="1:11" ht="23.25" customHeight="1">
      <c r="A9" s="1442" t="s">
        <v>736</v>
      </c>
      <c r="B9" s="1443"/>
      <c r="C9" s="1443"/>
      <c r="D9" s="1443"/>
      <c r="E9" s="1443"/>
      <c r="F9" s="126"/>
      <c r="G9" s="126"/>
      <c r="H9" s="433" t="str">
        <f>IF(G9,(F9-G9)/G9,IF(ISBLANK(G9),"",IF(F9,IF( F9 &gt; 0,1,-1),"")))</f>
        <v/>
      </c>
      <c r="I9" s="126"/>
      <c r="J9" s="126"/>
      <c r="K9" s="830"/>
    </row>
    <row r="10" spans="1:11" ht="23.25" customHeight="1">
      <c r="A10" s="1442" t="s">
        <v>737</v>
      </c>
      <c r="B10" s="1443"/>
      <c r="C10" s="1443"/>
      <c r="D10" s="1443"/>
      <c r="E10" s="1443"/>
      <c r="F10" s="126"/>
      <c r="G10" s="126"/>
      <c r="H10" s="433" t="str">
        <f t="shared" ref="H10:H18" si="0">IF(G10,(F10-G10)/G10,IF(ISBLANK(G10),"",IF(F10,IF( F10 &gt; 0,1,-1),"")))</f>
        <v/>
      </c>
      <c r="I10" s="126"/>
      <c r="J10" s="126"/>
      <c r="K10" s="830"/>
    </row>
    <row r="11" spans="1:11" ht="23.25" customHeight="1">
      <c r="A11" s="1442" t="s">
        <v>738</v>
      </c>
      <c r="B11" s="1443"/>
      <c r="C11" s="1443"/>
      <c r="D11" s="1443"/>
      <c r="E11" s="1443"/>
      <c r="F11" s="126"/>
      <c r="G11" s="126"/>
      <c r="H11" s="433" t="str">
        <f t="shared" si="0"/>
        <v/>
      </c>
      <c r="I11" s="126"/>
      <c r="J11" s="126"/>
      <c r="K11" s="830"/>
    </row>
    <row r="12" spans="1:11" ht="23.25" customHeight="1">
      <c r="A12" s="1442" t="s">
        <v>739</v>
      </c>
      <c r="B12" s="1443"/>
      <c r="C12" s="1443"/>
      <c r="D12" s="1443"/>
      <c r="E12" s="1443"/>
      <c r="F12" s="126"/>
      <c r="G12" s="126"/>
      <c r="H12" s="433" t="str">
        <f t="shared" si="0"/>
        <v/>
      </c>
      <c r="I12" s="126"/>
      <c r="J12" s="126"/>
      <c r="K12" s="830"/>
    </row>
    <row r="13" spans="1:11" ht="23.25" customHeight="1">
      <c r="A13" s="1442" t="s">
        <v>740</v>
      </c>
      <c r="B13" s="1443"/>
      <c r="C13" s="1443"/>
      <c r="D13" s="1443"/>
      <c r="E13" s="1443"/>
      <c r="F13" s="126"/>
      <c r="G13" s="126"/>
      <c r="H13" s="433" t="str">
        <f t="shared" si="0"/>
        <v/>
      </c>
      <c r="I13" s="126"/>
      <c r="J13" s="126"/>
      <c r="K13" s="830"/>
    </row>
    <row r="14" spans="1:11" ht="23.25" customHeight="1">
      <c r="A14" s="1612" t="s">
        <v>741</v>
      </c>
      <c r="B14" s="1613"/>
      <c r="C14" s="1613"/>
      <c r="D14" s="1613"/>
      <c r="E14" s="1613"/>
      <c r="F14" s="108">
        <f>SUM(F9:F13)</f>
        <v>0</v>
      </c>
      <c r="G14" s="108">
        <f>SUM(G9:G13)</f>
        <v>0</v>
      </c>
      <c r="H14" s="434" t="str">
        <f t="shared" si="0"/>
        <v/>
      </c>
      <c r="I14" s="108">
        <f>SUM(I9:I13)</f>
        <v>0</v>
      </c>
      <c r="J14" s="108">
        <f t="shared" ref="J14:K14" si="1">SUM(J9:J13)</f>
        <v>0</v>
      </c>
      <c r="K14" s="872">
        <f t="shared" si="1"/>
        <v>0</v>
      </c>
    </row>
    <row r="15" spans="1:11" ht="23.25" customHeight="1">
      <c r="A15" s="1442" t="s">
        <v>742</v>
      </c>
      <c r="B15" s="1443"/>
      <c r="C15" s="1443"/>
      <c r="D15" s="1443"/>
      <c r="E15" s="1443"/>
      <c r="F15" s="126"/>
      <c r="G15" s="126"/>
      <c r="H15" s="433" t="str">
        <f t="shared" si="0"/>
        <v/>
      </c>
      <c r="I15" s="126"/>
      <c r="J15" s="126"/>
      <c r="K15" s="830"/>
    </row>
    <row r="16" spans="1:11" ht="23.25" customHeight="1">
      <c r="A16" s="1442" t="s">
        <v>743</v>
      </c>
      <c r="B16" s="1443"/>
      <c r="C16" s="1443"/>
      <c r="D16" s="1443"/>
      <c r="E16" s="1443"/>
      <c r="F16" s="126"/>
      <c r="G16" s="126"/>
      <c r="H16" s="433" t="str">
        <f t="shared" si="0"/>
        <v/>
      </c>
      <c r="I16" s="126"/>
      <c r="J16" s="126"/>
      <c r="K16" s="830"/>
    </row>
    <row r="17" spans="1:11" ht="23.25" customHeight="1">
      <c r="A17" s="1442" t="s">
        <v>744</v>
      </c>
      <c r="B17" s="1443"/>
      <c r="C17" s="1443"/>
      <c r="D17" s="1443"/>
      <c r="E17" s="1443"/>
      <c r="F17" s="126"/>
      <c r="G17" s="126"/>
      <c r="H17" s="433" t="str">
        <f t="shared" si="0"/>
        <v/>
      </c>
      <c r="I17" s="126"/>
      <c r="J17" s="126"/>
      <c r="K17" s="830"/>
    </row>
    <row r="18" spans="1:11" ht="23.25" customHeight="1" thickBot="1">
      <c r="A18" s="1629" t="s">
        <v>745</v>
      </c>
      <c r="B18" s="1630"/>
      <c r="C18" s="1630"/>
      <c r="D18" s="1630"/>
      <c r="E18" s="1630"/>
      <c r="F18" s="868">
        <f>SUM(F15:F17)</f>
        <v>0</v>
      </c>
      <c r="G18" s="868">
        <f>SUM(G15:G17)</f>
        <v>0</v>
      </c>
      <c r="H18" s="874" t="str">
        <f t="shared" si="0"/>
        <v/>
      </c>
      <c r="I18" s="868">
        <f>SUM(I15:I17)</f>
        <v>0</v>
      </c>
      <c r="J18" s="868">
        <f t="shared" ref="J18:K18" si="2">SUM(J15:J17)</f>
        <v>0</v>
      </c>
      <c r="K18" s="875">
        <f t="shared" si="2"/>
        <v>0</v>
      </c>
    </row>
    <row r="19" spans="1:11">
      <c r="A19" s="581" t="s">
        <v>1791</v>
      </c>
      <c r="B19" s="3"/>
    </row>
    <row r="20" spans="1:11" ht="12" customHeight="1">
      <c r="A20" s="641" t="s">
        <v>1991</v>
      </c>
      <c r="B20" s="3"/>
    </row>
    <row r="21" spans="1:11" ht="12" customHeight="1">
      <c r="A21" s="641" t="s">
        <v>1992</v>
      </c>
      <c r="B21" s="3"/>
    </row>
    <row r="22" spans="1:11" ht="12" customHeight="1">
      <c r="A22" s="641" t="s">
        <v>1993</v>
      </c>
      <c r="B22" s="3"/>
    </row>
  </sheetData>
  <sheetProtection selectLockedCells="1"/>
  <mergeCells count="19">
    <mergeCell ref="C6:E6"/>
    <mergeCell ref="A15:E15"/>
    <mergeCell ref="A7:K7"/>
    <mergeCell ref="A8:E8"/>
    <mergeCell ref="A9:E9"/>
    <mergeCell ref="A10:E10"/>
    <mergeCell ref="A11:E11"/>
    <mergeCell ref="A1:K1"/>
    <mergeCell ref="J2:K2"/>
    <mergeCell ref="C3:K3"/>
    <mergeCell ref="B4:I4"/>
    <mergeCell ref="C5:E5"/>
    <mergeCell ref="G5:I5"/>
    <mergeCell ref="A16:E16"/>
    <mergeCell ref="A17:E17"/>
    <mergeCell ref="A12:E12"/>
    <mergeCell ref="A18:E18"/>
    <mergeCell ref="A13:E13"/>
    <mergeCell ref="A14:E14"/>
  </mergeCells>
  <dataValidations count="1">
    <dataValidation type="whole" allowBlank="1" showInputMessage="1" showErrorMessage="1" errorTitle="Attention!" error="Valeur numérique attendue" sqref="F9:G13 F15:G17 I9:K13 I15:K17" xr:uid="{00000000-0002-0000-2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3">
    <pageSetUpPr fitToPage="1"/>
  </sheetPr>
  <dimension ref="A1:K25"/>
  <sheetViews>
    <sheetView showGridLines="0" workbookViewId="0">
      <selection activeCell="A8" sqref="A8:K22"/>
    </sheetView>
  </sheetViews>
  <sheetFormatPr baseColWidth="10" defaultRowHeight="14.5"/>
  <cols>
    <col min="2" max="2" width="16.54296875" customWidth="1"/>
    <col min="5" max="7" width="15.453125" customWidth="1"/>
    <col min="8" max="8" width="11.1796875" customWidth="1"/>
    <col min="9" max="11" width="15.453125" customWidth="1"/>
  </cols>
  <sheetData>
    <row r="1" spans="1:11">
      <c r="A1" s="1134" t="s">
        <v>183</v>
      </c>
      <c r="B1" s="1134"/>
      <c r="C1" s="1134"/>
      <c r="D1" s="1134"/>
      <c r="E1" s="1134"/>
      <c r="F1" s="1134"/>
      <c r="G1" s="1134"/>
      <c r="H1" s="1134"/>
      <c r="I1" s="1134"/>
      <c r="J1" s="1134"/>
      <c r="K1" s="1134"/>
    </row>
    <row r="2" spans="1:11" ht="25" customHeight="1">
      <c r="A2" s="40"/>
      <c r="B2" s="40"/>
      <c r="C2" s="40"/>
      <c r="D2" s="40"/>
      <c r="E2" s="40"/>
      <c r="F2" s="40"/>
      <c r="G2" s="40"/>
      <c r="J2" s="1135" t="s">
        <v>746</v>
      </c>
      <c r="K2" s="1137"/>
    </row>
    <row r="3" spans="1:11" s="132" customFormat="1" ht="15" customHeight="1">
      <c r="A3" s="7" t="s">
        <v>26</v>
      </c>
      <c r="B3" s="7"/>
      <c r="C3" s="1221">
        <f>'NOTE 11'!C3</f>
        <v>0</v>
      </c>
      <c r="D3" s="1221"/>
      <c r="E3" s="1221"/>
      <c r="F3" s="1221"/>
      <c r="G3" s="1221"/>
      <c r="H3" s="1221"/>
      <c r="I3" s="1221"/>
      <c r="J3" s="1221"/>
      <c r="K3" s="1221"/>
    </row>
    <row r="4" spans="1:11" s="132" customFormat="1" ht="15" customHeight="1">
      <c r="A4" s="7" t="s">
        <v>27</v>
      </c>
      <c r="B4" s="1221">
        <f>'NOTE 11'!B4</f>
        <v>0</v>
      </c>
      <c r="C4" s="1221"/>
      <c r="D4" s="1221"/>
      <c r="E4" s="1221"/>
      <c r="F4" s="1221"/>
      <c r="G4" s="1221"/>
      <c r="H4" s="1221"/>
      <c r="I4" s="1221"/>
      <c r="J4" s="61" t="s">
        <v>28</v>
      </c>
      <c r="K4" s="119">
        <f>'NOTE 11'!I4</f>
        <v>0</v>
      </c>
    </row>
    <row r="5" spans="1:11" s="132" customFormat="1" ht="15" customHeight="1">
      <c r="A5" s="7" t="s">
        <v>2021</v>
      </c>
      <c r="B5" s="7"/>
      <c r="C5" s="1221">
        <f>'NOTE 11'!C5</f>
        <v>0</v>
      </c>
      <c r="D5" s="1221"/>
      <c r="E5" s="1221"/>
      <c r="F5" s="1221"/>
      <c r="G5" s="43" t="s">
        <v>30</v>
      </c>
      <c r="H5" s="1215">
        <f>'NOTE 11'!F5</f>
        <v>0</v>
      </c>
      <c r="I5" s="1215"/>
      <c r="J5" s="61" t="s">
        <v>31</v>
      </c>
      <c r="K5" s="44">
        <f>'NOTE 11'!I5</f>
        <v>0</v>
      </c>
    </row>
    <row r="6" spans="1:11" s="132" customFormat="1" ht="15" customHeight="1">
      <c r="A6" s="268" t="s">
        <v>2024</v>
      </c>
      <c r="B6" s="7"/>
      <c r="C6" s="1461">
        <f>'NOTE 11'!C6</f>
        <v>0</v>
      </c>
      <c r="D6" s="1461"/>
      <c r="E6" s="1461"/>
      <c r="F6" s="1461"/>
      <c r="G6" s="262"/>
      <c r="H6" s="44"/>
      <c r="I6" s="44"/>
      <c r="J6" s="263"/>
      <c r="K6" s="44"/>
    </row>
    <row r="7" spans="1:11" ht="35.15" customHeight="1" thickBot="1">
      <c r="A7" s="1169" t="s">
        <v>1664</v>
      </c>
      <c r="B7" s="1169"/>
      <c r="C7" s="1169"/>
      <c r="D7" s="1169"/>
      <c r="E7" s="1169"/>
      <c r="F7" s="1169"/>
      <c r="G7" s="1169"/>
      <c r="H7" s="1169"/>
      <c r="I7" s="1169"/>
      <c r="J7" s="1169"/>
      <c r="K7" s="1169"/>
    </row>
    <row r="8" spans="1:11" ht="58.5" customHeight="1">
      <c r="A8" s="1686" t="s">
        <v>525</v>
      </c>
      <c r="B8" s="1687"/>
      <c r="C8" s="1687"/>
      <c r="D8" s="1687"/>
      <c r="E8" s="882" t="s">
        <v>526</v>
      </c>
      <c r="F8" s="882" t="s">
        <v>527</v>
      </c>
      <c r="G8" s="882" t="s">
        <v>640</v>
      </c>
      <c r="H8" s="882" t="s">
        <v>546</v>
      </c>
      <c r="I8" s="882" t="s">
        <v>677</v>
      </c>
      <c r="J8" s="882" t="s">
        <v>747</v>
      </c>
      <c r="K8" s="884" t="s">
        <v>679</v>
      </c>
    </row>
    <row r="9" spans="1:11" ht="21" customHeight="1">
      <c r="A9" s="1442" t="s">
        <v>748</v>
      </c>
      <c r="B9" s="1443"/>
      <c r="C9" s="1443"/>
      <c r="D9" s="1443"/>
      <c r="E9" s="126"/>
      <c r="F9" s="126"/>
      <c r="G9" s="109">
        <f t="shared" ref="G9:G20" si="0">ABS(E9-F9)</f>
        <v>0</v>
      </c>
      <c r="H9" s="433" t="str">
        <f>IF(F9,(E9-F9)/F9,IF(ISBLANK(F9),"",IF(E9,IF( E9 &gt; 0,1,-1),"")))</f>
        <v/>
      </c>
      <c r="I9" s="126"/>
      <c r="J9" s="126"/>
      <c r="K9" s="830"/>
    </row>
    <row r="10" spans="1:11" ht="21" customHeight="1">
      <c r="A10" s="1442" t="s">
        <v>749</v>
      </c>
      <c r="B10" s="1443"/>
      <c r="C10" s="1443"/>
      <c r="D10" s="1443"/>
      <c r="E10" s="126"/>
      <c r="F10" s="126"/>
      <c r="G10" s="109">
        <f t="shared" si="0"/>
        <v>0</v>
      </c>
      <c r="H10" s="433" t="str">
        <f t="shared" ref="H10:H22" si="1">IF(F10,(E10-F10)/F10,IF(ISBLANK(F10),"",IF(E10,IF( E10 &gt; 0,1,-1),"")))</f>
        <v/>
      </c>
      <c r="I10" s="126"/>
      <c r="J10" s="126"/>
      <c r="K10" s="830"/>
    </row>
    <row r="11" spans="1:11" ht="21" customHeight="1">
      <c r="A11" s="1442" t="s">
        <v>750</v>
      </c>
      <c r="B11" s="1443"/>
      <c r="C11" s="1443"/>
      <c r="D11" s="1443"/>
      <c r="E11" s="126"/>
      <c r="F11" s="126"/>
      <c r="G11" s="109">
        <f t="shared" si="0"/>
        <v>0</v>
      </c>
      <c r="H11" s="433" t="str">
        <f t="shared" si="1"/>
        <v/>
      </c>
      <c r="I11" s="126"/>
      <c r="J11" s="126"/>
      <c r="K11" s="830"/>
    </row>
    <row r="12" spans="1:11" ht="21" customHeight="1">
      <c r="A12" s="1442" t="s">
        <v>751</v>
      </c>
      <c r="B12" s="1443"/>
      <c r="C12" s="1443"/>
      <c r="D12" s="1443"/>
      <c r="E12" s="126"/>
      <c r="F12" s="126"/>
      <c r="G12" s="109">
        <f t="shared" si="0"/>
        <v>0</v>
      </c>
      <c r="H12" s="433" t="str">
        <f t="shared" si="1"/>
        <v/>
      </c>
      <c r="I12" s="126"/>
      <c r="J12" s="126"/>
      <c r="K12" s="830"/>
    </row>
    <row r="13" spans="1:11" ht="21" customHeight="1">
      <c r="A13" s="1442" t="s">
        <v>752</v>
      </c>
      <c r="B13" s="1443"/>
      <c r="C13" s="1443"/>
      <c r="D13" s="1443"/>
      <c r="E13" s="126"/>
      <c r="F13" s="126"/>
      <c r="G13" s="109">
        <f t="shared" si="0"/>
        <v>0</v>
      </c>
      <c r="H13" s="433" t="str">
        <f t="shared" si="1"/>
        <v/>
      </c>
      <c r="I13" s="126"/>
      <c r="J13" s="126"/>
      <c r="K13" s="830"/>
    </row>
    <row r="14" spans="1:11" ht="21" customHeight="1">
      <c r="A14" s="1442" t="s">
        <v>753</v>
      </c>
      <c r="B14" s="1443"/>
      <c r="C14" s="1443"/>
      <c r="D14" s="1443"/>
      <c r="E14" s="126"/>
      <c r="F14" s="126"/>
      <c r="G14" s="109">
        <f t="shared" si="0"/>
        <v>0</v>
      </c>
      <c r="H14" s="433" t="str">
        <f t="shared" si="1"/>
        <v/>
      </c>
      <c r="I14" s="126"/>
      <c r="J14" s="126"/>
      <c r="K14" s="830"/>
    </row>
    <row r="15" spans="1:11" ht="21" customHeight="1">
      <c r="A15" s="1456" t="s">
        <v>754</v>
      </c>
      <c r="B15" s="1457"/>
      <c r="C15" s="1457"/>
      <c r="D15" s="1457"/>
      <c r="E15" s="124">
        <f>SUM(E9:E14)</f>
        <v>0</v>
      </c>
      <c r="F15" s="124">
        <f t="shared" ref="F15:G15" si="2">SUM(F9:F14)</f>
        <v>0</v>
      </c>
      <c r="G15" s="124">
        <f t="shared" si="2"/>
        <v>0</v>
      </c>
      <c r="H15" s="434" t="str">
        <f t="shared" si="1"/>
        <v/>
      </c>
      <c r="I15" s="124">
        <f>SUM(I9:I14)</f>
        <v>0</v>
      </c>
      <c r="J15" s="124">
        <f t="shared" ref="J15:K15" si="3">SUM(J9:J14)</f>
        <v>0</v>
      </c>
      <c r="K15" s="922">
        <f t="shared" si="3"/>
        <v>0</v>
      </c>
    </row>
    <row r="16" spans="1:11" ht="21" customHeight="1">
      <c r="A16" s="1442" t="s">
        <v>755</v>
      </c>
      <c r="B16" s="1443"/>
      <c r="C16" s="1443"/>
      <c r="D16" s="1443"/>
      <c r="E16" s="126"/>
      <c r="F16" s="126"/>
      <c r="G16" s="109">
        <f t="shared" si="0"/>
        <v>0</v>
      </c>
      <c r="H16" s="433" t="str">
        <f t="shared" si="1"/>
        <v/>
      </c>
      <c r="I16" s="126"/>
      <c r="J16" s="126"/>
      <c r="K16" s="830"/>
    </row>
    <row r="17" spans="1:11" ht="21" customHeight="1">
      <c r="A17" s="1442" t="s">
        <v>756</v>
      </c>
      <c r="B17" s="1443"/>
      <c r="C17" s="1443"/>
      <c r="D17" s="1443"/>
      <c r="E17" s="126"/>
      <c r="F17" s="126"/>
      <c r="G17" s="109">
        <f t="shared" si="0"/>
        <v>0</v>
      </c>
      <c r="H17" s="433" t="str">
        <f t="shared" si="1"/>
        <v/>
      </c>
      <c r="I17" s="126"/>
      <c r="J17" s="126"/>
      <c r="K17" s="830"/>
    </row>
    <row r="18" spans="1:11" ht="21" customHeight="1">
      <c r="A18" s="1442" t="s">
        <v>1582</v>
      </c>
      <c r="B18" s="1443"/>
      <c r="C18" s="1443"/>
      <c r="D18" s="1443"/>
      <c r="E18" s="126"/>
      <c r="F18" s="126"/>
      <c r="G18" s="109">
        <f t="shared" si="0"/>
        <v>0</v>
      </c>
      <c r="H18" s="433" t="str">
        <f t="shared" si="1"/>
        <v/>
      </c>
      <c r="I18" s="126"/>
      <c r="J18" s="126"/>
      <c r="K18" s="830"/>
    </row>
    <row r="19" spans="1:11" ht="21" customHeight="1">
      <c r="A19" s="1442" t="s">
        <v>757</v>
      </c>
      <c r="B19" s="1443"/>
      <c r="C19" s="1443"/>
      <c r="D19" s="1443"/>
      <c r="E19" s="126"/>
      <c r="F19" s="126"/>
      <c r="G19" s="109">
        <f t="shared" si="0"/>
        <v>0</v>
      </c>
      <c r="H19" s="433" t="str">
        <f t="shared" si="1"/>
        <v/>
      </c>
      <c r="I19" s="126"/>
      <c r="J19" s="126"/>
      <c r="K19" s="830"/>
    </row>
    <row r="20" spans="1:11" ht="21" customHeight="1">
      <c r="A20" s="1442" t="s">
        <v>758</v>
      </c>
      <c r="B20" s="1443"/>
      <c r="C20" s="1443"/>
      <c r="D20" s="1443"/>
      <c r="E20" s="126"/>
      <c r="F20" s="126"/>
      <c r="G20" s="109">
        <f t="shared" si="0"/>
        <v>0</v>
      </c>
      <c r="H20" s="433" t="str">
        <f t="shared" si="1"/>
        <v/>
      </c>
      <c r="I20" s="126"/>
      <c r="J20" s="126"/>
      <c r="K20" s="830"/>
    </row>
    <row r="21" spans="1:11" ht="21" customHeight="1">
      <c r="A21" s="1456" t="s">
        <v>759</v>
      </c>
      <c r="B21" s="1457"/>
      <c r="C21" s="1457"/>
      <c r="D21" s="1457"/>
      <c r="E21" s="124">
        <f>SUM(E16:E20)</f>
        <v>0</v>
      </c>
      <c r="F21" s="124">
        <f t="shared" ref="F21:G21" si="4">SUM(F16:F20)</f>
        <v>0</v>
      </c>
      <c r="G21" s="124">
        <f t="shared" si="4"/>
        <v>0</v>
      </c>
      <c r="H21" s="434" t="str">
        <f t="shared" si="1"/>
        <v/>
      </c>
      <c r="I21" s="124">
        <f>SUM(I16:I20)</f>
        <v>0</v>
      </c>
      <c r="J21" s="124">
        <f t="shared" ref="J21:K21" si="5">SUM(J16:J20)</f>
        <v>0</v>
      </c>
      <c r="K21" s="922">
        <f t="shared" si="5"/>
        <v>0</v>
      </c>
    </row>
    <row r="22" spans="1:11" ht="21" customHeight="1" thickBot="1">
      <c r="A22" s="1733" t="s">
        <v>760</v>
      </c>
      <c r="B22" s="1734"/>
      <c r="C22" s="1734"/>
      <c r="D22" s="1735"/>
      <c r="E22" s="903">
        <f>E15+E21</f>
        <v>0</v>
      </c>
      <c r="F22" s="903">
        <f t="shared" ref="F22:G22" si="6">F15+F21</f>
        <v>0</v>
      </c>
      <c r="G22" s="903">
        <f t="shared" si="6"/>
        <v>0</v>
      </c>
      <c r="H22" s="905" t="str">
        <f t="shared" si="1"/>
        <v/>
      </c>
      <c r="I22" s="903">
        <f>I15+I21</f>
        <v>0</v>
      </c>
      <c r="J22" s="903">
        <f t="shared" ref="J22:K22" si="7">J15+J21</f>
        <v>0</v>
      </c>
      <c r="K22" s="906">
        <f t="shared" si="7"/>
        <v>0</v>
      </c>
    </row>
    <row r="23" spans="1:11" s="3" customFormat="1" ht="16.5" customHeight="1">
      <c r="A23" s="581" t="s">
        <v>1791</v>
      </c>
    </row>
    <row r="24" spans="1:11" s="3" customFormat="1" ht="10.5">
      <c r="A24" s="641" t="s">
        <v>1994</v>
      </c>
    </row>
    <row r="25" spans="1:11" s="3" customFormat="1" ht="10.5">
      <c r="A25" s="641" t="s">
        <v>1995</v>
      </c>
    </row>
  </sheetData>
  <sheetProtection selectLockedCells="1"/>
  <mergeCells count="23">
    <mergeCell ref="A15:D15"/>
    <mergeCell ref="A1:K1"/>
    <mergeCell ref="J2:K2"/>
    <mergeCell ref="C3:K3"/>
    <mergeCell ref="B4:I4"/>
    <mergeCell ref="C5:F5"/>
    <mergeCell ref="H5:I5"/>
    <mergeCell ref="C6:F6"/>
    <mergeCell ref="A12:D12"/>
    <mergeCell ref="A7:K7"/>
    <mergeCell ref="A8:D8"/>
    <mergeCell ref="A9:D9"/>
    <mergeCell ref="A10:D10"/>
    <mergeCell ref="A11:D11"/>
    <mergeCell ref="A13:D13"/>
    <mergeCell ref="A14:D14"/>
    <mergeCell ref="A21:D21"/>
    <mergeCell ref="A22:D22"/>
    <mergeCell ref="A16:D16"/>
    <mergeCell ref="A17:D17"/>
    <mergeCell ref="A18:D18"/>
    <mergeCell ref="A19:D19"/>
    <mergeCell ref="A20:D20"/>
  </mergeCells>
  <dataValidations count="1">
    <dataValidation type="whole" allowBlank="1" showInputMessage="1" showErrorMessage="1" errorTitle="Attention!" error="Valeur numérique attendue" sqref="E9:F14 I9:K14 E16:F20 I16:K20" xr:uid="{00000000-0002-0000-2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4">
    <pageSetUpPr fitToPage="1"/>
  </sheetPr>
  <dimension ref="A1:K34"/>
  <sheetViews>
    <sheetView showGridLines="0" workbookViewId="0">
      <selection activeCell="A8" sqref="A8:K29"/>
    </sheetView>
  </sheetViews>
  <sheetFormatPr baseColWidth="10" defaultRowHeight="14.5"/>
  <cols>
    <col min="1" max="1" width="15.54296875" customWidth="1"/>
    <col min="2" max="2" width="16.54296875" customWidth="1"/>
    <col min="4" max="4" width="12.54296875" customWidth="1"/>
    <col min="5" max="6" width="15.1796875" customWidth="1"/>
    <col min="7" max="7" width="13.1796875" customWidth="1"/>
    <col min="8" max="8" width="11.453125" customWidth="1"/>
    <col min="9" max="11" width="14.54296875" customWidth="1"/>
  </cols>
  <sheetData>
    <row r="1" spans="1:11">
      <c r="A1" s="1134" t="s">
        <v>183</v>
      </c>
      <c r="B1" s="1134"/>
      <c r="C1" s="1134"/>
      <c r="D1" s="1134"/>
      <c r="E1" s="1134"/>
      <c r="F1" s="1134"/>
      <c r="G1" s="1134"/>
      <c r="H1" s="1134"/>
      <c r="I1" s="1134"/>
      <c r="J1" s="1134"/>
      <c r="K1" s="1134"/>
    </row>
    <row r="2" spans="1:11" ht="25" customHeight="1">
      <c r="A2" s="40"/>
      <c r="B2" s="40"/>
      <c r="C2" s="40"/>
      <c r="D2" s="40"/>
      <c r="E2" s="40"/>
      <c r="F2" s="40"/>
      <c r="G2" s="40"/>
      <c r="J2" s="1135" t="s">
        <v>761</v>
      </c>
      <c r="K2" s="1137"/>
    </row>
    <row r="3" spans="1:11" s="132" customFormat="1" ht="15" customHeight="1">
      <c r="A3" s="7" t="s">
        <v>26</v>
      </c>
      <c r="B3" s="7"/>
      <c r="C3" s="1221">
        <f>'NOTE 11'!C3</f>
        <v>0</v>
      </c>
      <c r="D3" s="1221"/>
      <c r="E3" s="1221"/>
      <c r="F3" s="1221"/>
      <c r="G3" s="1221"/>
      <c r="H3" s="1221"/>
      <c r="I3" s="1221"/>
      <c r="J3" s="1221"/>
      <c r="K3" s="1221"/>
    </row>
    <row r="4" spans="1:11" s="132" customFormat="1" ht="15" customHeight="1">
      <c r="A4" s="7" t="s">
        <v>27</v>
      </c>
      <c r="B4" s="1221">
        <f>'NOTE 11'!B4</f>
        <v>0</v>
      </c>
      <c r="C4" s="1221"/>
      <c r="D4" s="1221"/>
      <c r="E4" s="1221"/>
      <c r="F4" s="1221"/>
      <c r="G4" s="1221"/>
      <c r="H4" s="1221"/>
      <c r="I4" s="1221"/>
      <c r="J4" s="61" t="s">
        <v>28</v>
      </c>
      <c r="K4" s="119">
        <f>'NOTE 11'!I4</f>
        <v>0</v>
      </c>
    </row>
    <row r="5" spans="1:11" s="132" customFormat="1" ht="15" customHeight="1">
      <c r="A5" s="7" t="s">
        <v>2021</v>
      </c>
      <c r="B5" s="7"/>
      <c r="C5" s="1221">
        <f>'NOTE 11'!C5</f>
        <v>0</v>
      </c>
      <c r="D5" s="1221"/>
      <c r="E5" s="1221"/>
      <c r="F5" s="1221"/>
      <c r="G5" s="1224" t="s">
        <v>30</v>
      </c>
      <c r="H5" s="1224"/>
      <c r="I5" s="119">
        <f>'NOTE 11'!F5</f>
        <v>0</v>
      </c>
      <c r="J5" s="61" t="s">
        <v>31</v>
      </c>
      <c r="K5" s="44">
        <f>'NOTE 11'!I5</f>
        <v>0</v>
      </c>
    </row>
    <row r="6" spans="1:11" s="132" customFormat="1" ht="15" customHeight="1">
      <c r="A6" s="268" t="s">
        <v>2024</v>
      </c>
      <c r="B6" s="7"/>
      <c r="C6" s="1461">
        <f>'NOTE 11'!C6</f>
        <v>0</v>
      </c>
      <c r="D6" s="1461"/>
      <c r="E6" s="1461"/>
      <c r="F6" s="1461"/>
      <c r="G6" s="262"/>
      <c r="H6" s="44"/>
      <c r="I6" s="44"/>
      <c r="J6" s="263"/>
      <c r="K6" s="44"/>
    </row>
    <row r="7" spans="1:11" ht="35.15" customHeight="1" thickBot="1">
      <c r="A7" s="1169" t="s">
        <v>1820</v>
      </c>
      <c r="B7" s="1169"/>
      <c r="C7" s="1169"/>
      <c r="D7" s="1169"/>
      <c r="E7" s="1169"/>
      <c r="F7" s="1169"/>
      <c r="G7" s="1169"/>
      <c r="H7" s="1169"/>
      <c r="I7" s="1169"/>
      <c r="J7" s="1169"/>
      <c r="K7" s="1169"/>
    </row>
    <row r="8" spans="1:11" ht="41.25" customHeight="1">
      <c r="A8" s="1686" t="s">
        <v>525</v>
      </c>
      <c r="B8" s="1687"/>
      <c r="C8" s="1687"/>
      <c r="D8" s="1687"/>
      <c r="E8" s="882" t="s">
        <v>526</v>
      </c>
      <c r="F8" s="882" t="s">
        <v>527</v>
      </c>
      <c r="G8" s="882" t="s">
        <v>640</v>
      </c>
      <c r="H8" s="882" t="s">
        <v>546</v>
      </c>
      <c r="I8" s="882" t="s">
        <v>677</v>
      </c>
      <c r="J8" s="882" t="s">
        <v>762</v>
      </c>
      <c r="K8" s="884" t="s">
        <v>679</v>
      </c>
    </row>
    <row r="9" spans="1:11" ht="17.149999999999999" customHeight="1">
      <c r="A9" s="1442" t="s">
        <v>466</v>
      </c>
      <c r="B9" s="1443"/>
      <c r="C9" s="1443"/>
      <c r="D9" s="1443"/>
      <c r="E9" s="126"/>
      <c r="F9" s="126"/>
      <c r="G9" s="109">
        <f>ABS(E9-F9)</f>
        <v>0</v>
      </c>
      <c r="H9" s="433" t="str">
        <f>IF(F9,(E9-F9)/F9,IF(ISBLANK(F9),"",IF(E9,IF( E9 &gt; 0,1,-1),"")))</f>
        <v/>
      </c>
      <c r="I9" s="126"/>
      <c r="J9" s="126"/>
      <c r="K9" s="830"/>
    </row>
    <row r="10" spans="1:11" ht="17.149999999999999" customHeight="1">
      <c r="A10" s="1442" t="s">
        <v>763</v>
      </c>
      <c r="B10" s="1443"/>
      <c r="C10" s="1443"/>
      <c r="D10" s="1443"/>
      <c r="E10" s="126"/>
      <c r="F10" s="126"/>
      <c r="G10" s="109">
        <f t="shared" ref="G10:G14" si="0">ABS(E10-F10)</f>
        <v>0</v>
      </c>
      <c r="H10" s="433" t="str">
        <f t="shared" ref="H10:H29" si="1">IF(F10,(E10-F10)/F10,IF(ISBLANK(F10),"",IF(E10,IF( E10 &gt; 0,1,-1),"")))</f>
        <v/>
      </c>
      <c r="I10" s="126"/>
      <c r="J10" s="126"/>
      <c r="K10" s="830"/>
    </row>
    <row r="11" spans="1:11" ht="17.149999999999999" customHeight="1">
      <c r="A11" s="1442" t="s">
        <v>764</v>
      </c>
      <c r="B11" s="1443"/>
      <c r="C11" s="1443"/>
      <c r="D11" s="1443"/>
      <c r="E11" s="126"/>
      <c r="F11" s="126"/>
      <c r="G11" s="109">
        <f t="shared" si="0"/>
        <v>0</v>
      </c>
      <c r="H11" s="433" t="str">
        <f t="shared" si="1"/>
        <v/>
      </c>
      <c r="I11" s="126"/>
      <c r="J11" s="126"/>
      <c r="K11" s="830"/>
    </row>
    <row r="12" spans="1:11" ht="17.149999999999999" customHeight="1">
      <c r="A12" s="1442" t="s">
        <v>765</v>
      </c>
      <c r="B12" s="1443"/>
      <c r="C12" s="1443"/>
      <c r="D12" s="1443"/>
      <c r="E12" s="126"/>
      <c r="F12" s="126"/>
      <c r="G12" s="109">
        <f t="shared" si="0"/>
        <v>0</v>
      </c>
      <c r="H12" s="433" t="str">
        <f t="shared" si="1"/>
        <v/>
      </c>
      <c r="I12" s="126"/>
      <c r="J12" s="126"/>
      <c r="K12" s="830"/>
    </row>
    <row r="13" spans="1:11" ht="17.149999999999999" customHeight="1">
      <c r="A13" s="1442" t="s">
        <v>766</v>
      </c>
      <c r="B13" s="1443"/>
      <c r="C13" s="1443"/>
      <c r="D13" s="1443"/>
      <c r="E13" s="126"/>
      <c r="F13" s="126"/>
      <c r="G13" s="109">
        <f t="shared" si="0"/>
        <v>0</v>
      </c>
      <c r="H13" s="433" t="str">
        <f t="shared" si="1"/>
        <v/>
      </c>
      <c r="I13" s="126"/>
      <c r="J13" s="126"/>
      <c r="K13" s="830"/>
    </row>
    <row r="14" spans="1:11" ht="17.149999999999999" customHeight="1">
      <c r="A14" s="1442" t="s">
        <v>767</v>
      </c>
      <c r="B14" s="1443"/>
      <c r="C14" s="1443"/>
      <c r="D14" s="1443"/>
      <c r="E14" s="126"/>
      <c r="F14" s="126"/>
      <c r="G14" s="109">
        <f t="shared" si="0"/>
        <v>0</v>
      </c>
      <c r="H14" s="433" t="str">
        <f t="shared" si="1"/>
        <v/>
      </c>
      <c r="I14" s="126"/>
      <c r="J14" s="126"/>
      <c r="K14" s="830"/>
    </row>
    <row r="15" spans="1:11" ht="17.149999999999999" customHeight="1">
      <c r="A15" s="1612" t="s">
        <v>768</v>
      </c>
      <c r="B15" s="1613"/>
      <c r="C15" s="1613"/>
      <c r="D15" s="1613"/>
      <c r="E15" s="108">
        <f>SUM(E9:E14)</f>
        <v>0</v>
      </c>
      <c r="F15" s="108">
        <f>SUM(F9:F14)</f>
        <v>0</v>
      </c>
      <c r="G15" s="108">
        <f>SUM(G9:G14)</f>
        <v>0</v>
      </c>
      <c r="H15" s="434" t="str">
        <f t="shared" si="1"/>
        <v/>
      </c>
      <c r="I15" s="108">
        <f>SUM(I9:I14)</f>
        <v>0</v>
      </c>
      <c r="J15" s="108">
        <f t="shared" ref="J15:K15" si="2">SUM(J9:J14)</f>
        <v>0</v>
      </c>
      <c r="K15" s="872">
        <f t="shared" si="2"/>
        <v>0</v>
      </c>
    </row>
    <row r="16" spans="1:11" ht="17.149999999999999" customHeight="1">
      <c r="A16" s="1442" t="s">
        <v>468</v>
      </c>
      <c r="B16" s="1443"/>
      <c r="C16" s="1443"/>
      <c r="D16" s="1443"/>
      <c r="E16" s="126"/>
      <c r="F16" s="126"/>
      <c r="G16" s="109">
        <f>ABS(E16-F16)</f>
        <v>0</v>
      </c>
      <c r="H16" s="433" t="str">
        <f t="shared" si="1"/>
        <v/>
      </c>
      <c r="I16" s="126"/>
      <c r="J16" s="126"/>
      <c r="K16" s="830"/>
    </row>
    <row r="17" spans="1:11" ht="17.149999999999999" customHeight="1">
      <c r="A17" s="1442" t="s">
        <v>769</v>
      </c>
      <c r="B17" s="1443"/>
      <c r="C17" s="1443"/>
      <c r="D17" s="1443"/>
      <c r="E17" s="126"/>
      <c r="F17" s="126"/>
      <c r="G17" s="109">
        <f t="shared" ref="G17:G22" si="3">ABS(E17-F17)</f>
        <v>0</v>
      </c>
      <c r="H17" s="433" t="str">
        <f t="shared" si="1"/>
        <v/>
      </c>
      <c r="I17" s="126"/>
      <c r="J17" s="126"/>
      <c r="K17" s="830"/>
    </row>
    <row r="18" spans="1:11" ht="17.149999999999999" customHeight="1">
      <c r="A18" s="1442" t="s">
        <v>770</v>
      </c>
      <c r="B18" s="1443"/>
      <c r="C18" s="1443"/>
      <c r="D18" s="1443"/>
      <c r="E18" s="126"/>
      <c r="F18" s="126"/>
      <c r="G18" s="109">
        <f t="shared" si="3"/>
        <v>0</v>
      </c>
      <c r="H18" s="433" t="str">
        <f t="shared" si="1"/>
        <v/>
      </c>
      <c r="I18" s="126"/>
      <c r="J18" s="126"/>
      <c r="K18" s="830"/>
    </row>
    <row r="19" spans="1:11" ht="17.149999999999999" customHeight="1">
      <c r="A19" s="1442" t="s">
        <v>1821</v>
      </c>
      <c r="B19" s="1443"/>
      <c r="C19" s="1443"/>
      <c r="D19" s="1443"/>
      <c r="E19" s="126"/>
      <c r="F19" s="126"/>
      <c r="G19" s="109">
        <f t="shared" si="3"/>
        <v>0</v>
      </c>
      <c r="H19" s="433" t="str">
        <f t="shared" si="1"/>
        <v/>
      </c>
      <c r="I19" s="126"/>
      <c r="J19" s="126"/>
      <c r="K19" s="830"/>
    </row>
    <row r="20" spans="1:11" ht="25.5" customHeight="1">
      <c r="A20" s="1442" t="s">
        <v>771</v>
      </c>
      <c r="B20" s="1443"/>
      <c r="C20" s="1443"/>
      <c r="D20" s="1443"/>
      <c r="E20" s="126"/>
      <c r="F20" s="126"/>
      <c r="G20" s="109">
        <f t="shared" si="3"/>
        <v>0</v>
      </c>
      <c r="H20" s="433" t="str">
        <f t="shared" si="1"/>
        <v/>
      </c>
      <c r="I20" s="126"/>
      <c r="J20" s="126"/>
      <c r="K20" s="830"/>
    </row>
    <row r="21" spans="1:11" ht="25.5" customHeight="1">
      <c r="A21" s="1442" t="s">
        <v>1822</v>
      </c>
      <c r="B21" s="1443"/>
      <c r="C21" s="1443"/>
      <c r="D21" s="1443"/>
      <c r="E21" s="126"/>
      <c r="F21" s="126"/>
      <c r="G21" s="109">
        <f t="shared" si="3"/>
        <v>0</v>
      </c>
      <c r="H21" s="433" t="str">
        <f t="shared" si="1"/>
        <v/>
      </c>
      <c r="I21" s="126"/>
      <c r="J21" s="126"/>
      <c r="K21" s="830"/>
    </row>
    <row r="22" spans="1:11" ht="17.149999999999999" customHeight="1">
      <c r="A22" s="1442" t="s">
        <v>772</v>
      </c>
      <c r="B22" s="1443"/>
      <c r="C22" s="1443"/>
      <c r="D22" s="1443"/>
      <c r="E22" s="126"/>
      <c r="F22" s="126"/>
      <c r="G22" s="109">
        <f t="shared" si="3"/>
        <v>0</v>
      </c>
      <c r="H22" s="433" t="str">
        <f t="shared" si="1"/>
        <v/>
      </c>
      <c r="I22" s="126"/>
      <c r="J22" s="126"/>
      <c r="K22" s="830"/>
    </row>
    <row r="23" spans="1:11" ht="17.149999999999999" customHeight="1">
      <c r="A23" s="1612" t="s">
        <v>773</v>
      </c>
      <c r="B23" s="1613"/>
      <c r="C23" s="1613"/>
      <c r="D23" s="1613"/>
      <c r="E23" s="108">
        <f>SUM(E16:E22)</f>
        <v>0</v>
      </c>
      <c r="F23" s="108">
        <f>SUM(F16:F22)</f>
        <v>0</v>
      </c>
      <c r="G23" s="108">
        <f>SUM(G16:G22)</f>
        <v>0</v>
      </c>
      <c r="H23" s="434" t="str">
        <f t="shared" si="1"/>
        <v/>
      </c>
      <c r="I23" s="108">
        <f>SUM(I16:I22)</f>
        <v>0</v>
      </c>
      <c r="J23" s="108">
        <f>SUM(J16:J22)</f>
        <v>0</v>
      </c>
      <c r="K23" s="872">
        <f>SUM(K16:K22)</f>
        <v>0</v>
      </c>
    </row>
    <row r="24" spans="1:11" ht="25.5" customHeight="1">
      <c r="A24" s="1442" t="s">
        <v>774</v>
      </c>
      <c r="B24" s="1443"/>
      <c r="C24" s="1443"/>
      <c r="D24" s="1443"/>
      <c r="E24" s="126"/>
      <c r="F24" s="126"/>
      <c r="G24" s="109">
        <f>ABS(E24-F24)</f>
        <v>0</v>
      </c>
      <c r="H24" s="433" t="str">
        <f t="shared" si="1"/>
        <v/>
      </c>
      <c r="I24" s="126"/>
      <c r="J24" s="126"/>
      <c r="K24" s="830"/>
    </row>
    <row r="25" spans="1:11" ht="17.149999999999999" customHeight="1">
      <c r="A25" s="1502" t="s">
        <v>1563</v>
      </c>
      <c r="B25" s="1503"/>
      <c r="C25" s="1503"/>
      <c r="D25" s="1504"/>
      <c r="E25" s="126"/>
      <c r="F25" s="126"/>
      <c r="G25" s="109">
        <f t="shared" ref="G25:G26" si="4">ABS(E25-F25)</f>
        <v>0</v>
      </c>
      <c r="H25" s="433" t="str">
        <f t="shared" si="1"/>
        <v/>
      </c>
      <c r="I25" s="126"/>
      <c r="J25" s="126"/>
      <c r="K25" s="830"/>
    </row>
    <row r="26" spans="1:11" ht="17.149999999999999" customHeight="1">
      <c r="A26" s="1502" t="s">
        <v>1564</v>
      </c>
      <c r="B26" s="1503"/>
      <c r="C26" s="1503"/>
      <c r="D26" s="1504"/>
      <c r="E26" s="126"/>
      <c r="F26" s="126"/>
      <c r="G26" s="109">
        <f t="shared" si="4"/>
        <v>0</v>
      </c>
      <c r="H26" s="433" t="str">
        <f t="shared" si="1"/>
        <v/>
      </c>
      <c r="I26" s="126"/>
      <c r="J26" s="126"/>
      <c r="K26" s="830"/>
    </row>
    <row r="27" spans="1:11" ht="17.149999999999999" customHeight="1">
      <c r="A27" s="1612" t="s">
        <v>775</v>
      </c>
      <c r="B27" s="1613"/>
      <c r="C27" s="1613"/>
      <c r="D27" s="1613"/>
      <c r="E27" s="108">
        <f>SUM(E24:E26)</f>
        <v>0</v>
      </c>
      <c r="F27" s="108">
        <f>SUM(F24:F26)</f>
        <v>0</v>
      </c>
      <c r="G27" s="108">
        <f>SUM(G24:G26)</f>
        <v>0</v>
      </c>
      <c r="H27" s="434" t="str">
        <f t="shared" si="1"/>
        <v/>
      </c>
      <c r="I27" s="108">
        <f>SUM(I24:I26)</f>
        <v>0</v>
      </c>
      <c r="J27" s="108">
        <f>SUM(J24:J26)</f>
        <v>0</v>
      </c>
      <c r="K27" s="872">
        <f>SUM(K24:K26)</f>
        <v>0</v>
      </c>
    </row>
    <row r="28" spans="1:11" ht="17.149999999999999" customHeight="1">
      <c r="A28" s="1736" t="s">
        <v>776</v>
      </c>
      <c r="B28" s="1737"/>
      <c r="C28" s="1737"/>
      <c r="D28" s="1737"/>
      <c r="E28" s="145">
        <f>E15+E23+E27</f>
        <v>0</v>
      </c>
      <c r="F28" s="145">
        <f>F15+F23+F27</f>
        <v>0</v>
      </c>
      <c r="G28" s="145">
        <f>G15+G23+G27</f>
        <v>0</v>
      </c>
      <c r="H28" s="435" t="str">
        <f t="shared" si="1"/>
        <v/>
      </c>
      <c r="I28" s="145">
        <f>I15+I23+I27</f>
        <v>0</v>
      </c>
      <c r="J28" s="145">
        <f>J15+J23+J27</f>
        <v>0</v>
      </c>
      <c r="K28" s="923">
        <f>K15+K23+K27</f>
        <v>0</v>
      </c>
    </row>
    <row r="29" spans="1:11" ht="17.149999999999999" customHeight="1" thickBot="1">
      <c r="A29" s="1719" t="s">
        <v>1823</v>
      </c>
      <c r="B29" s="1720"/>
      <c r="C29" s="1720"/>
      <c r="D29" s="1720"/>
      <c r="E29" s="862"/>
      <c r="F29" s="862"/>
      <c r="G29" s="924">
        <f t="shared" ref="G29" si="5">ABS(E29-F29)</f>
        <v>0</v>
      </c>
      <c r="H29" s="925" t="str">
        <f t="shared" si="1"/>
        <v/>
      </c>
      <c r="I29" s="862"/>
      <c r="J29" s="862"/>
      <c r="K29" s="863"/>
    </row>
    <row r="30" spans="1:11" s="3" customFormat="1" ht="15" customHeight="1">
      <c r="A30" s="581" t="s">
        <v>1791</v>
      </c>
    </row>
    <row r="31" spans="1:11" s="3" customFormat="1" ht="12" customHeight="1">
      <c r="A31" s="641" t="s">
        <v>1994</v>
      </c>
    </row>
    <row r="32" spans="1:11" s="3" customFormat="1" ht="12" customHeight="1">
      <c r="A32" s="641" t="s">
        <v>1996</v>
      </c>
    </row>
    <row r="33" spans="1:1" s="3" customFormat="1" ht="12" customHeight="1">
      <c r="A33" s="641" t="s">
        <v>1993</v>
      </c>
    </row>
    <row r="34" spans="1:1" s="3" customFormat="1" ht="12" customHeight="1">
      <c r="A34" s="641" t="s">
        <v>1997</v>
      </c>
    </row>
  </sheetData>
  <sheetProtection selectLockedCells="1"/>
  <mergeCells count="30">
    <mergeCell ref="A12:D12"/>
    <mergeCell ref="A13:D13"/>
    <mergeCell ref="A14:D14"/>
    <mergeCell ref="A1:K1"/>
    <mergeCell ref="J2:K2"/>
    <mergeCell ref="C3:K3"/>
    <mergeCell ref="B4:I4"/>
    <mergeCell ref="C5:F5"/>
    <mergeCell ref="C6:F6"/>
    <mergeCell ref="A11:D11"/>
    <mergeCell ref="A7:K7"/>
    <mergeCell ref="A8:D8"/>
    <mergeCell ref="A9:D9"/>
    <mergeCell ref="A10:D10"/>
    <mergeCell ref="G5:H5"/>
    <mergeCell ref="A28:D28"/>
    <mergeCell ref="A29:D29"/>
    <mergeCell ref="A23:D23"/>
    <mergeCell ref="A24:D24"/>
    <mergeCell ref="A27:D27"/>
    <mergeCell ref="A25:D25"/>
    <mergeCell ref="A26:D26"/>
    <mergeCell ref="A22:D22"/>
    <mergeCell ref="A20:D20"/>
    <mergeCell ref="A21:D21"/>
    <mergeCell ref="A15:D15"/>
    <mergeCell ref="A16:D16"/>
    <mergeCell ref="A17:D17"/>
    <mergeCell ref="A18:D18"/>
    <mergeCell ref="A19:D19"/>
  </mergeCells>
  <dataValidations count="1">
    <dataValidation type="whole" allowBlank="1" showInputMessage="1" showErrorMessage="1" errorTitle="Attention!" error="Valeur numérique attendue" sqref="E9:F14 I9:K14 E16:F22 I16:K22 E24:F26 I24:K26" xr:uid="{00000000-0002-0000-2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5">
    <pageSetUpPr fitToPage="1"/>
  </sheetPr>
  <dimension ref="A1:H23"/>
  <sheetViews>
    <sheetView showGridLines="0" workbookViewId="0">
      <selection activeCell="A8" sqref="A8:H18"/>
    </sheetView>
  </sheetViews>
  <sheetFormatPr baseColWidth="10" defaultRowHeight="14.5"/>
  <cols>
    <col min="2" max="2" width="17.54296875" customWidth="1"/>
    <col min="3" max="3" width="10.453125" customWidth="1"/>
    <col min="4" max="4" width="3.453125" customWidth="1"/>
    <col min="5" max="5" width="13.54296875" customWidth="1"/>
    <col min="6" max="7" width="15.54296875" customWidth="1"/>
    <col min="8" max="8" width="13.81640625" customWidth="1"/>
  </cols>
  <sheetData>
    <row r="1" spans="1:8">
      <c r="A1" s="1134" t="s">
        <v>183</v>
      </c>
      <c r="B1" s="1134"/>
      <c r="C1" s="1134"/>
      <c r="D1" s="1134"/>
      <c r="E1" s="1134"/>
      <c r="F1" s="1134"/>
      <c r="G1" s="1134"/>
      <c r="H1" s="1134"/>
    </row>
    <row r="2" spans="1:8" ht="25" customHeight="1">
      <c r="A2" s="40"/>
      <c r="B2" s="40"/>
      <c r="C2" s="40"/>
      <c r="D2" s="40"/>
      <c r="E2" s="40"/>
      <c r="F2" s="40"/>
      <c r="G2" s="1135" t="s">
        <v>777</v>
      </c>
      <c r="H2" s="1460"/>
    </row>
    <row r="3" spans="1:8" s="132" customFormat="1" ht="15" customHeight="1">
      <c r="A3" s="7" t="s">
        <v>26</v>
      </c>
      <c r="B3" s="7"/>
      <c r="C3" s="1221">
        <f>'NOTE 11'!C3</f>
        <v>0</v>
      </c>
      <c r="D3" s="1221"/>
      <c r="E3" s="1221"/>
      <c r="F3" s="1221"/>
      <c r="G3" s="1221"/>
      <c r="H3" s="1221"/>
    </row>
    <row r="4" spans="1:8" s="132" customFormat="1" ht="15" customHeight="1">
      <c r="A4" s="7" t="s">
        <v>27</v>
      </c>
      <c r="B4" s="1221">
        <f>'NOTE 11'!B4</f>
        <v>0</v>
      </c>
      <c r="C4" s="1223"/>
      <c r="D4" s="1223"/>
      <c r="E4" s="1223"/>
      <c r="F4" s="1223"/>
      <c r="G4" s="61" t="s">
        <v>28</v>
      </c>
      <c r="H4" s="44">
        <f>'NOTE 11'!I4</f>
        <v>0</v>
      </c>
    </row>
    <row r="5" spans="1:8" s="132" customFormat="1" ht="15" customHeight="1">
      <c r="A5" s="7" t="s">
        <v>2021</v>
      </c>
      <c r="B5" s="7"/>
      <c r="C5" s="1223">
        <f>'NOTE 11'!C5</f>
        <v>0</v>
      </c>
      <c r="D5" s="1223"/>
      <c r="E5" s="43" t="s">
        <v>30</v>
      </c>
      <c r="F5" s="365">
        <f>'NOTE 11'!F5</f>
        <v>0</v>
      </c>
      <c r="G5" s="61" t="s">
        <v>31</v>
      </c>
      <c r="H5" s="111">
        <f>'NOTE 11'!I5</f>
        <v>0</v>
      </c>
    </row>
    <row r="6" spans="1:8" s="132" customFormat="1" ht="15" customHeight="1">
      <c r="A6" s="268" t="s">
        <v>2024</v>
      </c>
      <c r="B6" s="7"/>
      <c r="C6" s="1461">
        <f>'NOTE 11'!C6</f>
        <v>0</v>
      </c>
      <c r="D6" s="1461"/>
      <c r="E6" s="262"/>
      <c r="F6" s="44"/>
      <c r="G6" s="263"/>
      <c r="H6" s="44"/>
    </row>
    <row r="7" spans="1:8" ht="35.15" customHeight="1" thickBot="1">
      <c r="A7" s="1169" t="s">
        <v>1583</v>
      </c>
      <c r="B7" s="1169"/>
      <c r="C7" s="1169"/>
      <c r="D7" s="1169"/>
      <c r="E7" s="1169"/>
      <c r="F7" s="1169"/>
      <c r="G7" s="1169"/>
      <c r="H7" s="1169"/>
    </row>
    <row r="8" spans="1:8" ht="25.5" customHeight="1">
      <c r="A8" s="1686" t="s">
        <v>525</v>
      </c>
      <c r="B8" s="1687"/>
      <c r="C8" s="1687"/>
      <c r="D8" s="1687"/>
      <c r="E8" s="1687"/>
      <c r="F8" s="882" t="s">
        <v>526</v>
      </c>
      <c r="G8" s="882" t="s">
        <v>527</v>
      </c>
      <c r="H8" s="884" t="s">
        <v>546</v>
      </c>
    </row>
    <row r="9" spans="1:8" ht="21.75" customHeight="1">
      <c r="A9" s="1442" t="s">
        <v>778</v>
      </c>
      <c r="B9" s="1443"/>
      <c r="C9" s="1443"/>
      <c r="D9" s="1443"/>
      <c r="E9" s="1443"/>
      <c r="F9" s="126"/>
      <c r="G9" s="126"/>
      <c r="H9" s="866" t="str">
        <f>IF(G9,(F9-G9)/G9,IF(ISBLANK(G9),"",IF(F9,IF( F9 &gt; 0,1,-1),"")))</f>
        <v/>
      </c>
    </row>
    <row r="10" spans="1:8" ht="21.75" customHeight="1">
      <c r="A10" s="1442" t="s">
        <v>779</v>
      </c>
      <c r="B10" s="1443"/>
      <c r="C10" s="1443"/>
      <c r="D10" s="1443"/>
      <c r="E10" s="1443"/>
      <c r="F10" s="126"/>
      <c r="G10" s="126"/>
      <c r="H10" s="866" t="str">
        <f t="shared" ref="H10:H18" si="0">IF(G10,(F10-G10)/G10,IF(ISBLANK(G10),"",IF(F10,IF( F10 &gt; 0,1,-1),"")))</f>
        <v/>
      </c>
    </row>
    <row r="11" spans="1:8" ht="21.75" customHeight="1">
      <c r="A11" s="1612" t="s">
        <v>780</v>
      </c>
      <c r="B11" s="1613"/>
      <c r="C11" s="1613"/>
      <c r="D11" s="1613"/>
      <c r="E11" s="1613"/>
      <c r="F11" s="108">
        <f>SUM(F9:F10)</f>
        <v>0</v>
      </c>
      <c r="G11" s="108">
        <f>SUM(G9:G10)</f>
        <v>0</v>
      </c>
      <c r="H11" s="867" t="str">
        <f t="shared" si="0"/>
        <v/>
      </c>
    </row>
    <row r="12" spans="1:8" ht="21.75" customHeight="1">
      <c r="A12" s="1442" t="s">
        <v>614</v>
      </c>
      <c r="B12" s="1443"/>
      <c r="C12" s="1443"/>
      <c r="D12" s="1443"/>
      <c r="E12" s="1443"/>
      <c r="F12" s="126"/>
      <c r="G12" s="126"/>
      <c r="H12" s="866" t="str">
        <f t="shared" si="0"/>
        <v/>
      </c>
    </row>
    <row r="13" spans="1:8" ht="21.75" customHeight="1">
      <c r="A13" s="1442" t="s">
        <v>615</v>
      </c>
      <c r="B13" s="1443"/>
      <c r="C13" s="1443"/>
      <c r="D13" s="1443"/>
      <c r="E13" s="1443"/>
      <c r="F13" s="126"/>
      <c r="G13" s="126"/>
      <c r="H13" s="866" t="str">
        <f t="shared" si="0"/>
        <v/>
      </c>
    </row>
    <row r="14" spans="1:8" ht="21.75" customHeight="1">
      <c r="A14" s="1442" t="s">
        <v>1567</v>
      </c>
      <c r="B14" s="1443"/>
      <c r="C14" s="1443"/>
      <c r="D14" s="1443"/>
      <c r="E14" s="1443"/>
      <c r="F14" s="126"/>
      <c r="G14" s="126"/>
      <c r="H14" s="866" t="str">
        <f t="shared" si="0"/>
        <v/>
      </c>
    </row>
    <row r="15" spans="1:8" ht="22.5" customHeight="1">
      <c r="A15" s="1442" t="s">
        <v>617</v>
      </c>
      <c r="B15" s="1443"/>
      <c r="C15" s="1443"/>
      <c r="D15" s="1443"/>
      <c r="E15" s="1443"/>
      <c r="F15" s="126"/>
      <c r="G15" s="126"/>
      <c r="H15" s="866" t="str">
        <f t="shared" si="0"/>
        <v/>
      </c>
    </row>
    <row r="16" spans="1:8" ht="22.5" customHeight="1">
      <c r="A16" s="1442" t="s">
        <v>1824</v>
      </c>
      <c r="B16" s="1443"/>
      <c r="C16" s="1443"/>
      <c r="D16" s="1443"/>
      <c r="E16" s="1443"/>
      <c r="F16" s="126"/>
      <c r="G16" s="126"/>
      <c r="H16" s="866"/>
    </row>
    <row r="17" spans="1:8" ht="21.75" customHeight="1">
      <c r="A17" s="1612" t="s">
        <v>781</v>
      </c>
      <c r="B17" s="1613"/>
      <c r="C17" s="1613"/>
      <c r="D17" s="1613"/>
      <c r="E17" s="1613"/>
      <c r="F17" s="108">
        <f>SUM(F12:F15)</f>
        <v>0</v>
      </c>
      <c r="G17" s="108">
        <f>SUM(G12:G15)</f>
        <v>0</v>
      </c>
      <c r="H17" s="867" t="str">
        <f t="shared" si="0"/>
        <v/>
      </c>
    </row>
    <row r="18" spans="1:8" ht="21.75" customHeight="1" thickBot="1">
      <c r="A18" s="1713" t="s">
        <v>303</v>
      </c>
      <c r="B18" s="1714"/>
      <c r="C18" s="1714"/>
      <c r="D18" s="1714"/>
      <c r="E18" s="1714"/>
      <c r="F18" s="903">
        <f>F11+F17</f>
        <v>0</v>
      </c>
      <c r="G18" s="903">
        <f>G11+G17</f>
        <v>0</v>
      </c>
      <c r="H18" s="926" t="str">
        <f t="shared" si="0"/>
        <v/>
      </c>
    </row>
    <row r="19" spans="1:8" s="3" customFormat="1" ht="18" customHeight="1">
      <c r="A19" s="581" t="s">
        <v>1791</v>
      </c>
    </row>
    <row r="20" spans="1:8" s="3" customFormat="1" ht="10.5">
      <c r="A20" s="641" t="s">
        <v>1994</v>
      </c>
    </row>
    <row r="21" spans="1:8" s="3" customFormat="1" ht="10.5">
      <c r="A21" s="641" t="s">
        <v>1998</v>
      </c>
    </row>
    <row r="22" spans="1:8" s="3" customFormat="1" ht="3" customHeight="1">
      <c r="A22" s="645"/>
    </row>
    <row r="23" spans="1:8" s="3" customFormat="1" ht="10.5">
      <c r="A23" s="596" t="s">
        <v>1584</v>
      </c>
    </row>
  </sheetData>
  <sheetProtection selectLockedCells="1"/>
  <mergeCells count="18">
    <mergeCell ref="A14:E14"/>
    <mergeCell ref="A15:E15"/>
    <mergeCell ref="A17:E17"/>
    <mergeCell ref="A18:E18"/>
    <mergeCell ref="A13:E13"/>
    <mergeCell ref="A16:E16"/>
    <mergeCell ref="A12:E12"/>
    <mergeCell ref="A1:H1"/>
    <mergeCell ref="G2:H2"/>
    <mergeCell ref="C3:H3"/>
    <mergeCell ref="B4:F4"/>
    <mergeCell ref="C5:D5"/>
    <mergeCell ref="A7:H7"/>
    <mergeCell ref="A8:E8"/>
    <mergeCell ref="A9:E9"/>
    <mergeCell ref="A10:E10"/>
    <mergeCell ref="A11:E11"/>
    <mergeCell ref="C6:D6"/>
  </mergeCells>
  <dataValidations count="1">
    <dataValidation type="whole" allowBlank="1" showInputMessage="1" showErrorMessage="1" errorTitle="Attention!" error="Valeur numérique attendue" sqref="F9:G10 F12:G16" xr:uid="{00000000-0002-0000-2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6">
    <pageSetUpPr fitToPage="1"/>
  </sheetPr>
  <dimension ref="A1:H51"/>
  <sheetViews>
    <sheetView showGridLines="0" topLeftCell="A34" workbookViewId="0">
      <selection activeCell="I53" sqref="I53"/>
    </sheetView>
  </sheetViews>
  <sheetFormatPr baseColWidth="10" defaultRowHeight="14.5"/>
  <cols>
    <col min="2" max="2" width="18.453125" customWidth="1"/>
    <col min="3" max="3" width="8.54296875" customWidth="1"/>
    <col min="4" max="4" width="6" customWidth="1"/>
    <col min="5" max="5" width="15.81640625" customWidth="1"/>
    <col min="6" max="7" width="17" customWidth="1"/>
    <col min="8" max="8" width="12.453125" customWidth="1"/>
  </cols>
  <sheetData>
    <row r="1" spans="1:8">
      <c r="A1" s="1134" t="s">
        <v>183</v>
      </c>
      <c r="B1" s="1134"/>
      <c r="C1" s="1134"/>
      <c r="D1" s="1134"/>
      <c r="E1" s="1134"/>
      <c r="F1" s="1134"/>
      <c r="G1" s="1134"/>
      <c r="H1" s="1134"/>
    </row>
    <row r="2" spans="1:8" ht="25" customHeight="1">
      <c r="A2" s="40"/>
      <c r="B2" s="40"/>
      <c r="C2" s="40"/>
      <c r="D2" s="40"/>
      <c r="E2" s="40"/>
      <c r="F2" s="40"/>
      <c r="G2" s="1135" t="s">
        <v>1123</v>
      </c>
      <c r="H2" s="1460"/>
    </row>
    <row r="3" spans="1:8" s="132" customFormat="1" ht="15" customHeight="1">
      <c r="A3" s="7" t="s">
        <v>26</v>
      </c>
      <c r="B3" s="7"/>
      <c r="C3" s="1221"/>
      <c r="D3" s="1221"/>
      <c r="E3" s="1221"/>
      <c r="F3" s="1221"/>
      <c r="G3" s="1221"/>
      <c r="H3" s="1221"/>
    </row>
    <row r="4" spans="1:8" s="132" customFormat="1" ht="15" customHeight="1">
      <c r="A4" s="7" t="s">
        <v>27</v>
      </c>
      <c r="B4" s="1221"/>
      <c r="C4" s="1223"/>
      <c r="D4" s="1223"/>
      <c r="E4" s="1223"/>
      <c r="F4" s="1223"/>
      <c r="G4" s="61" t="s">
        <v>28</v>
      </c>
      <c r="H4" s="44"/>
    </row>
    <row r="5" spans="1:8" s="132" customFormat="1" ht="15" customHeight="1">
      <c r="A5" s="7" t="s">
        <v>2021</v>
      </c>
      <c r="B5" s="7"/>
      <c r="C5" s="1223"/>
      <c r="D5" s="1223"/>
      <c r="E5" s="43" t="s">
        <v>30</v>
      </c>
      <c r="F5" s="365"/>
      <c r="G5" s="61" t="s">
        <v>31</v>
      </c>
      <c r="H5" s="111"/>
    </row>
    <row r="6" spans="1:8" s="132" customFormat="1" ht="15" customHeight="1">
      <c r="A6" s="268" t="s">
        <v>2024</v>
      </c>
      <c r="B6" s="7"/>
      <c r="C6" s="1461"/>
      <c r="D6" s="1461"/>
      <c r="E6" s="312"/>
      <c r="F6" s="312"/>
      <c r="G6" s="312"/>
      <c r="H6" s="312"/>
    </row>
    <row r="7" spans="1:8" ht="35.15" customHeight="1" thickBot="1">
      <c r="A7" s="1169" t="s">
        <v>1585</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17.25" customHeight="1">
      <c r="A9" s="1502" t="s">
        <v>1825</v>
      </c>
      <c r="B9" s="1503"/>
      <c r="C9" s="1503"/>
      <c r="D9" s="1503"/>
      <c r="E9" s="1504"/>
      <c r="F9" s="126"/>
      <c r="G9" s="126"/>
      <c r="H9" s="866" t="str">
        <f>IF(G9,(F9-G9)/G9,IF(ISBLANK(G9),"",IF(F9,IF( F9 &gt; 0,1,-1),"")))</f>
        <v/>
      </c>
    </row>
    <row r="10" spans="1:8" ht="17.25" customHeight="1">
      <c r="A10" s="1502" t="s">
        <v>1826</v>
      </c>
      <c r="B10" s="1503"/>
      <c r="C10" s="1503"/>
      <c r="D10" s="1503"/>
      <c r="E10" s="1504"/>
      <c r="F10" s="126"/>
      <c r="G10" s="126"/>
      <c r="H10" s="866" t="str">
        <f t="shared" ref="H10:H41" si="0">IF(G10,(F10-G10)/G10,IF(ISBLANK(G10),"",IF(F10,IF( F10 &gt; 0,1,-1),"")))</f>
        <v/>
      </c>
    </row>
    <row r="11" spans="1:8" ht="17.25" customHeight="1">
      <c r="A11" s="1502" t="s">
        <v>1827</v>
      </c>
      <c r="B11" s="1503"/>
      <c r="C11" s="1503"/>
      <c r="D11" s="1503"/>
      <c r="E11" s="1504"/>
      <c r="F11" s="126"/>
      <c r="G11" s="126"/>
      <c r="H11" s="866" t="str">
        <f t="shared" si="0"/>
        <v/>
      </c>
    </row>
    <row r="12" spans="1:8" ht="17.25" customHeight="1">
      <c r="A12" s="1502" t="s">
        <v>1828</v>
      </c>
      <c r="B12" s="1503"/>
      <c r="C12" s="1503"/>
      <c r="D12" s="1503"/>
      <c r="E12" s="1504"/>
      <c r="F12" s="126"/>
      <c r="G12" s="126"/>
      <c r="H12" s="866" t="str">
        <f t="shared" si="0"/>
        <v/>
      </c>
    </row>
    <row r="13" spans="1:8" ht="17.25" customHeight="1">
      <c r="A13" s="1502" t="s">
        <v>1829</v>
      </c>
      <c r="B13" s="1503"/>
      <c r="C13" s="1503"/>
      <c r="D13" s="1503"/>
      <c r="E13" s="1504"/>
      <c r="F13" s="126"/>
      <c r="G13" s="126"/>
      <c r="H13" s="866" t="str">
        <f t="shared" si="0"/>
        <v/>
      </c>
    </row>
    <row r="14" spans="1:8" ht="17.25" customHeight="1">
      <c r="A14" s="1612" t="s">
        <v>782</v>
      </c>
      <c r="B14" s="1613"/>
      <c r="C14" s="1613"/>
      <c r="D14" s="1613"/>
      <c r="E14" s="1613"/>
      <c r="F14" s="108">
        <f>SUM(F9:F13)</f>
        <v>0</v>
      </c>
      <c r="G14" s="108">
        <f>SUM(G9:G13)</f>
        <v>0</v>
      </c>
      <c r="H14" s="927" t="str">
        <f t="shared" si="0"/>
        <v/>
      </c>
    </row>
    <row r="15" spans="1:8" ht="17.25" customHeight="1">
      <c r="A15" s="1442" t="s">
        <v>1830</v>
      </c>
      <c r="B15" s="1443"/>
      <c r="C15" s="1443"/>
      <c r="D15" s="1443"/>
      <c r="E15" s="1443"/>
      <c r="F15" s="126"/>
      <c r="G15" s="126"/>
      <c r="H15" s="866" t="str">
        <f t="shared" si="0"/>
        <v/>
      </c>
    </row>
    <row r="16" spans="1:8" ht="17.25" customHeight="1">
      <c r="A16" s="1442" t="s">
        <v>1831</v>
      </c>
      <c r="B16" s="1443"/>
      <c r="C16" s="1443"/>
      <c r="D16" s="1443"/>
      <c r="E16" s="1443"/>
      <c r="F16" s="126"/>
      <c r="G16" s="126"/>
      <c r="H16" s="866" t="str">
        <f t="shared" si="0"/>
        <v/>
      </c>
    </row>
    <row r="17" spans="1:8" ht="17.25" customHeight="1">
      <c r="A17" s="1442" t="s">
        <v>1832</v>
      </c>
      <c r="B17" s="1443"/>
      <c r="C17" s="1443"/>
      <c r="D17" s="1443"/>
      <c r="E17" s="1443"/>
      <c r="F17" s="126"/>
      <c r="G17" s="126"/>
      <c r="H17" s="866" t="str">
        <f t="shared" si="0"/>
        <v/>
      </c>
    </row>
    <row r="18" spans="1:8" ht="17.25" customHeight="1">
      <c r="A18" s="1442" t="s">
        <v>1833</v>
      </c>
      <c r="B18" s="1443"/>
      <c r="C18" s="1443"/>
      <c r="D18" s="1443"/>
      <c r="E18" s="1443"/>
      <c r="F18" s="126"/>
      <c r="G18" s="126"/>
      <c r="H18" s="866" t="str">
        <f t="shared" si="0"/>
        <v/>
      </c>
    </row>
    <row r="19" spans="1:8" ht="17.25" customHeight="1">
      <c r="A19" s="1442" t="s">
        <v>1834</v>
      </c>
      <c r="B19" s="1443"/>
      <c r="C19" s="1443"/>
      <c r="D19" s="1443"/>
      <c r="E19" s="1443"/>
      <c r="F19" s="126"/>
      <c r="G19" s="126"/>
      <c r="H19" s="866" t="str">
        <f t="shared" si="0"/>
        <v/>
      </c>
    </row>
    <row r="20" spans="1:8" ht="17.25" customHeight="1">
      <c r="A20" s="1612" t="s">
        <v>783</v>
      </c>
      <c r="B20" s="1613"/>
      <c r="C20" s="1613"/>
      <c r="D20" s="1613"/>
      <c r="E20" s="1613"/>
      <c r="F20" s="108">
        <f>SUM(F15:F19)</f>
        <v>0</v>
      </c>
      <c r="G20" s="108">
        <f>SUM(G15:G19)</f>
        <v>0</v>
      </c>
      <c r="H20" s="927" t="str">
        <f t="shared" si="0"/>
        <v/>
      </c>
    </row>
    <row r="21" spans="1:8" ht="17.25" customHeight="1">
      <c r="A21" s="1442" t="s">
        <v>1835</v>
      </c>
      <c r="B21" s="1443"/>
      <c r="C21" s="1443"/>
      <c r="D21" s="1443"/>
      <c r="E21" s="1443"/>
      <c r="F21" s="126"/>
      <c r="G21" s="126"/>
      <c r="H21" s="866" t="str">
        <f t="shared" si="0"/>
        <v/>
      </c>
    </row>
    <row r="22" spans="1:8" ht="17.25" customHeight="1">
      <c r="A22" s="1442" t="s">
        <v>1836</v>
      </c>
      <c r="B22" s="1443"/>
      <c r="C22" s="1443"/>
      <c r="D22" s="1443"/>
      <c r="E22" s="1443"/>
      <c r="F22" s="126"/>
      <c r="G22" s="126"/>
      <c r="H22" s="866" t="str">
        <f t="shared" si="0"/>
        <v/>
      </c>
    </row>
    <row r="23" spans="1:8" ht="17.25" customHeight="1">
      <c r="A23" s="1442" t="s">
        <v>1837</v>
      </c>
      <c r="B23" s="1443"/>
      <c r="C23" s="1443"/>
      <c r="D23" s="1443"/>
      <c r="E23" s="1443"/>
      <c r="F23" s="126"/>
      <c r="G23" s="126"/>
      <c r="H23" s="866" t="str">
        <f t="shared" si="0"/>
        <v/>
      </c>
    </row>
    <row r="24" spans="1:8" ht="17.25" customHeight="1">
      <c r="A24" s="1442" t="s">
        <v>1838</v>
      </c>
      <c r="B24" s="1443"/>
      <c r="C24" s="1443"/>
      <c r="D24" s="1443"/>
      <c r="E24" s="1443"/>
      <c r="F24" s="126"/>
      <c r="G24" s="126"/>
      <c r="H24" s="866" t="str">
        <f t="shared" si="0"/>
        <v/>
      </c>
    </row>
    <row r="25" spans="1:8" ht="17.25" customHeight="1">
      <c r="A25" s="1442" t="s">
        <v>1839</v>
      </c>
      <c r="B25" s="1443"/>
      <c r="C25" s="1443"/>
      <c r="D25" s="1443"/>
      <c r="E25" s="1443"/>
      <c r="F25" s="126"/>
      <c r="G25" s="126"/>
      <c r="H25" s="866" t="str">
        <f t="shared" si="0"/>
        <v/>
      </c>
    </row>
    <row r="26" spans="1:8" ht="17.25" customHeight="1">
      <c r="A26" s="1612" t="s">
        <v>784</v>
      </c>
      <c r="B26" s="1613"/>
      <c r="C26" s="1613"/>
      <c r="D26" s="1613"/>
      <c r="E26" s="1613"/>
      <c r="F26" s="108">
        <f>SUM(F21:F25)</f>
        <v>0</v>
      </c>
      <c r="G26" s="108">
        <f>SUM(G21:G25)</f>
        <v>0</v>
      </c>
      <c r="H26" s="927" t="str">
        <f t="shared" si="0"/>
        <v/>
      </c>
    </row>
    <row r="27" spans="1:8" ht="24.75" customHeight="1">
      <c r="A27" s="1747" t="s">
        <v>1663</v>
      </c>
      <c r="B27" s="1748"/>
      <c r="C27" s="1748"/>
      <c r="D27" s="1748"/>
      <c r="E27" s="1748"/>
      <c r="F27" s="133">
        <f>SUM(F28:F35)</f>
        <v>0</v>
      </c>
      <c r="G27" s="133">
        <f>SUM(G28:G35)</f>
        <v>0</v>
      </c>
      <c r="H27" s="866" t="str">
        <f t="shared" si="0"/>
        <v/>
      </c>
    </row>
    <row r="28" spans="1:8" ht="17.25" customHeight="1">
      <c r="A28" s="1743"/>
      <c r="B28" s="1744"/>
      <c r="C28" s="1744"/>
      <c r="D28" s="1744"/>
      <c r="E28" s="1744"/>
      <c r="F28" s="126"/>
      <c r="G28" s="126"/>
      <c r="H28" s="866" t="str">
        <f t="shared" si="0"/>
        <v/>
      </c>
    </row>
    <row r="29" spans="1:8" ht="17.25" customHeight="1">
      <c r="A29" s="1743"/>
      <c r="B29" s="1744"/>
      <c r="C29" s="1744"/>
      <c r="D29" s="1744"/>
      <c r="E29" s="1744"/>
      <c r="F29" s="126"/>
      <c r="G29" s="126"/>
      <c r="H29" s="866" t="str">
        <f t="shared" si="0"/>
        <v/>
      </c>
    </row>
    <row r="30" spans="1:8" ht="17.25" customHeight="1">
      <c r="A30" s="1743"/>
      <c r="B30" s="1744"/>
      <c r="C30" s="1744"/>
      <c r="D30" s="1744"/>
      <c r="E30" s="1744"/>
      <c r="F30" s="126"/>
      <c r="G30" s="126"/>
      <c r="H30" s="866" t="str">
        <f t="shared" si="0"/>
        <v/>
      </c>
    </row>
    <row r="31" spans="1:8" ht="17.25" customHeight="1">
      <c r="A31" s="1743"/>
      <c r="B31" s="1744"/>
      <c r="C31" s="1744"/>
      <c r="D31" s="1744"/>
      <c r="E31" s="1744"/>
      <c r="F31" s="126"/>
      <c r="G31" s="126"/>
      <c r="H31" s="866" t="str">
        <f t="shared" si="0"/>
        <v/>
      </c>
    </row>
    <row r="32" spans="1:8" ht="17.25" customHeight="1">
      <c r="A32" s="1743"/>
      <c r="B32" s="1744"/>
      <c r="C32" s="1744"/>
      <c r="D32" s="1744"/>
      <c r="E32" s="1744"/>
      <c r="F32" s="126"/>
      <c r="G32" s="126"/>
      <c r="H32" s="866" t="str">
        <f t="shared" si="0"/>
        <v/>
      </c>
    </row>
    <row r="33" spans="1:8" ht="17.25" customHeight="1">
      <c r="A33" s="1743"/>
      <c r="B33" s="1744"/>
      <c r="C33" s="1744"/>
      <c r="D33" s="1744"/>
      <c r="E33" s="1744"/>
      <c r="F33" s="126"/>
      <c r="G33" s="126"/>
      <c r="H33" s="866" t="str">
        <f t="shared" si="0"/>
        <v/>
      </c>
    </row>
    <row r="34" spans="1:8" ht="17.25" customHeight="1">
      <c r="A34" s="1743"/>
      <c r="B34" s="1744"/>
      <c r="C34" s="1744"/>
      <c r="D34" s="1744"/>
      <c r="E34" s="1744"/>
      <c r="F34" s="126"/>
      <c r="G34" s="126"/>
      <c r="H34" s="866" t="str">
        <f t="shared" si="0"/>
        <v/>
      </c>
    </row>
    <row r="35" spans="1:8" ht="17.25" customHeight="1">
      <c r="A35" s="1743"/>
      <c r="B35" s="1744"/>
      <c r="C35" s="1744"/>
      <c r="D35" s="1744"/>
      <c r="E35" s="1744"/>
      <c r="F35" s="126"/>
      <c r="G35" s="126"/>
      <c r="H35" s="866" t="str">
        <f t="shared" si="0"/>
        <v/>
      </c>
    </row>
    <row r="36" spans="1:8" ht="17.25" customHeight="1">
      <c r="A36" s="1741" t="s">
        <v>785</v>
      </c>
      <c r="B36" s="1742"/>
      <c r="C36" s="1742"/>
      <c r="D36" s="1742"/>
      <c r="E36" s="1742"/>
      <c r="F36" s="146">
        <f>F14+F20+F26+F27</f>
        <v>0</v>
      </c>
      <c r="G36" s="146">
        <f>G14+G20+G26+G27</f>
        <v>0</v>
      </c>
      <c r="H36" s="927" t="str">
        <f t="shared" si="0"/>
        <v/>
      </c>
    </row>
    <row r="37" spans="1:8" ht="17.25" customHeight="1">
      <c r="A37" s="1707" t="s">
        <v>339</v>
      </c>
      <c r="B37" s="1708"/>
      <c r="C37" s="1708"/>
      <c r="D37" s="1708"/>
      <c r="E37" s="1708"/>
      <c r="F37" s="140"/>
      <c r="G37" s="140"/>
      <c r="H37" s="866" t="str">
        <f t="shared" si="0"/>
        <v/>
      </c>
    </row>
    <row r="38" spans="1:8" ht="17.25" customHeight="1">
      <c r="A38" s="1442" t="s">
        <v>786</v>
      </c>
      <c r="B38" s="1443"/>
      <c r="C38" s="1443"/>
      <c r="D38" s="1443"/>
      <c r="E38" s="1443"/>
      <c r="F38" s="140"/>
      <c r="G38" s="140"/>
      <c r="H38" s="866" t="str">
        <f t="shared" si="0"/>
        <v/>
      </c>
    </row>
    <row r="39" spans="1:8" ht="17.25" customHeight="1">
      <c r="A39" s="1442" t="s">
        <v>1586</v>
      </c>
      <c r="B39" s="1443"/>
      <c r="C39" s="1443"/>
      <c r="D39" s="1443"/>
      <c r="E39" s="1443"/>
      <c r="F39" s="140"/>
      <c r="G39" s="140"/>
      <c r="H39" s="866" t="str">
        <f t="shared" si="0"/>
        <v/>
      </c>
    </row>
    <row r="40" spans="1:8" ht="17.25" customHeight="1">
      <c r="A40" s="1741" t="s">
        <v>787</v>
      </c>
      <c r="B40" s="1742"/>
      <c r="C40" s="1742"/>
      <c r="D40" s="1742"/>
      <c r="E40" s="1742"/>
      <c r="F40" s="146">
        <f>F38+F39</f>
        <v>0</v>
      </c>
      <c r="G40" s="146">
        <f>G38+G39</f>
        <v>0</v>
      </c>
      <c r="H40" s="927" t="str">
        <f t="shared" si="0"/>
        <v/>
      </c>
    </row>
    <row r="41" spans="1:8" ht="17.25" customHeight="1" thickBot="1">
      <c r="A41" s="1745" t="s">
        <v>480</v>
      </c>
      <c r="B41" s="1746"/>
      <c r="C41" s="1746"/>
      <c r="D41" s="1746"/>
      <c r="E41" s="1746"/>
      <c r="F41" s="928">
        <f>F36+F37+F40</f>
        <v>0</v>
      </c>
      <c r="G41" s="928">
        <f>G36+G37+G40</f>
        <v>0</v>
      </c>
      <c r="H41" s="926" t="str">
        <f t="shared" si="0"/>
        <v/>
      </c>
    </row>
    <row r="42" spans="1:8" s="3" customFormat="1" ht="10.5">
      <c r="A42" s="1739" t="s">
        <v>1587</v>
      </c>
      <c r="B42" s="1740"/>
      <c r="C42" s="1740"/>
      <c r="D42" s="1740"/>
      <c r="E42" s="1740"/>
      <c r="F42" s="1740"/>
      <c r="G42" s="1740"/>
      <c r="H42" s="1740"/>
    </row>
    <row r="43" spans="1:8" s="3" customFormat="1" ht="14.25" customHeight="1">
      <c r="A43" s="581" t="s">
        <v>1791</v>
      </c>
    </row>
    <row r="44" spans="1:8" s="3" customFormat="1" ht="12" customHeight="1">
      <c r="A44" s="641" t="s">
        <v>1965</v>
      </c>
    </row>
    <row r="45" spans="1:8" s="3" customFormat="1" ht="12" customHeight="1">
      <c r="A45" s="641" t="s">
        <v>1999</v>
      </c>
    </row>
    <row r="46" spans="1:8" s="3" customFormat="1" ht="12" customHeight="1">
      <c r="A46" s="646" t="s">
        <v>2000</v>
      </c>
    </row>
    <row r="47" spans="1:8" s="3" customFormat="1" ht="12" customHeight="1">
      <c r="A47" s="647" t="s">
        <v>1840</v>
      </c>
    </row>
    <row r="48" spans="1:8" s="3" customFormat="1" ht="12" customHeight="1">
      <c r="A48" s="647" t="s">
        <v>1841</v>
      </c>
    </row>
    <row r="49" spans="1:7" s="3" customFormat="1" ht="12" customHeight="1">
      <c r="A49" s="647" t="s">
        <v>1842</v>
      </c>
    </row>
    <row r="50" spans="1:7" s="3" customFormat="1" ht="12" customHeight="1">
      <c r="A50" s="647" t="s">
        <v>1843</v>
      </c>
    </row>
    <row r="51" spans="1:7" s="3" customFormat="1" ht="36.75" customHeight="1">
      <c r="A51" s="1738" t="s">
        <v>1844</v>
      </c>
      <c r="B51" s="1738"/>
      <c r="C51" s="1738"/>
      <c r="D51" s="1738"/>
      <c r="E51" s="1738"/>
      <c r="F51" s="1738"/>
      <c r="G51" s="1738"/>
    </row>
  </sheetData>
  <sheetProtection selectLockedCells="1"/>
  <mergeCells count="43">
    <mergeCell ref="A14:E14"/>
    <mergeCell ref="A1:H1"/>
    <mergeCell ref="G2:H2"/>
    <mergeCell ref="C3:H3"/>
    <mergeCell ref="B4:F4"/>
    <mergeCell ref="C5:D5"/>
    <mergeCell ref="A7:H7"/>
    <mergeCell ref="A8:E8"/>
    <mergeCell ref="A9:E9"/>
    <mergeCell ref="A10:E10"/>
    <mergeCell ref="A12:E12"/>
    <mergeCell ref="A13:E13"/>
    <mergeCell ref="C6:D6"/>
    <mergeCell ref="A11:E11"/>
    <mergeCell ref="A21:E21"/>
    <mergeCell ref="A22:E22"/>
    <mergeCell ref="A24:E24"/>
    <mergeCell ref="A25:E25"/>
    <mergeCell ref="A32:E32"/>
    <mergeCell ref="A26:E26"/>
    <mergeCell ref="A27:E27"/>
    <mergeCell ref="A23:E23"/>
    <mergeCell ref="A15:E15"/>
    <mergeCell ref="A16:E16"/>
    <mergeCell ref="A18:E18"/>
    <mergeCell ref="A19:E19"/>
    <mergeCell ref="A20:E20"/>
    <mergeCell ref="A17:E17"/>
    <mergeCell ref="A51:G51"/>
    <mergeCell ref="A42:H42"/>
    <mergeCell ref="A40:E40"/>
    <mergeCell ref="A28:E28"/>
    <mergeCell ref="A29:E29"/>
    <mergeCell ref="A30:E30"/>
    <mergeCell ref="A31:E31"/>
    <mergeCell ref="A33:E33"/>
    <mergeCell ref="A41:E41"/>
    <mergeCell ref="A34:E34"/>
    <mergeCell ref="A35:E35"/>
    <mergeCell ref="A36:E36"/>
    <mergeCell ref="A37:E37"/>
    <mergeCell ref="A38:E38"/>
    <mergeCell ref="A39:E39"/>
  </mergeCells>
  <dataValidations count="1">
    <dataValidation type="whole" allowBlank="1" showInputMessage="1" showErrorMessage="1" errorTitle="Attention!" error="Valeur numérique attendue" sqref="F9:G13 F15:G19 F21:G25 F37:G39 F27:G35" xr:uid="{00000000-0002-0000-2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7">
    <pageSetUpPr fitToPage="1"/>
  </sheetPr>
  <dimension ref="A1:H36"/>
  <sheetViews>
    <sheetView showGridLines="0" topLeftCell="A28" workbookViewId="0">
      <selection activeCell="K48" sqref="K48"/>
    </sheetView>
  </sheetViews>
  <sheetFormatPr baseColWidth="10" defaultRowHeight="14.5"/>
  <cols>
    <col min="2" max="2" width="17" customWidth="1"/>
    <col min="3" max="3" width="1.81640625" customWidth="1"/>
    <col min="4" max="4" width="12.54296875" customWidth="1"/>
    <col min="5" max="5" width="18" customWidth="1"/>
    <col min="6" max="7" width="14.81640625" customWidth="1"/>
    <col min="8" max="8" width="11.54296875" customWidth="1"/>
  </cols>
  <sheetData>
    <row r="1" spans="1:8">
      <c r="A1" s="1134" t="s">
        <v>183</v>
      </c>
      <c r="B1" s="1134"/>
      <c r="C1" s="1134"/>
      <c r="D1" s="1134"/>
      <c r="E1" s="1134"/>
      <c r="F1" s="1134"/>
      <c r="G1" s="1134"/>
      <c r="H1" s="1134"/>
    </row>
    <row r="2" spans="1:8" ht="25" customHeight="1">
      <c r="A2" s="40"/>
      <c r="B2" s="40"/>
      <c r="C2" s="40"/>
      <c r="D2" s="40"/>
      <c r="E2" s="40"/>
      <c r="F2" s="40"/>
      <c r="G2" s="1135" t="s">
        <v>1124</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1591</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17.149999999999999" customHeight="1">
      <c r="A9" s="1749" t="s">
        <v>1845</v>
      </c>
      <c r="B9" s="1750"/>
      <c r="C9" s="1750"/>
      <c r="D9" s="1750"/>
      <c r="E9" s="1751"/>
      <c r="F9" s="126"/>
      <c r="G9" s="126"/>
      <c r="H9" s="866" t="str">
        <f>IF(G9,(F9-G9)/G9,IF(ISBLANK(G9),"",IF(F9,IF( F9 &gt; 0,1,-1),"")))</f>
        <v/>
      </c>
    </row>
    <row r="10" spans="1:8" ht="17.149999999999999" customHeight="1">
      <c r="A10" s="1752" t="s">
        <v>1846</v>
      </c>
      <c r="B10" s="1753"/>
      <c r="C10" s="1753"/>
      <c r="D10" s="1753"/>
      <c r="E10" s="1754"/>
      <c r="F10" s="126"/>
      <c r="G10" s="126"/>
      <c r="H10" s="866" t="str">
        <f t="shared" ref="H10:H33" si="0">IF(G10,(F10-G10)/G10,IF(ISBLANK(G10),"",IF(F10,IF( F10 &gt; 0,1,-1),"")))</f>
        <v/>
      </c>
    </row>
    <row r="11" spans="1:8" ht="17.149999999999999" customHeight="1">
      <c r="A11" s="1752" t="s">
        <v>1850</v>
      </c>
      <c r="B11" s="1753"/>
      <c r="C11" s="1753"/>
      <c r="D11" s="1753"/>
      <c r="E11" s="1754"/>
      <c r="F11" s="126"/>
      <c r="G11" s="126"/>
      <c r="H11" s="866" t="str">
        <f t="shared" si="0"/>
        <v/>
      </c>
    </row>
    <row r="12" spans="1:8" ht="17.149999999999999" customHeight="1">
      <c r="A12" s="1755" t="s">
        <v>1847</v>
      </c>
      <c r="B12" s="1756"/>
      <c r="C12" s="1756"/>
      <c r="D12" s="1756"/>
      <c r="E12" s="1757"/>
      <c r="F12" s="126"/>
      <c r="G12" s="126"/>
      <c r="H12" s="866" t="str">
        <f t="shared" si="0"/>
        <v/>
      </c>
    </row>
    <row r="13" spans="1:8" ht="17.149999999999999" customHeight="1">
      <c r="A13" s="1612" t="s">
        <v>788</v>
      </c>
      <c r="B13" s="1613"/>
      <c r="C13" s="1613"/>
      <c r="D13" s="1613"/>
      <c r="E13" s="1613"/>
      <c r="F13" s="108">
        <f>SUM(F9:F12)</f>
        <v>0</v>
      </c>
      <c r="G13" s="108">
        <f>SUM(G9:G12)</f>
        <v>0</v>
      </c>
      <c r="H13" s="867" t="str">
        <f t="shared" si="0"/>
        <v/>
      </c>
    </row>
    <row r="14" spans="1:8" ht="17.149999999999999" customHeight="1">
      <c r="A14" s="1749" t="s">
        <v>1848</v>
      </c>
      <c r="B14" s="1750"/>
      <c r="C14" s="1750"/>
      <c r="D14" s="1750"/>
      <c r="E14" s="1751"/>
      <c r="F14" s="126"/>
      <c r="G14" s="126"/>
      <c r="H14" s="866" t="str">
        <f t="shared" si="0"/>
        <v/>
      </c>
    </row>
    <row r="15" spans="1:8" ht="27" customHeight="1">
      <c r="A15" s="1752" t="s">
        <v>1849</v>
      </c>
      <c r="B15" s="1753"/>
      <c r="C15" s="1753"/>
      <c r="D15" s="1753"/>
      <c r="E15" s="1754"/>
      <c r="F15" s="126"/>
      <c r="G15" s="126"/>
      <c r="H15" s="866" t="str">
        <f t="shared" si="0"/>
        <v/>
      </c>
    </row>
    <row r="16" spans="1:8" ht="17.149999999999999" customHeight="1">
      <c r="A16" s="1752" t="s">
        <v>1851</v>
      </c>
      <c r="B16" s="1753"/>
      <c r="C16" s="1753"/>
      <c r="D16" s="1753"/>
      <c r="E16" s="1754"/>
      <c r="F16" s="126"/>
      <c r="G16" s="126"/>
      <c r="H16" s="866" t="str">
        <f t="shared" si="0"/>
        <v/>
      </c>
    </row>
    <row r="17" spans="1:8" ht="17.149999999999999" customHeight="1">
      <c r="A17" s="1755" t="s">
        <v>1852</v>
      </c>
      <c r="B17" s="1756"/>
      <c r="C17" s="1756"/>
      <c r="D17" s="1756"/>
      <c r="E17" s="1757"/>
      <c r="F17" s="126"/>
      <c r="G17" s="126"/>
      <c r="H17" s="866" t="str">
        <f t="shared" si="0"/>
        <v/>
      </c>
    </row>
    <row r="18" spans="1:8" ht="17.149999999999999" customHeight="1">
      <c r="A18" s="1612" t="s">
        <v>789</v>
      </c>
      <c r="B18" s="1613"/>
      <c r="C18" s="1613"/>
      <c r="D18" s="1613"/>
      <c r="E18" s="1613"/>
      <c r="F18" s="108">
        <f>SUM(F14:F17)</f>
        <v>0</v>
      </c>
      <c r="G18" s="108">
        <f>SUM(G14:G17)</f>
        <v>0</v>
      </c>
      <c r="H18" s="867" t="str">
        <f t="shared" si="0"/>
        <v/>
      </c>
    </row>
    <row r="19" spans="1:8" ht="17.149999999999999" customHeight="1">
      <c r="A19" s="1442" t="s">
        <v>790</v>
      </c>
      <c r="B19" s="1443"/>
      <c r="C19" s="1443"/>
      <c r="D19" s="1443"/>
      <c r="E19" s="1443"/>
      <c r="F19" s="126"/>
      <c r="G19" s="126"/>
      <c r="H19" s="866" t="str">
        <f t="shared" si="0"/>
        <v/>
      </c>
    </row>
    <row r="20" spans="1:8" ht="17.149999999999999" customHeight="1">
      <c r="A20" s="1442" t="s">
        <v>791</v>
      </c>
      <c r="B20" s="1443"/>
      <c r="C20" s="1443"/>
      <c r="D20" s="1443"/>
      <c r="E20" s="1443"/>
      <c r="F20" s="126"/>
      <c r="G20" s="126"/>
      <c r="H20" s="866" t="str">
        <f t="shared" si="0"/>
        <v/>
      </c>
    </row>
    <row r="21" spans="1:8" ht="17.149999999999999" customHeight="1">
      <c r="A21" s="1442" t="s">
        <v>792</v>
      </c>
      <c r="B21" s="1443"/>
      <c r="C21" s="1443"/>
      <c r="D21" s="1443"/>
      <c r="E21" s="1443"/>
      <c r="F21" s="126"/>
      <c r="G21" s="126"/>
      <c r="H21" s="866" t="str">
        <f t="shared" si="0"/>
        <v/>
      </c>
    </row>
    <row r="22" spans="1:8" ht="17.149999999999999" customHeight="1">
      <c r="A22" s="1442" t="s">
        <v>793</v>
      </c>
      <c r="B22" s="1443"/>
      <c r="C22" s="1443"/>
      <c r="D22" s="1443"/>
      <c r="E22" s="1443"/>
      <c r="F22" s="126"/>
      <c r="G22" s="126"/>
      <c r="H22" s="866" t="str">
        <f t="shared" si="0"/>
        <v/>
      </c>
    </row>
    <row r="23" spans="1:8" ht="17.149999999999999" customHeight="1">
      <c r="A23" s="1442" t="s">
        <v>794</v>
      </c>
      <c r="B23" s="1443"/>
      <c r="C23" s="1443"/>
      <c r="D23" s="1443"/>
      <c r="E23" s="1443"/>
      <c r="F23" s="126"/>
      <c r="G23" s="126"/>
      <c r="H23" s="866" t="str">
        <f t="shared" si="0"/>
        <v/>
      </c>
    </row>
    <row r="24" spans="1:8" ht="17.149999999999999" customHeight="1">
      <c r="A24" s="1442" t="s">
        <v>795</v>
      </c>
      <c r="B24" s="1443"/>
      <c r="C24" s="1443"/>
      <c r="D24" s="1443"/>
      <c r="E24" s="1443"/>
      <c r="F24" s="126"/>
      <c r="G24" s="126"/>
      <c r="H24" s="866" t="str">
        <f t="shared" si="0"/>
        <v/>
      </c>
    </row>
    <row r="25" spans="1:8" ht="17.149999999999999" customHeight="1">
      <c r="A25" s="1442" t="s">
        <v>796</v>
      </c>
      <c r="B25" s="1443"/>
      <c r="C25" s="1443"/>
      <c r="D25" s="1443"/>
      <c r="E25" s="1443"/>
      <c r="F25" s="126"/>
      <c r="G25" s="126"/>
      <c r="H25" s="866" t="str">
        <f t="shared" si="0"/>
        <v/>
      </c>
    </row>
    <row r="26" spans="1:8" ht="17.149999999999999" customHeight="1">
      <c r="A26" s="1442" t="s">
        <v>797</v>
      </c>
      <c r="B26" s="1443"/>
      <c r="C26" s="1443"/>
      <c r="D26" s="1443"/>
      <c r="E26" s="1443"/>
      <c r="F26" s="126"/>
      <c r="G26" s="126"/>
      <c r="H26" s="866" t="str">
        <f t="shared" si="0"/>
        <v/>
      </c>
    </row>
    <row r="27" spans="1:8" ht="17.149999999999999" customHeight="1">
      <c r="A27" s="1442" t="s">
        <v>798</v>
      </c>
      <c r="B27" s="1443"/>
      <c r="C27" s="1443"/>
      <c r="D27" s="1443"/>
      <c r="E27" s="1443"/>
      <c r="F27" s="126"/>
      <c r="G27" s="126"/>
      <c r="H27" s="866" t="str">
        <f t="shared" si="0"/>
        <v/>
      </c>
    </row>
    <row r="28" spans="1:8" ht="17.149999999999999" customHeight="1">
      <c r="A28" s="1442" t="s">
        <v>799</v>
      </c>
      <c r="B28" s="1443"/>
      <c r="C28" s="1443"/>
      <c r="D28" s="1443"/>
      <c r="E28" s="1443"/>
      <c r="F28" s="126"/>
      <c r="G28" s="126"/>
      <c r="H28" s="866" t="str">
        <f t="shared" si="0"/>
        <v/>
      </c>
    </row>
    <row r="29" spans="1:8" ht="27.75" customHeight="1">
      <c r="A29" s="1442" t="s">
        <v>800</v>
      </c>
      <c r="B29" s="1443"/>
      <c r="C29" s="1443"/>
      <c r="D29" s="1443"/>
      <c r="E29" s="1443"/>
      <c r="F29" s="126"/>
      <c r="G29" s="126"/>
      <c r="H29" s="866" t="str">
        <f t="shared" si="0"/>
        <v/>
      </c>
    </row>
    <row r="30" spans="1:8" ht="17.149999999999999" customHeight="1">
      <c r="A30" s="1442" t="s">
        <v>801</v>
      </c>
      <c r="B30" s="1443"/>
      <c r="C30" s="1443"/>
      <c r="D30" s="1443"/>
      <c r="E30" s="1443"/>
      <c r="F30" s="126"/>
      <c r="G30" s="126"/>
      <c r="H30" s="866" t="str">
        <f t="shared" si="0"/>
        <v/>
      </c>
    </row>
    <row r="31" spans="1:8" ht="17.149999999999999" customHeight="1">
      <c r="A31" s="1442" t="s">
        <v>1588</v>
      </c>
      <c r="B31" s="1443"/>
      <c r="C31" s="1443"/>
      <c r="D31" s="1443"/>
      <c r="E31" s="1443"/>
      <c r="F31" s="126"/>
      <c r="G31" s="126"/>
      <c r="H31" s="866" t="str">
        <f t="shared" si="0"/>
        <v/>
      </c>
    </row>
    <row r="32" spans="1:8" ht="17.149999999999999" customHeight="1">
      <c r="A32" s="1442" t="s">
        <v>1589</v>
      </c>
      <c r="B32" s="1443"/>
      <c r="C32" s="1443"/>
      <c r="D32" s="1443"/>
      <c r="E32" s="1443"/>
      <c r="F32" s="126"/>
      <c r="G32" s="126"/>
      <c r="H32" s="866" t="str">
        <f t="shared" si="0"/>
        <v/>
      </c>
    </row>
    <row r="33" spans="1:8" ht="17.149999999999999" customHeight="1" thickBot="1">
      <c r="A33" s="1445" t="s">
        <v>803</v>
      </c>
      <c r="B33" s="1446"/>
      <c r="C33" s="1446"/>
      <c r="D33" s="1446"/>
      <c r="E33" s="1446"/>
      <c r="F33" s="834">
        <f>SUM(F19:F32)</f>
        <v>0</v>
      </c>
      <c r="G33" s="834">
        <f>SUM(G19:G32)</f>
        <v>0</v>
      </c>
      <c r="H33" s="869" t="str">
        <f t="shared" si="0"/>
        <v/>
      </c>
    </row>
    <row r="34" spans="1:8" s="3" customFormat="1" ht="10.5">
      <c r="A34" s="440" t="s">
        <v>1590</v>
      </c>
    </row>
    <row r="35" spans="1:8" s="3" customFormat="1" ht="10.5">
      <c r="A35" s="581" t="s">
        <v>1792</v>
      </c>
    </row>
    <row r="36" spans="1:8" s="3" customFormat="1" ht="10.5">
      <c r="A36" s="576" t="s">
        <v>1695</v>
      </c>
    </row>
  </sheetData>
  <sheetProtection selectLockedCells="1"/>
  <mergeCells count="33">
    <mergeCell ref="A25:E25"/>
    <mergeCell ref="A14:E14"/>
    <mergeCell ref="A16:E16"/>
    <mergeCell ref="A17:E17"/>
    <mergeCell ref="A1:H1"/>
    <mergeCell ref="G2:H2"/>
    <mergeCell ref="C3:H3"/>
    <mergeCell ref="B4:F4"/>
    <mergeCell ref="C5:D5"/>
    <mergeCell ref="C6:D6"/>
    <mergeCell ref="A10:E10"/>
    <mergeCell ref="A15:E15"/>
    <mergeCell ref="A23:E23"/>
    <mergeCell ref="A24:E24"/>
    <mergeCell ref="A18:E18"/>
    <mergeCell ref="A19:E19"/>
    <mergeCell ref="A32:E32"/>
    <mergeCell ref="A33:E33"/>
    <mergeCell ref="A26:E26"/>
    <mergeCell ref="A27:E27"/>
    <mergeCell ref="A28:E28"/>
    <mergeCell ref="A29:E29"/>
    <mergeCell ref="A30:E30"/>
    <mergeCell ref="A31:E31"/>
    <mergeCell ref="A20:E20"/>
    <mergeCell ref="A21:E21"/>
    <mergeCell ref="A22:E22"/>
    <mergeCell ref="A7:H7"/>
    <mergeCell ref="A8:E8"/>
    <mergeCell ref="A9:E9"/>
    <mergeCell ref="A11:E11"/>
    <mergeCell ref="A12:E12"/>
    <mergeCell ref="A13:E13"/>
  </mergeCells>
  <dataValidations count="1">
    <dataValidation type="whole" allowBlank="1" showInputMessage="1" showErrorMessage="1" errorTitle="Attention!" error="Valeur numérique attendue" sqref="F9:G12 F14:G17 F19:G32" xr:uid="{00000000-0002-0000-2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8">
    <pageSetUpPr fitToPage="1"/>
  </sheetPr>
  <dimension ref="A1:H18"/>
  <sheetViews>
    <sheetView showGridLines="0" topLeftCell="A2" workbookViewId="0">
      <selection activeCell="K13" sqref="K13"/>
    </sheetView>
  </sheetViews>
  <sheetFormatPr baseColWidth="10" defaultRowHeight="14.5"/>
  <cols>
    <col min="2" max="2" width="16.54296875" customWidth="1"/>
    <col min="3" max="3" width="1.81640625" customWidth="1"/>
    <col min="4" max="4" width="14" customWidth="1"/>
    <col min="5" max="5" width="13.54296875" customWidth="1"/>
    <col min="6" max="7" width="15.54296875" customWidth="1"/>
    <col min="8" max="8" width="13.1796875" customWidth="1"/>
  </cols>
  <sheetData>
    <row r="1" spans="1:8">
      <c r="A1" s="1134" t="s">
        <v>183</v>
      </c>
      <c r="B1" s="1134"/>
      <c r="C1" s="1134"/>
      <c r="D1" s="1134"/>
      <c r="E1" s="1134"/>
      <c r="F1" s="1134"/>
      <c r="G1" s="1134"/>
      <c r="H1" s="1134"/>
    </row>
    <row r="2" spans="1:8" ht="25" customHeight="1">
      <c r="A2" s="40"/>
      <c r="B2" s="40"/>
      <c r="C2" s="40"/>
      <c r="D2" s="40"/>
      <c r="E2" s="40"/>
      <c r="F2" s="40"/>
      <c r="G2" s="1135" t="s">
        <v>1595</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1592</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23.25" customHeight="1">
      <c r="A9" s="1442" t="s">
        <v>804</v>
      </c>
      <c r="B9" s="1443"/>
      <c r="C9" s="1443"/>
      <c r="D9" s="1443"/>
      <c r="E9" s="1443"/>
      <c r="F9" s="126"/>
      <c r="G9" s="126"/>
      <c r="H9" s="866" t="str">
        <f>IF(G9,(F9-G9)/G9,IF(ISBLANK(G9),"",IF(F9,IF( F9 &gt; 0,1,-1),"")))</f>
        <v/>
      </c>
    </row>
    <row r="10" spans="1:8" ht="23.25" customHeight="1">
      <c r="A10" s="1442" t="s">
        <v>805</v>
      </c>
      <c r="B10" s="1443"/>
      <c r="C10" s="1443"/>
      <c r="D10" s="1443"/>
      <c r="E10" s="1443"/>
      <c r="F10" s="126"/>
      <c r="G10" s="126"/>
      <c r="H10" s="866" t="str">
        <f t="shared" ref="H10:H16" si="0">IF(G10,(F10-G10)/G10,IF(ISBLANK(G10),"",IF(F10,IF( F10 &gt; 0,1,-1),"")))</f>
        <v/>
      </c>
    </row>
    <row r="11" spans="1:8" ht="23.25" customHeight="1">
      <c r="A11" s="1442" t="s">
        <v>806</v>
      </c>
      <c r="B11" s="1443"/>
      <c r="C11" s="1443"/>
      <c r="D11" s="1443"/>
      <c r="E11" s="1443"/>
      <c r="F11" s="126"/>
      <c r="G11" s="126"/>
      <c r="H11" s="866" t="str">
        <f t="shared" si="0"/>
        <v/>
      </c>
    </row>
    <row r="12" spans="1:8" ht="23.25" customHeight="1">
      <c r="A12" s="1442" t="s">
        <v>807</v>
      </c>
      <c r="B12" s="1443"/>
      <c r="C12" s="1443"/>
      <c r="D12" s="1443"/>
      <c r="E12" s="1443"/>
      <c r="F12" s="126"/>
      <c r="G12" s="126"/>
      <c r="H12" s="866" t="str">
        <f t="shared" si="0"/>
        <v/>
      </c>
    </row>
    <row r="13" spans="1:8" ht="23.25" customHeight="1">
      <c r="A13" s="1442" t="s">
        <v>1593</v>
      </c>
      <c r="B13" s="1443"/>
      <c r="C13" s="1443"/>
      <c r="D13" s="1443"/>
      <c r="E13" s="1443"/>
      <c r="F13" s="126"/>
      <c r="G13" s="126"/>
      <c r="H13" s="866" t="str">
        <f t="shared" si="0"/>
        <v/>
      </c>
    </row>
    <row r="14" spans="1:8" ht="23.25" customHeight="1">
      <c r="A14" s="1442" t="s">
        <v>1594</v>
      </c>
      <c r="B14" s="1443"/>
      <c r="C14" s="1443"/>
      <c r="D14" s="1443"/>
      <c r="E14" s="1443"/>
      <c r="F14" s="126"/>
      <c r="G14" s="126"/>
      <c r="H14" s="866" t="str">
        <f t="shared" si="0"/>
        <v/>
      </c>
    </row>
    <row r="15" spans="1:8" ht="23.25" customHeight="1">
      <c r="A15" s="1442" t="s">
        <v>1196</v>
      </c>
      <c r="B15" s="1443"/>
      <c r="C15" s="1443"/>
      <c r="D15" s="1443"/>
      <c r="E15" s="1443"/>
      <c r="F15" s="126"/>
      <c r="G15" s="126"/>
      <c r="H15" s="866" t="str">
        <f t="shared" si="0"/>
        <v/>
      </c>
    </row>
    <row r="16" spans="1:8" ht="23.25" customHeight="1" thickBot="1">
      <c r="A16" s="1629" t="s">
        <v>480</v>
      </c>
      <c r="B16" s="1630"/>
      <c r="C16" s="1630"/>
      <c r="D16" s="1630"/>
      <c r="E16" s="1630"/>
      <c r="F16" s="868">
        <f>SUM(F9:F15)</f>
        <v>0</v>
      </c>
      <c r="G16" s="868">
        <f>SUM(G9:G15)</f>
        <v>0</v>
      </c>
      <c r="H16" s="869" t="str">
        <f t="shared" si="0"/>
        <v/>
      </c>
    </row>
    <row r="17" spans="1:1" s="3" customFormat="1" ht="14.25" customHeight="1">
      <c r="A17" s="581" t="s">
        <v>1792</v>
      </c>
    </row>
    <row r="18" spans="1:1" s="3" customFormat="1" ht="10.5">
      <c r="A18" s="641" t="s">
        <v>1994</v>
      </c>
    </row>
  </sheetData>
  <sheetProtection selectLockedCells="1"/>
  <mergeCells count="16">
    <mergeCell ref="A16:E16"/>
    <mergeCell ref="A8:E8"/>
    <mergeCell ref="A9:E9"/>
    <mergeCell ref="A10:E10"/>
    <mergeCell ref="A11:E11"/>
    <mergeCell ref="A12:E12"/>
    <mergeCell ref="A15:E15"/>
    <mergeCell ref="A13:E13"/>
    <mergeCell ref="A14:E14"/>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5" xr:uid="{00000000-0002-0000-2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9">
    <pageSetUpPr fitToPage="1"/>
  </sheetPr>
  <dimension ref="A1:H26"/>
  <sheetViews>
    <sheetView showGridLines="0" workbookViewId="0">
      <selection activeCell="A8" sqref="A8:H24"/>
    </sheetView>
  </sheetViews>
  <sheetFormatPr baseColWidth="10" defaultRowHeight="14.5"/>
  <cols>
    <col min="1" max="1" width="16.1796875" customWidth="1"/>
    <col min="2" max="2" width="16.54296875" customWidth="1"/>
    <col min="3" max="3" width="2.453125" customWidth="1"/>
    <col min="4" max="4" width="11.453125" customWidth="1"/>
    <col min="5" max="5" width="13.81640625" customWidth="1"/>
    <col min="6" max="7" width="15.54296875" customWidth="1"/>
    <col min="8" max="8" width="12.54296875" customWidth="1"/>
  </cols>
  <sheetData>
    <row r="1" spans="1:8">
      <c r="A1" s="1134" t="s">
        <v>183</v>
      </c>
      <c r="B1" s="1134"/>
      <c r="C1" s="1134"/>
      <c r="D1" s="1134"/>
      <c r="E1" s="1134"/>
      <c r="F1" s="1134"/>
      <c r="G1" s="1134"/>
      <c r="H1" s="1134"/>
    </row>
    <row r="2" spans="1:8" ht="25" customHeight="1">
      <c r="A2" s="40"/>
      <c r="B2" s="40"/>
      <c r="C2" s="40"/>
      <c r="D2" s="40"/>
      <c r="E2" s="40"/>
      <c r="F2" s="40"/>
      <c r="G2" s="1135" t="s">
        <v>1125</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1596</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21" customHeight="1">
      <c r="A9" s="1442" t="s">
        <v>808</v>
      </c>
      <c r="B9" s="1443"/>
      <c r="C9" s="1443"/>
      <c r="D9" s="1443"/>
      <c r="E9" s="1443"/>
      <c r="F9" s="126"/>
      <c r="G9" s="126"/>
      <c r="H9" s="866" t="str">
        <f>IF(G9,(F9-G9)/G9,IF(ISBLANK(G9),"",IF(F9,IF( F9 &gt; 0,1,-1),"")))</f>
        <v/>
      </c>
    </row>
    <row r="10" spans="1:8" ht="21" customHeight="1">
      <c r="A10" s="1442" t="s">
        <v>809</v>
      </c>
      <c r="B10" s="1443"/>
      <c r="C10" s="1443"/>
      <c r="D10" s="1443"/>
      <c r="E10" s="1443"/>
      <c r="F10" s="126"/>
      <c r="G10" s="126"/>
      <c r="H10" s="866" t="str">
        <f t="shared" ref="H10:H24" si="0">IF(G10,(F10-G10)/G10,IF(ISBLANK(G10),"",IF(F10,IF( F10 &gt; 0,1,-1),"")))</f>
        <v/>
      </c>
    </row>
    <row r="11" spans="1:8" ht="21" customHeight="1">
      <c r="A11" s="1442" t="s">
        <v>810</v>
      </c>
      <c r="B11" s="1443"/>
      <c r="C11" s="1443"/>
      <c r="D11" s="1443"/>
      <c r="E11" s="1443"/>
      <c r="F11" s="126"/>
      <c r="G11" s="126"/>
      <c r="H11" s="866" t="str">
        <f t="shared" si="0"/>
        <v/>
      </c>
    </row>
    <row r="12" spans="1:8" ht="21" customHeight="1">
      <c r="A12" s="1442" t="s">
        <v>811</v>
      </c>
      <c r="B12" s="1443"/>
      <c r="C12" s="1443"/>
      <c r="D12" s="1443"/>
      <c r="E12" s="1443"/>
      <c r="F12" s="126"/>
      <c r="G12" s="126"/>
      <c r="H12" s="866" t="str">
        <f t="shared" si="0"/>
        <v/>
      </c>
    </row>
    <row r="13" spans="1:8" ht="21" customHeight="1">
      <c r="A13" s="1442" t="s">
        <v>812</v>
      </c>
      <c r="B13" s="1443"/>
      <c r="C13" s="1443"/>
      <c r="D13" s="1443"/>
      <c r="E13" s="1443"/>
      <c r="F13" s="126"/>
      <c r="G13" s="126"/>
      <c r="H13" s="866" t="str">
        <f t="shared" si="0"/>
        <v/>
      </c>
    </row>
    <row r="14" spans="1:8" ht="21" customHeight="1">
      <c r="A14" s="1442" t="s">
        <v>813</v>
      </c>
      <c r="B14" s="1443"/>
      <c r="C14" s="1443"/>
      <c r="D14" s="1443"/>
      <c r="E14" s="1443"/>
      <c r="F14" s="126"/>
      <c r="G14" s="126"/>
      <c r="H14" s="866" t="str">
        <f t="shared" si="0"/>
        <v/>
      </c>
    </row>
    <row r="15" spans="1:8" ht="21" customHeight="1">
      <c r="A15" s="1442" t="s">
        <v>814</v>
      </c>
      <c r="B15" s="1443"/>
      <c r="C15" s="1443"/>
      <c r="D15" s="1443"/>
      <c r="E15" s="1443"/>
      <c r="F15" s="126"/>
      <c r="G15" s="126"/>
      <c r="H15" s="866" t="str">
        <f t="shared" si="0"/>
        <v/>
      </c>
    </row>
    <row r="16" spans="1:8" ht="21" customHeight="1">
      <c r="A16" s="1442" t="s">
        <v>815</v>
      </c>
      <c r="B16" s="1443"/>
      <c r="C16" s="1443"/>
      <c r="D16" s="1443"/>
      <c r="E16" s="1443"/>
      <c r="F16" s="126"/>
      <c r="G16" s="126"/>
      <c r="H16" s="866" t="str">
        <f t="shared" si="0"/>
        <v/>
      </c>
    </row>
    <row r="17" spans="1:8" ht="21" customHeight="1">
      <c r="A17" s="1442" t="s">
        <v>816</v>
      </c>
      <c r="B17" s="1443"/>
      <c r="C17" s="1443"/>
      <c r="D17" s="1443"/>
      <c r="E17" s="1443"/>
      <c r="F17" s="126"/>
      <c r="G17" s="126"/>
      <c r="H17" s="866" t="str">
        <f t="shared" si="0"/>
        <v/>
      </c>
    </row>
    <row r="18" spans="1:8" ht="21" customHeight="1">
      <c r="A18" s="1442" t="s">
        <v>817</v>
      </c>
      <c r="B18" s="1443"/>
      <c r="C18" s="1443"/>
      <c r="D18" s="1443"/>
      <c r="E18" s="1443"/>
      <c r="F18" s="126"/>
      <c r="G18" s="126"/>
      <c r="H18" s="866" t="str">
        <f t="shared" si="0"/>
        <v/>
      </c>
    </row>
    <row r="19" spans="1:8" ht="21" customHeight="1">
      <c r="A19" s="1442" t="s">
        <v>818</v>
      </c>
      <c r="B19" s="1443"/>
      <c r="C19" s="1443"/>
      <c r="D19" s="1443"/>
      <c r="E19" s="1443"/>
      <c r="F19" s="126"/>
      <c r="G19" s="126"/>
      <c r="H19" s="866" t="str">
        <f t="shared" si="0"/>
        <v/>
      </c>
    </row>
    <row r="20" spans="1:8" ht="25.5" customHeight="1">
      <c r="A20" s="1442" t="s">
        <v>819</v>
      </c>
      <c r="B20" s="1443"/>
      <c r="C20" s="1443"/>
      <c r="D20" s="1443"/>
      <c r="E20" s="1443"/>
      <c r="F20" s="126"/>
      <c r="G20" s="126"/>
      <c r="H20" s="866" t="str">
        <f t="shared" si="0"/>
        <v/>
      </c>
    </row>
    <row r="21" spans="1:8" ht="21" customHeight="1">
      <c r="A21" s="1442" t="s">
        <v>820</v>
      </c>
      <c r="B21" s="1443"/>
      <c r="C21" s="1443"/>
      <c r="D21" s="1443"/>
      <c r="E21" s="1443"/>
      <c r="F21" s="126"/>
      <c r="G21" s="126"/>
      <c r="H21" s="866" t="str">
        <f t="shared" si="0"/>
        <v/>
      </c>
    </row>
    <row r="22" spans="1:8" ht="21" customHeight="1">
      <c r="A22" s="1442" t="s">
        <v>1853</v>
      </c>
      <c r="B22" s="1443"/>
      <c r="C22" s="1443"/>
      <c r="D22" s="1443"/>
      <c r="E22" s="1443"/>
      <c r="F22" s="126"/>
      <c r="G22" s="126"/>
      <c r="H22" s="866"/>
    </row>
    <row r="23" spans="1:8" ht="21" customHeight="1">
      <c r="A23" s="1442" t="s">
        <v>821</v>
      </c>
      <c r="B23" s="1443"/>
      <c r="C23" s="1443"/>
      <c r="D23" s="1443"/>
      <c r="E23" s="1443"/>
      <c r="F23" s="126"/>
      <c r="G23" s="126"/>
      <c r="H23" s="866" t="str">
        <f t="shared" si="0"/>
        <v/>
      </c>
    </row>
    <row r="24" spans="1:8" ht="21" customHeight="1" thickBot="1">
      <c r="A24" s="1592" t="s">
        <v>480</v>
      </c>
      <c r="B24" s="1593"/>
      <c r="C24" s="1593"/>
      <c r="D24" s="1593"/>
      <c r="E24" s="1593"/>
      <c r="F24" s="871">
        <f>SUM(F9:F23)</f>
        <v>0</v>
      </c>
      <c r="G24" s="871">
        <f>SUM(G9:G23)</f>
        <v>0</v>
      </c>
      <c r="H24" s="869" t="str">
        <f t="shared" si="0"/>
        <v/>
      </c>
    </row>
    <row r="25" spans="1:8" s="3" customFormat="1" ht="12.75" customHeight="1">
      <c r="A25" s="581" t="s">
        <v>1792</v>
      </c>
    </row>
    <row r="26" spans="1:8" s="3" customFormat="1" ht="10.5">
      <c r="A26" s="637" t="s">
        <v>1695</v>
      </c>
    </row>
  </sheetData>
  <sheetProtection selectLockedCells="1"/>
  <mergeCells count="24">
    <mergeCell ref="A18:E18"/>
    <mergeCell ref="A13:E13"/>
    <mergeCell ref="A14:E14"/>
    <mergeCell ref="A15:E15"/>
    <mergeCell ref="A16:E16"/>
    <mergeCell ref="A17:E17"/>
    <mergeCell ref="A20:E20"/>
    <mergeCell ref="A21:E21"/>
    <mergeCell ref="A23:E23"/>
    <mergeCell ref="A24:E24"/>
    <mergeCell ref="A19:E19"/>
    <mergeCell ref="A22:E22"/>
    <mergeCell ref="A7:H7"/>
    <mergeCell ref="A1:H1"/>
    <mergeCell ref="G2:H2"/>
    <mergeCell ref="C3:H3"/>
    <mergeCell ref="B4:F4"/>
    <mergeCell ref="C5:D5"/>
    <mergeCell ref="C6:D6"/>
    <mergeCell ref="A8:E8"/>
    <mergeCell ref="A9:E9"/>
    <mergeCell ref="A10:E10"/>
    <mergeCell ref="A11:E11"/>
    <mergeCell ref="A12:E12"/>
  </mergeCells>
  <dataValidations count="1">
    <dataValidation type="whole" allowBlank="1" showInputMessage="1" showErrorMessage="1" errorTitle="Attention!" error="Valeur numérique attendue" sqref="F9:G23" xr:uid="{00000000-0002-0000-2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50">
    <pageSetUpPr fitToPage="1"/>
  </sheetPr>
  <dimension ref="A1:H17"/>
  <sheetViews>
    <sheetView showGridLines="0" workbookViewId="0">
      <selection activeCell="A8" sqref="A8:H14"/>
    </sheetView>
  </sheetViews>
  <sheetFormatPr baseColWidth="10" defaultRowHeight="14.5"/>
  <cols>
    <col min="2" max="2" width="17" customWidth="1"/>
    <col min="4" max="4" width="3.1796875" customWidth="1"/>
    <col min="5" max="5" width="13.54296875" customWidth="1"/>
    <col min="6" max="7" width="15.54296875" customWidth="1"/>
    <col min="8" max="8" width="12.453125" customWidth="1"/>
  </cols>
  <sheetData>
    <row r="1" spans="1:8">
      <c r="A1" s="1134" t="s">
        <v>183</v>
      </c>
      <c r="B1" s="1134"/>
      <c r="C1" s="1134"/>
      <c r="D1" s="1134"/>
      <c r="E1" s="1134"/>
      <c r="F1" s="1134"/>
      <c r="G1" s="1134"/>
      <c r="H1" s="1134"/>
    </row>
    <row r="2" spans="1:8" ht="25" customHeight="1">
      <c r="A2" s="40"/>
      <c r="B2" s="40"/>
      <c r="C2" s="40"/>
      <c r="D2" s="40"/>
      <c r="E2" s="40"/>
      <c r="F2" s="40"/>
      <c r="G2" s="1135" t="s">
        <v>1126</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1597</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21" customHeight="1">
      <c r="A9" s="1442" t="s">
        <v>822</v>
      </c>
      <c r="B9" s="1443"/>
      <c r="C9" s="1443"/>
      <c r="D9" s="1443"/>
      <c r="E9" s="1443"/>
      <c r="F9" s="126"/>
      <c r="G9" s="126"/>
      <c r="H9" s="866" t="str">
        <f>IF(G9,(F9-G9)/G9,IF(ISBLANK(G9),"",IF(F9,IF( F9 &gt; 0,1,-1),"")))</f>
        <v/>
      </c>
    </row>
    <row r="10" spans="1:8" ht="21" customHeight="1">
      <c r="A10" s="1442" t="s">
        <v>823</v>
      </c>
      <c r="B10" s="1443"/>
      <c r="C10" s="1443"/>
      <c r="D10" s="1443"/>
      <c r="E10" s="1443"/>
      <c r="F10" s="126"/>
      <c r="G10" s="126"/>
      <c r="H10" s="866" t="str">
        <f t="shared" ref="H10:H14" si="0">IF(G10,(F10-G10)/G10,IF(ISBLANK(G10),"",IF(F10,IF( F10 &gt; 0,1,-1),"")))</f>
        <v/>
      </c>
    </row>
    <row r="11" spans="1:8" ht="21" customHeight="1">
      <c r="A11" s="1442" t="s">
        <v>824</v>
      </c>
      <c r="B11" s="1443"/>
      <c r="C11" s="1443"/>
      <c r="D11" s="1443"/>
      <c r="E11" s="1443"/>
      <c r="F11" s="126"/>
      <c r="G11" s="126"/>
      <c r="H11" s="866" t="str">
        <f t="shared" si="0"/>
        <v/>
      </c>
    </row>
    <row r="12" spans="1:8" ht="21" customHeight="1">
      <c r="A12" s="1442" t="s">
        <v>825</v>
      </c>
      <c r="B12" s="1443"/>
      <c r="C12" s="1443"/>
      <c r="D12" s="1443"/>
      <c r="E12" s="1443"/>
      <c r="F12" s="126"/>
      <c r="G12" s="126"/>
      <c r="H12" s="866" t="str">
        <f t="shared" si="0"/>
        <v/>
      </c>
    </row>
    <row r="13" spans="1:8" ht="21" customHeight="1">
      <c r="A13" s="1442" t="s">
        <v>826</v>
      </c>
      <c r="B13" s="1443"/>
      <c r="C13" s="1443"/>
      <c r="D13" s="1443"/>
      <c r="E13" s="1443"/>
      <c r="F13" s="126"/>
      <c r="G13" s="126"/>
      <c r="H13" s="866" t="str">
        <f t="shared" si="0"/>
        <v/>
      </c>
    </row>
    <row r="14" spans="1:8" ht="21" customHeight="1" thickBot="1">
      <c r="A14" s="1592" t="s">
        <v>480</v>
      </c>
      <c r="B14" s="1593"/>
      <c r="C14" s="1593"/>
      <c r="D14" s="1593"/>
      <c r="E14" s="1593"/>
      <c r="F14" s="871">
        <f>SUM(F9:F13)</f>
        <v>0</v>
      </c>
      <c r="G14" s="871">
        <f>SUM(G9:G13)</f>
        <v>0</v>
      </c>
      <c r="H14" s="869" t="str">
        <f t="shared" si="0"/>
        <v/>
      </c>
    </row>
    <row r="15" spans="1:8" s="3" customFormat="1" ht="14.25" customHeight="1">
      <c r="A15" s="581" t="s">
        <v>1791</v>
      </c>
    </row>
    <row r="16" spans="1:8" s="3" customFormat="1" ht="14.25" customHeight="1">
      <c r="A16" s="641" t="s">
        <v>1994</v>
      </c>
    </row>
    <row r="17" spans="1:1" s="3" customFormat="1" ht="14.25" customHeight="1">
      <c r="A17" s="641" t="s">
        <v>2001</v>
      </c>
    </row>
  </sheetData>
  <sheetProtection selectLockedCells="1"/>
  <mergeCells count="14">
    <mergeCell ref="A14:E14"/>
    <mergeCell ref="A8:E8"/>
    <mergeCell ref="A9:E9"/>
    <mergeCell ref="A10:E10"/>
    <mergeCell ref="A11:E11"/>
    <mergeCell ref="A12:E12"/>
    <mergeCell ref="A13:E13"/>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3" xr:uid="{00000000-0002-0000-3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51">
    <pageSetUpPr fitToPage="1"/>
  </sheetPr>
  <dimension ref="A1:H23"/>
  <sheetViews>
    <sheetView showGridLines="0" topLeftCell="A6" workbookViewId="0">
      <selection activeCell="G13" sqref="G13"/>
    </sheetView>
  </sheetViews>
  <sheetFormatPr baseColWidth="10" defaultRowHeight="14.5"/>
  <cols>
    <col min="2" max="2" width="17" customWidth="1"/>
    <col min="3" max="3" width="2.453125" customWidth="1"/>
    <col min="4" max="4" width="11.453125" customWidth="1"/>
    <col min="5" max="5" width="13.81640625" customWidth="1"/>
    <col min="6" max="7" width="15.54296875" customWidth="1"/>
    <col min="8" max="8" width="12.54296875" customWidth="1"/>
  </cols>
  <sheetData>
    <row r="1" spans="1:8">
      <c r="A1" s="1134" t="s">
        <v>183</v>
      </c>
      <c r="B1" s="1134"/>
      <c r="C1" s="1134"/>
      <c r="D1" s="1134"/>
      <c r="E1" s="1134"/>
      <c r="F1" s="1134"/>
      <c r="G1" s="1134"/>
      <c r="H1" s="1134"/>
    </row>
    <row r="2" spans="1:8" ht="25" customHeight="1">
      <c r="A2" s="40"/>
      <c r="B2" s="40"/>
      <c r="C2" s="40"/>
      <c r="D2" s="40"/>
      <c r="E2" s="40"/>
      <c r="F2" s="40"/>
      <c r="G2" s="1135" t="s">
        <v>1127</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761">
        <f>'NOTE 21'!C6</f>
        <v>0</v>
      </c>
      <c r="D6" s="1761"/>
      <c r="E6" s="43"/>
      <c r="F6" s="244"/>
      <c r="G6" s="61"/>
      <c r="H6" s="244"/>
    </row>
    <row r="7" spans="1:8" ht="35.15" customHeight="1" thickBot="1">
      <c r="A7" s="1169" t="s">
        <v>1598</v>
      </c>
      <c r="B7" s="1169"/>
      <c r="C7" s="1169"/>
      <c r="D7" s="1169"/>
      <c r="E7" s="1169"/>
      <c r="F7" s="1169"/>
      <c r="G7" s="1169"/>
      <c r="H7" s="1169"/>
    </row>
    <row r="8" spans="1:8" ht="33" customHeight="1" thickBot="1">
      <c r="A8" s="1762" t="s">
        <v>525</v>
      </c>
      <c r="B8" s="1763"/>
      <c r="C8" s="1763"/>
      <c r="D8" s="1763"/>
      <c r="E8" s="1763"/>
      <c r="F8" s="930" t="s">
        <v>526</v>
      </c>
      <c r="G8" s="930" t="s">
        <v>527</v>
      </c>
      <c r="H8" s="931" t="s">
        <v>546</v>
      </c>
    </row>
    <row r="9" spans="1:8" ht="21" customHeight="1">
      <c r="A9" s="1764" t="s">
        <v>827</v>
      </c>
      <c r="B9" s="1765"/>
      <c r="C9" s="1765"/>
      <c r="D9" s="1765"/>
      <c r="E9" s="1766"/>
      <c r="F9" s="880"/>
      <c r="G9" s="880"/>
      <c r="H9" s="929" t="str">
        <f>IF(G9,(F9-G9)/G9,IF(ISBLANK(G9),"",IF(F9,IF( F9 &gt; 0,1,-1),"")))</f>
        <v/>
      </c>
    </row>
    <row r="10" spans="1:8" ht="21" customHeight="1">
      <c r="A10" s="1502" t="s">
        <v>828</v>
      </c>
      <c r="B10" s="1503"/>
      <c r="C10" s="1503"/>
      <c r="D10" s="1503"/>
      <c r="E10" s="1504"/>
      <c r="F10" s="126"/>
      <c r="G10" s="126"/>
      <c r="H10" s="866" t="str">
        <f t="shared" ref="H10:H19" si="0">IF(G10,(F10-G10)/G10,IF(ISBLANK(G10),"",IF(F10,IF( F10 &gt; 0,1,-1),"")))</f>
        <v/>
      </c>
    </row>
    <row r="11" spans="1:8" ht="21" customHeight="1">
      <c r="A11" s="1502" t="s">
        <v>829</v>
      </c>
      <c r="B11" s="1503"/>
      <c r="C11" s="1503"/>
      <c r="D11" s="1503"/>
      <c r="E11" s="1504"/>
      <c r="F11" s="126"/>
      <c r="G11" s="126"/>
      <c r="H11" s="866" t="str">
        <f t="shared" si="0"/>
        <v/>
      </c>
    </row>
    <row r="12" spans="1:8" ht="21" customHeight="1">
      <c r="A12" s="1502" t="s">
        <v>830</v>
      </c>
      <c r="B12" s="1503"/>
      <c r="C12" s="1503"/>
      <c r="D12" s="1503"/>
      <c r="E12" s="1504"/>
      <c r="F12" s="126"/>
      <c r="G12" s="126"/>
      <c r="H12" s="866" t="str">
        <f t="shared" si="0"/>
        <v/>
      </c>
    </row>
    <row r="13" spans="1:8" ht="21" customHeight="1">
      <c r="A13" s="1758" t="s">
        <v>1283</v>
      </c>
      <c r="B13" s="1759"/>
      <c r="C13" s="1759"/>
      <c r="D13" s="1759"/>
      <c r="E13" s="1760"/>
      <c r="F13" s="126"/>
      <c r="G13" s="126"/>
      <c r="H13" s="866" t="str">
        <f t="shared" si="0"/>
        <v/>
      </c>
    </row>
    <row r="14" spans="1:8" ht="21" customHeight="1">
      <c r="A14" s="1758" t="s">
        <v>1284</v>
      </c>
      <c r="B14" s="1759"/>
      <c r="C14" s="1759"/>
      <c r="D14" s="1759"/>
      <c r="E14" s="1760"/>
      <c r="F14" s="126"/>
      <c r="G14" s="126"/>
      <c r="H14" s="866" t="str">
        <f t="shared" si="0"/>
        <v/>
      </c>
    </row>
    <row r="15" spans="1:8" ht="21" customHeight="1">
      <c r="A15" s="1502" t="s">
        <v>831</v>
      </c>
      <c r="B15" s="1503"/>
      <c r="C15" s="1503"/>
      <c r="D15" s="1503"/>
      <c r="E15" s="1504"/>
      <c r="F15" s="126"/>
      <c r="G15" s="126"/>
      <c r="H15" s="866" t="str">
        <f t="shared" si="0"/>
        <v/>
      </c>
    </row>
    <row r="16" spans="1:8" ht="21" customHeight="1">
      <c r="A16" s="1502" t="s">
        <v>832</v>
      </c>
      <c r="B16" s="1503"/>
      <c r="C16" s="1503"/>
      <c r="D16" s="1503"/>
      <c r="E16" s="1504"/>
      <c r="F16" s="126"/>
      <c r="G16" s="126"/>
      <c r="H16" s="866" t="str">
        <f t="shared" si="0"/>
        <v/>
      </c>
    </row>
    <row r="17" spans="1:8" ht="21" customHeight="1">
      <c r="A17" s="1502" t="s">
        <v>833</v>
      </c>
      <c r="B17" s="1503"/>
      <c r="C17" s="1503"/>
      <c r="D17" s="1503"/>
      <c r="E17" s="1504"/>
      <c r="F17" s="126"/>
      <c r="G17" s="126"/>
      <c r="H17" s="866" t="str">
        <f t="shared" si="0"/>
        <v/>
      </c>
    </row>
    <row r="18" spans="1:8" ht="28.5" customHeight="1">
      <c r="A18" s="1502" t="s">
        <v>1854</v>
      </c>
      <c r="B18" s="1503"/>
      <c r="C18" s="1503"/>
      <c r="D18" s="1503"/>
      <c r="E18" s="1504"/>
      <c r="F18" s="126"/>
      <c r="G18" s="126"/>
      <c r="H18" s="866" t="str">
        <f t="shared" si="0"/>
        <v/>
      </c>
    </row>
    <row r="19" spans="1:8" ht="21" customHeight="1" thickBot="1">
      <c r="A19" s="1592" t="s">
        <v>480</v>
      </c>
      <c r="B19" s="1593"/>
      <c r="C19" s="1593"/>
      <c r="D19" s="1593"/>
      <c r="E19" s="1593"/>
      <c r="F19" s="871">
        <f>SUM(F9:F18)</f>
        <v>0</v>
      </c>
      <c r="G19" s="871">
        <f>SUM(G9:G18)</f>
        <v>0</v>
      </c>
      <c r="H19" s="869" t="str">
        <f t="shared" si="0"/>
        <v/>
      </c>
    </row>
    <row r="20" spans="1:8" s="3" customFormat="1" ht="10.5">
      <c r="A20" s="581" t="s">
        <v>1792</v>
      </c>
    </row>
    <row r="21" spans="1:8" s="3" customFormat="1" ht="10.5">
      <c r="A21" s="641" t="s">
        <v>1994</v>
      </c>
    </row>
    <row r="22" spans="1:8" s="3" customFormat="1" ht="10.5">
      <c r="A22" s="641" t="s">
        <v>2002</v>
      </c>
    </row>
    <row r="23" spans="1:8" s="3" customFormat="1" ht="10.5">
      <c r="A23" s="641" t="s">
        <v>2003</v>
      </c>
    </row>
  </sheetData>
  <sheetProtection selectLockedCells="1"/>
  <mergeCells count="19">
    <mergeCell ref="A16:E16"/>
    <mergeCell ref="A17:E17"/>
    <mergeCell ref="A18:E18"/>
    <mergeCell ref="A19:E19"/>
    <mergeCell ref="A15:E15"/>
    <mergeCell ref="A13:E13"/>
    <mergeCell ref="A14:E14"/>
    <mergeCell ref="C6:D6"/>
    <mergeCell ref="A1:H1"/>
    <mergeCell ref="G2:H2"/>
    <mergeCell ref="C3:H3"/>
    <mergeCell ref="B4:F4"/>
    <mergeCell ref="C5:D5"/>
    <mergeCell ref="A12:E12"/>
    <mergeCell ref="A7:H7"/>
    <mergeCell ref="A8:E8"/>
    <mergeCell ref="A9:E9"/>
    <mergeCell ref="A10:E10"/>
    <mergeCell ref="A11:E11"/>
  </mergeCells>
  <dataValidations count="1">
    <dataValidation type="whole" allowBlank="1" showInputMessage="1" showErrorMessage="1" errorTitle="Attention!" error="Valeur numérique attendue" sqref="F9:G18" xr:uid="{00000000-0002-0000-3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2"/>
  <dimension ref="A1:H20"/>
  <sheetViews>
    <sheetView showGridLines="0" topLeftCell="A21" workbookViewId="0">
      <selection activeCell="J42" sqref="J42"/>
    </sheetView>
  </sheetViews>
  <sheetFormatPr baseColWidth="10" defaultRowHeight="14.5"/>
  <cols>
    <col min="2" max="2" width="9.54296875" customWidth="1"/>
    <col min="3" max="3" width="2.453125" customWidth="1"/>
    <col min="4" max="4" width="9.1796875" customWidth="1"/>
    <col min="5" max="5" width="15.453125" customWidth="1"/>
    <col min="6" max="7" width="15.54296875" customWidth="1"/>
    <col min="8" max="8" width="12.54296875" customWidth="1"/>
  </cols>
  <sheetData>
    <row r="1" spans="1:8">
      <c r="A1" s="1134" t="s">
        <v>183</v>
      </c>
      <c r="B1" s="1134"/>
      <c r="C1" s="1134"/>
      <c r="D1" s="1134"/>
      <c r="E1" s="1134"/>
      <c r="F1" s="1134"/>
      <c r="G1" s="1134"/>
      <c r="H1" s="1134"/>
    </row>
    <row r="2" spans="1:8" ht="25" customHeight="1">
      <c r="A2" s="40"/>
      <c r="B2" s="40"/>
      <c r="C2" s="40"/>
      <c r="D2" s="40"/>
      <c r="E2" s="40"/>
      <c r="F2" s="40"/>
      <c r="G2" s="1135" t="s">
        <v>1951</v>
      </c>
      <c r="H2" s="1460"/>
    </row>
    <row r="3" spans="1:8" s="132" customFormat="1" ht="15" customHeight="1">
      <c r="A3" s="7" t="s">
        <v>26</v>
      </c>
      <c r="B3" s="7"/>
      <c r="C3" s="1221">
        <f>'NOTE 20'!C3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1952</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21" customHeight="1">
      <c r="A9" s="1502" t="s">
        <v>1599</v>
      </c>
      <c r="B9" s="1503"/>
      <c r="C9" s="1503"/>
      <c r="D9" s="1503"/>
      <c r="E9" s="1504"/>
      <c r="F9" s="126"/>
      <c r="G9" s="126"/>
      <c r="H9" s="866" t="str">
        <f>IF(G9,(F9-G9)/G9,IF(ISBLANK(G9),"",IF(F9,IF( F9 &gt; 0,1,-1),"")))</f>
        <v/>
      </c>
    </row>
    <row r="10" spans="1:8" ht="21" customHeight="1">
      <c r="A10" s="1502" t="s">
        <v>1600</v>
      </c>
      <c r="B10" s="1503"/>
      <c r="C10" s="1503"/>
      <c r="D10" s="1503"/>
      <c r="E10" s="1504"/>
      <c r="F10" s="126"/>
      <c r="G10" s="126"/>
      <c r="H10" s="866" t="str">
        <f t="shared" ref="H10:H17" si="0">IF(G10,(F10-G10)/G10,IF(ISBLANK(G10),"",IF(F10,IF( F10 &gt; 0,1,-1),"")))</f>
        <v/>
      </c>
    </row>
    <row r="11" spans="1:8" ht="21" customHeight="1">
      <c r="A11" s="1502" t="s">
        <v>1855</v>
      </c>
      <c r="B11" s="1503"/>
      <c r="C11" s="1503"/>
      <c r="D11" s="1503"/>
      <c r="E11" s="1504"/>
      <c r="F11" s="126"/>
      <c r="G11" s="126"/>
      <c r="H11" s="866" t="str">
        <f t="shared" si="0"/>
        <v/>
      </c>
    </row>
    <row r="12" spans="1:8" ht="21" customHeight="1">
      <c r="A12" s="1502" t="s">
        <v>1601</v>
      </c>
      <c r="B12" s="1503"/>
      <c r="C12" s="1503"/>
      <c r="D12" s="1503"/>
      <c r="E12" s="1504"/>
      <c r="F12" s="126"/>
      <c r="G12" s="126"/>
      <c r="H12" s="866" t="str">
        <f t="shared" si="0"/>
        <v/>
      </c>
    </row>
    <row r="13" spans="1:8" ht="21" customHeight="1">
      <c r="A13" s="1502" t="s">
        <v>1602</v>
      </c>
      <c r="B13" s="1503"/>
      <c r="C13" s="1503"/>
      <c r="D13" s="1503"/>
      <c r="E13" s="1504"/>
      <c r="F13" s="126"/>
      <c r="G13" s="126"/>
      <c r="H13" s="866" t="str">
        <f t="shared" si="0"/>
        <v/>
      </c>
    </row>
    <row r="14" spans="1:8" ht="21" customHeight="1">
      <c r="A14" s="1502" t="s">
        <v>834</v>
      </c>
      <c r="B14" s="1503"/>
      <c r="C14" s="1503"/>
      <c r="D14" s="1503"/>
      <c r="E14" s="1504"/>
      <c r="F14" s="126"/>
      <c r="G14" s="126"/>
      <c r="H14" s="866" t="str">
        <f t="shared" si="0"/>
        <v/>
      </c>
    </row>
    <row r="15" spans="1:8" ht="21" customHeight="1">
      <c r="A15" s="1502" t="s">
        <v>835</v>
      </c>
      <c r="B15" s="1503"/>
      <c r="C15" s="1503"/>
      <c r="D15" s="1503"/>
      <c r="E15" s="1504"/>
      <c r="F15" s="126"/>
      <c r="G15" s="126"/>
      <c r="H15" s="866" t="str">
        <f t="shared" si="0"/>
        <v/>
      </c>
    </row>
    <row r="16" spans="1:8" ht="21" customHeight="1">
      <c r="A16" s="1502" t="s">
        <v>836</v>
      </c>
      <c r="B16" s="1503"/>
      <c r="C16" s="1503"/>
      <c r="D16" s="1503"/>
      <c r="E16" s="1504"/>
      <c r="F16" s="126"/>
      <c r="G16" s="126"/>
      <c r="H16" s="866" t="str">
        <f t="shared" si="0"/>
        <v/>
      </c>
    </row>
    <row r="17" spans="1:8" ht="21" customHeight="1" thickBot="1">
      <c r="A17" s="1592" t="s">
        <v>480</v>
      </c>
      <c r="B17" s="1593"/>
      <c r="C17" s="1593"/>
      <c r="D17" s="1593"/>
      <c r="E17" s="1593"/>
      <c r="F17" s="871">
        <f>SUM(F9:F16)</f>
        <v>0</v>
      </c>
      <c r="G17" s="871">
        <f>SUM(G9:G16)</f>
        <v>0</v>
      </c>
      <c r="H17" s="869" t="str">
        <f t="shared" si="0"/>
        <v/>
      </c>
    </row>
    <row r="18" spans="1:8" s="3" customFormat="1" ht="10.5">
      <c r="A18" s="581" t="s">
        <v>1792</v>
      </c>
    </row>
    <row r="19" spans="1:8" s="3" customFormat="1" ht="10.5">
      <c r="A19" s="641" t="s">
        <v>1994</v>
      </c>
    </row>
    <row r="20" spans="1:8" s="3" customFormat="1" ht="10.5">
      <c r="A20" s="641" t="s">
        <v>2004</v>
      </c>
    </row>
  </sheetData>
  <sheetProtection selectLockedCells="1"/>
  <mergeCells count="17">
    <mergeCell ref="A7:H7"/>
    <mergeCell ref="A1:H1"/>
    <mergeCell ref="G2:H2"/>
    <mergeCell ref="C3:H3"/>
    <mergeCell ref="B4:F4"/>
    <mergeCell ref="C5:D5"/>
    <mergeCell ref="C6:D6"/>
    <mergeCell ref="A16:E16"/>
    <mergeCell ref="A17:E17"/>
    <mergeCell ref="A8:E8"/>
    <mergeCell ref="A9:E9"/>
    <mergeCell ref="A10:E10"/>
    <mergeCell ref="A11:E11"/>
    <mergeCell ref="A13:E13"/>
    <mergeCell ref="A15:E15"/>
    <mergeCell ref="A12:E12"/>
    <mergeCell ref="A14:E14"/>
  </mergeCells>
  <dataValidations count="1">
    <dataValidation type="whole" allowBlank="1" showInputMessage="1" showErrorMessage="1" errorTitle="Attention!" error="Valeur numérique attendue" sqref="F9:G16" xr:uid="{00000000-0002-0000-3200-000000000000}">
      <formula1>-9999999999999</formula1>
      <formula2>9999999999999</formula2>
    </dataValidation>
  </dataValidations>
  <printOptions horizontalCentered="1"/>
  <pageMargins left="0.3152778" right="0.3152778" top="0.3541667" bottom="0.3541667" header="0.3152778" footer="0.3152778"/>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3">
    <pageSetUpPr fitToPage="1"/>
  </sheetPr>
  <dimension ref="A1:S31"/>
  <sheetViews>
    <sheetView showGridLines="0" topLeftCell="A11" workbookViewId="0">
      <selection activeCell="U27" sqref="U27"/>
    </sheetView>
  </sheetViews>
  <sheetFormatPr baseColWidth="10" defaultRowHeight="14.5"/>
  <cols>
    <col min="1" max="1" width="4" customWidth="1"/>
    <col min="4" max="4" width="7.453125" customWidth="1"/>
    <col min="5" max="10" width="5.1796875" customWidth="1"/>
    <col min="11" max="11" width="8.54296875" customWidth="1"/>
    <col min="12" max="13" width="13.54296875" customWidth="1"/>
    <col min="14" max="14" width="0.453125" customWidth="1"/>
    <col min="15" max="19" width="13.54296875" customWidth="1"/>
  </cols>
  <sheetData>
    <row r="1" spans="1:19">
      <c r="A1" s="1134" t="s">
        <v>183</v>
      </c>
      <c r="B1" s="1134"/>
      <c r="C1" s="1134"/>
      <c r="D1" s="1134"/>
      <c r="E1" s="1134"/>
      <c r="F1" s="1134"/>
      <c r="G1" s="1134"/>
      <c r="H1" s="1134"/>
      <c r="I1" s="1134"/>
      <c r="J1" s="1134"/>
      <c r="K1" s="1134"/>
      <c r="L1" s="1134"/>
      <c r="M1" s="1134"/>
      <c r="N1" s="1134"/>
      <c r="O1" s="1134"/>
      <c r="P1" s="1134"/>
      <c r="Q1" s="1134"/>
      <c r="R1" s="1134"/>
      <c r="S1" s="1134"/>
    </row>
    <row r="2" spans="1:19" ht="25" customHeight="1">
      <c r="A2" s="40"/>
      <c r="B2" s="40"/>
      <c r="C2" s="40"/>
      <c r="D2" s="40"/>
      <c r="E2" s="40"/>
      <c r="F2" s="40"/>
      <c r="R2" s="1135" t="s">
        <v>1128</v>
      </c>
      <c r="S2" s="1460"/>
    </row>
    <row r="3" spans="1:19" s="132" customFormat="1" ht="15" customHeight="1">
      <c r="A3" s="7" t="s">
        <v>26</v>
      </c>
      <c r="B3" s="7"/>
      <c r="D3" s="1221">
        <f>'NOTE 21'!C3</f>
        <v>0</v>
      </c>
      <c r="E3" s="1221"/>
      <c r="F3" s="1221"/>
      <c r="G3" s="1221"/>
      <c r="H3" s="1221"/>
      <c r="I3" s="1221"/>
      <c r="J3" s="1221"/>
      <c r="K3" s="1221"/>
      <c r="L3" s="1221"/>
      <c r="M3" s="1221"/>
      <c r="N3" s="1221"/>
      <c r="O3" s="1221"/>
      <c r="P3" s="1221"/>
      <c r="Q3" s="1221"/>
      <c r="R3" s="1221"/>
      <c r="S3" s="1221"/>
    </row>
    <row r="4" spans="1:19" s="132" customFormat="1" ht="15" customHeight="1">
      <c r="A4" s="7" t="s">
        <v>27</v>
      </c>
      <c r="C4" s="1221">
        <f>'NOTE 21'!B4</f>
        <v>0</v>
      </c>
      <c r="D4" s="1221"/>
      <c r="E4" s="1221"/>
      <c r="F4" s="1221"/>
      <c r="G4" s="1221"/>
      <c r="H4" s="1221"/>
      <c r="I4" s="1221"/>
      <c r="J4" s="1221"/>
      <c r="K4" s="1221"/>
      <c r="L4" s="1221"/>
      <c r="M4" s="1221"/>
      <c r="N4" s="1221"/>
      <c r="O4" s="1221"/>
      <c r="P4" s="1221"/>
      <c r="Q4" s="374" t="s">
        <v>28</v>
      </c>
      <c r="R4" s="1215">
        <f>'NOTE 21'!H4</f>
        <v>0</v>
      </c>
      <c r="S4" s="1215"/>
    </row>
    <row r="5" spans="1:19" s="132" customFormat="1" ht="15" customHeight="1">
      <c r="A5" s="7" t="s">
        <v>2021</v>
      </c>
      <c r="B5" s="7"/>
      <c r="D5" s="1221">
        <f>'NOTE 21'!C5</f>
        <v>0</v>
      </c>
      <c r="E5" s="1221"/>
      <c r="F5" s="1221"/>
      <c r="G5" s="1221"/>
      <c r="H5" s="1221"/>
      <c r="I5" s="1221"/>
      <c r="J5" s="1221"/>
      <c r="K5" s="1221"/>
      <c r="L5" s="1386" t="s">
        <v>30</v>
      </c>
      <c r="M5" s="1386"/>
      <c r="N5" s="1386"/>
      <c r="O5" s="1215">
        <f>'NOTE 21'!F5</f>
        <v>0</v>
      </c>
      <c r="P5" s="1215"/>
      <c r="R5" s="61" t="s">
        <v>31</v>
      </c>
      <c r="S5" s="44">
        <f>'NOTE 21'!H5</f>
        <v>0</v>
      </c>
    </row>
    <row r="6" spans="1:19" s="132" customFormat="1" ht="15" customHeight="1">
      <c r="A6" s="268" t="s">
        <v>2024</v>
      </c>
      <c r="B6" s="7"/>
      <c r="D6" s="1461">
        <f>'NOTE 21'!C6</f>
        <v>0</v>
      </c>
      <c r="E6" s="1461"/>
      <c r="F6" s="1461"/>
      <c r="G6" s="1461"/>
      <c r="H6" s="1461"/>
      <c r="I6" s="1461"/>
      <c r="J6" s="1461"/>
      <c r="K6" s="1461"/>
      <c r="L6" s="262"/>
      <c r="M6" s="262"/>
      <c r="N6" s="262"/>
      <c r="O6" s="44"/>
      <c r="P6" s="44"/>
      <c r="Q6" s="267"/>
      <c r="R6" s="263"/>
      <c r="S6" s="44"/>
    </row>
    <row r="7" spans="1:19" ht="35.15" customHeight="1" thickBot="1">
      <c r="A7" s="1169" t="s">
        <v>1953</v>
      </c>
      <c r="B7" s="1169"/>
      <c r="C7" s="1169"/>
      <c r="D7" s="1169"/>
      <c r="E7" s="1169"/>
      <c r="F7" s="1169"/>
      <c r="G7" s="1169"/>
      <c r="H7" s="1169"/>
      <c r="I7" s="1169"/>
      <c r="J7" s="1169"/>
      <c r="K7" s="1169"/>
      <c r="L7" s="1169"/>
      <c r="M7" s="1169"/>
      <c r="N7" s="1169"/>
      <c r="O7" s="1169"/>
      <c r="P7" s="1169"/>
      <c r="Q7" s="1169"/>
      <c r="R7" s="1169"/>
      <c r="S7" s="1169"/>
    </row>
    <row r="8" spans="1:19">
      <c r="A8" s="49"/>
      <c r="B8" s="1780" t="s">
        <v>837</v>
      </c>
      <c r="C8" s="1781"/>
      <c r="D8" s="1781"/>
      <c r="E8" s="1782" t="s">
        <v>838</v>
      </c>
      <c r="F8" s="1782"/>
      <c r="G8" s="1782"/>
      <c r="H8" s="1782"/>
      <c r="I8" s="1782"/>
      <c r="J8" s="1782"/>
      <c r="K8" s="1782"/>
      <c r="L8" s="1782" t="s">
        <v>839</v>
      </c>
      <c r="M8" s="1782"/>
      <c r="N8" s="1782"/>
      <c r="O8" s="1782"/>
      <c r="P8" s="1782"/>
      <c r="Q8" s="1782"/>
      <c r="R8" s="1782"/>
      <c r="S8" s="1783"/>
    </row>
    <row r="9" spans="1:19">
      <c r="A9" s="49"/>
      <c r="B9" s="1773"/>
      <c r="C9" s="1774"/>
      <c r="D9" s="1774"/>
      <c r="E9" s="1777" t="s">
        <v>840</v>
      </c>
      <c r="F9" s="1777"/>
      <c r="G9" s="1777" t="s">
        <v>841</v>
      </c>
      <c r="H9" s="1777"/>
      <c r="I9" s="1777" t="s">
        <v>842</v>
      </c>
      <c r="J9" s="1777"/>
      <c r="K9" s="1777" t="s">
        <v>480</v>
      </c>
      <c r="L9" s="1777" t="s">
        <v>840</v>
      </c>
      <c r="M9" s="1777"/>
      <c r="N9" s="117"/>
      <c r="O9" s="1777" t="s">
        <v>843</v>
      </c>
      <c r="P9" s="1777"/>
      <c r="Q9" s="1777" t="s">
        <v>844</v>
      </c>
      <c r="R9" s="1777"/>
      <c r="S9" s="1768" t="s">
        <v>480</v>
      </c>
    </row>
    <row r="10" spans="1:19" ht="24" customHeight="1">
      <c r="A10" s="49"/>
      <c r="B10" s="1775"/>
      <c r="C10" s="1776"/>
      <c r="D10" s="1776"/>
      <c r="E10" s="1777"/>
      <c r="F10" s="1777"/>
      <c r="G10" s="1777"/>
      <c r="H10" s="1777"/>
      <c r="I10" s="1777"/>
      <c r="J10" s="1777"/>
      <c r="K10" s="1777"/>
      <c r="L10" s="1777"/>
      <c r="M10" s="1777"/>
      <c r="N10" s="116"/>
      <c r="O10" s="1777"/>
      <c r="P10" s="1777"/>
      <c r="Q10" s="1777"/>
      <c r="R10" s="1777"/>
      <c r="S10" s="1768"/>
    </row>
    <row r="11" spans="1:19" s="1" customFormat="1" ht="14.25" customHeight="1" thickBot="1">
      <c r="A11" s="49"/>
      <c r="B11" s="1769" t="s">
        <v>845</v>
      </c>
      <c r="C11" s="1770"/>
      <c r="D11" s="1770"/>
      <c r="E11" s="117" t="s">
        <v>846</v>
      </c>
      <c r="F11" s="117" t="s">
        <v>445</v>
      </c>
      <c r="G11" s="117" t="s">
        <v>846</v>
      </c>
      <c r="H11" s="117" t="s">
        <v>445</v>
      </c>
      <c r="I11" s="117" t="s">
        <v>846</v>
      </c>
      <c r="J11" s="117" t="s">
        <v>445</v>
      </c>
      <c r="K11" s="50"/>
      <c r="L11" s="117" t="s">
        <v>846</v>
      </c>
      <c r="M11" s="117" t="s">
        <v>445</v>
      </c>
      <c r="N11" s="117"/>
      <c r="O11" s="117" t="s">
        <v>846</v>
      </c>
      <c r="P11" s="117" t="s">
        <v>445</v>
      </c>
      <c r="Q11" s="117" t="s">
        <v>846</v>
      </c>
      <c r="R11" s="117" t="s">
        <v>445</v>
      </c>
      <c r="S11" s="933"/>
    </row>
    <row r="12" spans="1:19">
      <c r="A12" s="940" t="s">
        <v>847</v>
      </c>
      <c r="B12" s="1771" t="s">
        <v>848</v>
      </c>
      <c r="C12" s="1772"/>
      <c r="D12" s="1772"/>
      <c r="E12" s="147"/>
      <c r="F12" s="147"/>
      <c r="G12" s="147"/>
      <c r="H12" s="147"/>
      <c r="I12" s="147"/>
      <c r="J12" s="147"/>
      <c r="K12" s="51">
        <f>SUM(E12:J12)</f>
        <v>0</v>
      </c>
      <c r="L12" s="148"/>
      <c r="M12" s="148"/>
      <c r="N12" s="118"/>
      <c r="O12" s="148"/>
      <c r="P12" s="148"/>
      <c r="Q12" s="148"/>
      <c r="R12" s="148"/>
      <c r="S12" s="934">
        <f>L12+M12+O12+P12+Q12+R12</f>
        <v>0</v>
      </c>
    </row>
    <row r="13" spans="1:19" ht="25.5" customHeight="1">
      <c r="A13" s="941" t="s">
        <v>849</v>
      </c>
      <c r="B13" s="1771" t="s">
        <v>850</v>
      </c>
      <c r="C13" s="1772"/>
      <c r="D13" s="1772"/>
      <c r="E13" s="147"/>
      <c r="F13" s="147"/>
      <c r="G13" s="147"/>
      <c r="H13" s="147"/>
      <c r="I13" s="147"/>
      <c r="J13" s="147"/>
      <c r="K13" s="51">
        <f t="shared" ref="K13:K15" si="0">SUM(E13:J13)</f>
        <v>0</v>
      </c>
      <c r="L13" s="148"/>
      <c r="M13" s="148"/>
      <c r="N13" s="118"/>
      <c r="O13" s="148"/>
      <c r="P13" s="148"/>
      <c r="Q13" s="148"/>
      <c r="R13" s="148"/>
      <c r="S13" s="934">
        <f t="shared" ref="S13:S18" si="1">L13+M13+O13+P13+Q13+R13</f>
        <v>0</v>
      </c>
    </row>
    <row r="14" spans="1:19" ht="25.5" customHeight="1">
      <c r="A14" s="941" t="s">
        <v>851</v>
      </c>
      <c r="B14" s="1771" t="s">
        <v>852</v>
      </c>
      <c r="C14" s="1772"/>
      <c r="D14" s="1772"/>
      <c r="E14" s="147"/>
      <c r="F14" s="147"/>
      <c r="G14" s="147"/>
      <c r="H14" s="147"/>
      <c r="I14" s="147"/>
      <c r="J14" s="147"/>
      <c r="K14" s="51">
        <f t="shared" si="0"/>
        <v>0</v>
      </c>
      <c r="L14" s="148"/>
      <c r="M14" s="148"/>
      <c r="N14" s="118"/>
      <c r="O14" s="148"/>
      <c r="P14" s="148"/>
      <c r="Q14" s="148"/>
      <c r="R14" s="148"/>
      <c r="S14" s="934">
        <f t="shared" si="1"/>
        <v>0</v>
      </c>
    </row>
    <row r="15" spans="1:19" ht="25.5" customHeight="1">
      <c r="A15" s="941" t="s">
        <v>853</v>
      </c>
      <c r="B15" s="1771" t="s">
        <v>854</v>
      </c>
      <c r="C15" s="1772"/>
      <c r="D15" s="1772"/>
      <c r="E15" s="147"/>
      <c r="F15" s="147"/>
      <c r="G15" s="147"/>
      <c r="H15" s="147"/>
      <c r="I15" s="147"/>
      <c r="J15" s="147"/>
      <c r="K15" s="51">
        <f t="shared" si="0"/>
        <v>0</v>
      </c>
      <c r="L15" s="148"/>
      <c r="M15" s="148"/>
      <c r="N15" s="118"/>
      <c r="O15" s="148"/>
      <c r="P15" s="148"/>
      <c r="Q15" s="148"/>
      <c r="R15" s="148"/>
      <c r="S15" s="934">
        <f t="shared" si="1"/>
        <v>0</v>
      </c>
    </row>
    <row r="16" spans="1:19">
      <c r="A16" s="941" t="s">
        <v>855</v>
      </c>
      <c r="B16" s="1786" t="s">
        <v>856</v>
      </c>
      <c r="C16" s="1787"/>
      <c r="D16" s="1787"/>
      <c r="E16" s="51">
        <f>SUM(E12:E15)</f>
        <v>0</v>
      </c>
      <c r="F16" s="51">
        <f t="shared" ref="F16:K16" si="2">SUM(F12:F15)</f>
        <v>0</v>
      </c>
      <c r="G16" s="51">
        <f t="shared" si="2"/>
        <v>0</v>
      </c>
      <c r="H16" s="51">
        <f t="shared" si="2"/>
        <v>0</v>
      </c>
      <c r="I16" s="51">
        <f t="shared" si="2"/>
        <v>0</v>
      </c>
      <c r="J16" s="51">
        <f t="shared" si="2"/>
        <v>0</v>
      </c>
      <c r="K16" s="51">
        <f t="shared" si="2"/>
        <v>0</v>
      </c>
      <c r="L16" s="47">
        <f>SUM(L12:L15)</f>
        <v>0</v>
      </c>
      <c r="M16" s="47">
        <f>SUM(M12:M15)</f>
        <v>0</v>
      </c>
      <c r="N16" s="47"/>
      <c r="O16" s="47">
        <f>SUM(O12:O15)</f>
        <v>0</v>
      </c>
      <c r="P16" s="47">
        <f t="shared" ref="P16:R16" si="3">SUM(P12:P15)</f>
        <v>0</v>
      </c>
      <c r="Q16" s="47">
        <f t="shared" si="3"/>
        <v>0</v>
      </c>
      <c r="R16" s="47">
        <f t="shared" si="3"/>
        <v>0</v>
      </c>
      <c r="S16" s="934">
        <f t="shared" si="1"/>
        <v>0</v>
      </c>
    </row>
    <row r="17" spans="1:19">
      <c r="A17" s="941" t="s">
        <v>857</v>
      </c>
      <c r="B17" s="1771" t="s">
        <v>858</v>
      </c>
      <c r="C17" s="1772"/>
      <c r="D17" s="1772"/>
      <c r="E17" s="147"/>
      <c r="F17" s="147"/>
      <c r="G17" s="147"/>
      <c r="H17" s="147"/>
      <c r="I17" s="147"/>
      <c r="J17" s="147"/>
      <c r="K17" s="51">
        <f>SUM(E17:J17)</f>
        <v>0</v>
      </c>
      <c r="L17" s="148"/>
      <c r="M17" s="148"/>
      <c r="N17" s="118"/>
      <c r="O17" s="148"/>
      <c r="P17" s="148"/>
      <c r="Q17" s="148"/>
      <c r="R17" s="148"/>
      <c r="S17" s="934">
        <f t="shared" si="1"/>
        <v>0</v>
      </c>
    </row>
    <row r="18" spans="1:19" ht="15" thickBot="1">
      <c r="A18" s="942" t="s">
        <v>859</v>
      </c>
      <c r="B18" s="1784" t="s">
        <v>860</v>
      </c>
      <c r="C18" s="1785"/>
      <c r="D18" s="1785"/>
      <c r="E18" s="935"/>
      <c r="F18" s="935"/>
      <c r="G18" s="935"/>
      <c r="H18" s="935"/>
      <c r="I18" s="935"/>
      <c r="J18" s="935"/>
      <c r="K18" s="936">
        <f>SUM(E18:J18)</f>
        <v>0</v>
      </c>
      <c r="L18" s="937"/>
      <c r="M18" s="937"/>
      <c r="N18" s="938"/>
      <c r="O18" s="937"/>
      <c r="P18" s="937"/>
      <c r="Q18" s="937"/>
      <c r="R18" s="937"/>
      <c r="S18" s="939">
        <f t="shared" si="1"/>
        <v>0</v>
      </c>
    </row>
    <row r="19" spans="1:19" ht="7.5" customHeight="1" thickBot="1">
      <c r="A19" s="110"/>
      <c r="B19" s="49"/>
      <c r="C19" s="2"/>
      <c r="D19" s="2"/>
      <c r="E19" s="110"/>
      <c r="F19" s="110"/>
      <c r="G19" s="110"/>
      <c r="H19" s="110"/>
      <c r="I19" s="110"/>
      <c r="J19" s="110"/>
      <c r="K19" s="115"/>
      <c r="L19" s="49"/>
      <c r="M19" s="49"/>
      <c r="N19" s="49"/>
      <c r="O19" s="49"/>
      <c r="P19" s="49"/>
      <c r="Q19" s="49"/>
      <c r="R19" s="49"/>
      <c r="S19" s="49"/>
    </row>
    <row r="20" spans="1:19" ht="17.25" customHeight="1">
      <c r="A20" s="110"/>
      <c r="B20" s="49"/>
      <c r="C20" s="2"/>
      <c r="D20" s="2"/>
      <c r="E20" s="110"/>
      <c r="F20" s="110"/>
      <c r="G20" s="110"/>
      <c r="H20" s="110"/>
      <c r="I20" s="110"/>
      <c r="J20" s="110"/>
      <c r="K20" s="115"/>
      <c r="L20" s="1799" t="s">
        <v>861</v>
      </c>
      <c r="M20" s="1800"/>
      <c r="N20" s="110"/>
      <c r="P20" s="113"/>
      <c r="Q20" s="113"/>
      <c r="R20" s="131"/>
      <c r="S20" s="1796" t="s">
        <v>1856</v>
      </c>
    </row>
    <row r="21" spans="1:19" ht="17.25" customHeight="1" thickBot="1">
      <c r="A21" s="110"/>
      <c r="B21" s="1803" t="s">
        <v>863</v>
      </c>
      <c r="C21" s="1803"/>
      <c r="D21" s="1803"/>
      <c r="E21" s="110"/>
      <c r="F21" s="110"/>
      <c r="G21" s="110"/>
      <c r="H21" s="110"/>
      <c r="I21" s="110"/>
      <c r="J21" s="110"/>
      <c r="K21" s="115"/>
      <c r="L21" s="1801"/>
      <c r="M21" s="1802"/>
      <c r="N21" s="110"/>
      <c r="O21" s="113"/>
      <c r="P21" s="113"/>
      <c r="Q21" s="113"/>
      <c r="R21" s="131"/>
      <c r="S21" s="1797"/>
    </row>
    <row r="22" spans="1:19" ht="17.25" customHeight="1">
      <c r="A22" s="943" t="s">
        <v>864</v>
      </c>
      <c r="B22" s="1798" t="s">
        <v>848</v>
      </c>
      <c r="C22" s="1798"/>
      <c r="D22" s="1798"/>
      <c r="E22" s="944"/>
      <c r="F22" s="944"/>
      <c r="G22" s="944"/>
      <c r="H22" s="944"/>
      <c r="I22" s="944"/>
      <c r="J22" s="944"/>
      <c r="K22" s="945">
        <f>SUM(E22:J22)</f>
        <v>0</v>
      </c>
      <c r="L22" s="946"/>
      <c r="M22" s="947"/>
      <c r="N22" s="52"/>
      <c r="O22" s="1804" t="s">
        <v>862</v>
      </c>
      <c r="P22" s="1798"/>
      <c r="Q22" s="1798"/>
      <c r="R22" s="1805"/>
      <c r="S22" s="1794"/>
    </row>
    <row r="23" spans="1:19" ht="25.5" customHeight="1">
      <c r="A23" s="948" t="s">
        <v>866</v>
      </c>
      <c r="B23" s="1772" t="s">
        <v>850</v>
      </c>
      <c r="C23" s="1772"/>
      <c r="D23" s="1772"/>
      <c r="E23" s="147"/>
      <c r="F23" s="147"/>
      <c r="G23" s="147"/>
      <c r="H23" s="147"/>
      <c r="I23" s="147"/>
      <c r="J23" s="147"/>
      <c r="K23" s="51">
        <f t="shared" ref="K23:K28" si="4">SUM(E23:J23)</f>
        <v>0</v>
      </c>
      <c r="L23" s="148"/>
      <c r="M23" s="949"/>
      <c r="N23" s="52"/>
      <c r="O23" s="1771"/>
      <c r="P23" s="1772"/>
      <c r="Q23" s="1772"/>
      <c r="R23" s="1806"/>
      <c r="S23" s="1795"/>
    </row>
    <row r="24" spans="1:19" ht="36.75" customHeight="1">
      <c r="A24" s="948" t="s">
        <v>867</v>
      </c>
      <c r="B24" s="1772" t="s">
        <v>852</v>
      </c>
      <c r="C24" s="1772"/>
      <c r="D24" s="1772"/>
      <c r="E24" s="147"/>
      <c r="F24" s="147"/>
      <c r="G24" s="147"/>
      <c r="H24" s="147"/>
      <c r="I24" s="147"/>
      <c r="J24" s="147"/>
      <c r="K24" s="51">
        <f t="shared" si="4"/>
        <v>0</v>
      </c>
      <c r="L24" s="148"/>
      <c r="M24" s="949"/>
      <c r="N24" s="52"/>
      <c r="O24" s="1778" t="s">
        <v>865</v>
      </c>
      <c r="P24" s="1779"/>
      <c r="Q24" s="1779"/>
      <c r="R24" s="384"/>
      <c r="S24" s="952"/>
    </row>
    <row r="25" spans="1:19" ht="25.5" customHeight="1" thickBot="1">
      <c r="A25" s="948" t="s">
        <v>868</v>
      </c>
      <c r="B25" s="1772" t="s">
        <v>854</v>
      </c>
      <c r="C25" s="1772"/>
      <c r="D25" s="1772"/>
      <c r="E25" s="147"/>
      <c r="F25" s="147"/>
      <c r="G25" s="147"/>
      <c r="H25" s="147"/>
      <c r="I25" s="147"/>
      <c r="J25" s="147"/>
      <c r="K25" s="51">
        <f t="shared" si="4"/>
        <v>0</v>
      </c>
      <c r="L25" s="148"/>
      <c r="M25" s="949"/>
      <c r="N25" s="52"/>
      <c r="O25" s="1791" t="s">
        <v>1603</v>
      </c>
      <c r="P25" s="1790"/>
      <c r="Q25" s="1790"/>
      <c r="R25" s="953">
        <f>S16+R22+R24</f>
        <v>0</v>
      </c>
      <c r="S25" s="954"/>
    </row>
    <row r="26" spans="1:19" ht="15" customHeight="1">
      <c r="A26" s="948" t="s">
        <v>870</v>
      </c>
      <c r="B26" s="1787" t="s">
        <v>871</v>
      </c>
      <c r="C26" s="1787"/>
      <c r="D26" s="1787"/>
      <c r="E26" s="51">
        <f>SUM(E22:E25)</f>
        <v>0</v>
      </c>
      <c r="F26" s="51">
        <f t="shared" ref="F26:M26" si="5">SUM(F22:F25)</f>
        <v>0</v>
      </c>
      <c r="G26" s="51">
        <f t="shared" si="5"/>
        <v>0</v>
      </c>
      <c r="H26" s="51">
        <f t="shared" si="5"/>
        <v>0</v>
      </c>
      <c r="I26" s="51">
        <f t="shared" si="5"/>
        <v>0</v>
      </c>
      <c r="J26" s="51">
        <f t="shared" si="5"/>
        <v>0</v>
      </c>
      <c r="K26" s="51">
        <f t="shared" si="5"/>
        <v>0</v>
      </c>
      <c r="L26" s="51">
        <f t="shared" si="5"/>
        <v>0</v>
      </c>
      <c r="M26" s="950">
        <f t="shared" si="5"/>
        <v>0</v>
      </c>
      <c r="N26" s="53"/>
      <c r="O26" s="1792" t="s">
        <v>869</v>
      </c>
      <c r="P26" s="1792"/>
      <c r="Q26" s="1792"/>
      <c r="R26" s="1792"/>
      <c r="S26" s="1792"/>
    </row>
    <row r="27" spans="1:19">
      <c r="A27" s="948" t="s">
        <v>873</v>
      </c>
      <c r="B27" s="1772" t="s">
        <v>858</v>
      </c>
      <c r="C27" s="1772"/>
      <c r="D27" s="1772"/>
      <c r="E27" s="147"/>
      <c r="F27" s="147"/>
      <c r="G27" s="147"/>
      <c r="H27" s="147"/>
      <c r="I27" s="147"/>
      <c r="J27" s="147"/>
      <c r="K27" s="51">
        <f t="shared" si="4"/>
        <v>0</v>
      </c>
      <c r="L27" s="148"/>
      <c r="M27" s="949"/>
      <c r="N27" s="52"/>
      <c r="O27" s="1793" t="s">
        <v>872</v>
      </c>
      <c r="P27" s="1793"/>
      <c r="Q27" s="1793"/>
      <c r="R27" s="1793"/>
      <c r="S27" s="1793"/>
    </row>
    <row r="28" spans="1:19" ht="14.25" customHeight="1">
      <c r="A28" s="948" t="s">
        <v>875</v>
      </c>
      <c r="B28" s="1772" t="s">
        <v>860</v>
      </c>
      <c r="C28" s="1772"/>
      <c r="D28" s="1772"/>
      <c r="E28" s="147"/>
      <c r="F28" s="147"/>
      <c r="G28" s="147"/>
      <c r="H28" s="147"/>
      <c r="I28" s="147"/>
      <c r="J28" s="147"/>
      <c r="K28" s="51">
        <f t="shared" si="4"/>
        <v>0</v>
      </c>
      <c r="L28" s="148"/>
      <c r="M28" s="949"/>
      <c r="N28" s="52"/>
      <c r="O28" s="120" t="s">
        <v>874</v>
      </c>
      <c r="P28" s="49"/>
      <c r="Q28" s="49"/>
      <c r="R28" s="49"/>
      <c r="S28" s="49"/>
    </row>
    <row r="29" spans="1:19" ht="15" thickBot="1">
      <c r="A29" s="951" t="s">
        <v>877</v>
      </c>
      <c r="B29" s="1790" t="s">
        <v>878</v>
      </c>
      <c r="C29" s="1790"/>
      <c r="D29" s="1790"/>
      <c r="E29" s="936">
        <f>E16+E26</f>
        <v>0</v>
      </c>
      <c r="F29" s="936">
        <f t="shared" ref="F29:K29" si="6">F16+F26</f>
        <v>0</v>
      </c>
      <c r="G29" s="936">
        <f t="shared" si="6"/>
        <v>0</v>
      </c>
      <c r="H29" s="936">
        <f t="shared" si="6"/>
        <v>0</v>
      </c>
      <c r="I29" s="936">
        <f t="shared" si="6"/>
        <v>0</v>
      </c>
      <c r="J29" s="936">
        <f t="shared" si="6"/>
        <v>0</v>
      </c>
      <c r="K29" s="936">
        <f t="shared" si="6"/>
        <v>0</v>
      </c>
      <c r="L29" s="1788"/>
      <c r="M29" s="1789"/>
      <c r="N29" s="54"/>
      <c r="O29" s="49" t="s">
        <v>876</v>
      </c>
      <c r="P29" s="49"/>
      <c r="Q29" s="49"/>
      <c r="R29" s="49"/>
      <c r="S29" s="49"/>
    </row>
    <row r="30" spans="1:19" ht="12" customHeight="1">
      <c r="A30" s="1767" t="s">
        <v>1858</v>
      </c>
      <c r="B30" s="1767"/>
      <c r="C30" s="1767"/>
      <c r="D30" s="1767"/>
      <c r="E30" s="574"/>
      <c r="F30" s="574"/>
      <c r="G30" s="574"/>
      <c r="H30" s="574"/>
      <c r="I30" s="574"/>
      <c r="J30" s="574"/>
      <c r="K30" s="574"/>
      <c r="L30" s="574"/>
      <c r="M30" s="574"/>
      <c r="N30" s="574"/>
      <c r="O30" s="574"/>
      <c r="P30" s="574"/>
    </row>
    <row r="31" spans="1:19" ht="12" customHeight="1">
      <c r="A31" s="1767" t="s">
        <v>1857</v>
      </c>
      <c r="B31" s="1767"/>
      <c r="C31" s="1767"/>
      <c r="D31" s="1767"/>
      <c r="E31" s="1767"/>
      <c r="F31" s="1767"/>
      <c r="G31" s="1767"/>
      <c r="H31" s="1767"/>
      <c r="I31" s="1767"/>
      <c r="J31" s="1767"/>
      <c r="K31" s="1767"/>
      <c r="L31" s="1767"/>
      <c r="M31" s="1767"/>
      <c r="N31" s="1767"/>
      <c r="O31" s="1767"/>
      <c r="P31" s="1767"/>
    </row>
  </sheetData>
  <sheetProtection selectLockedCells="1"/>
  <mergeCells count="51">
    <mergeCell ref="S22:S23"/>
    <mergeCell ref="S20:S21"/>
    <mergeCell ref="B22:D22"/>
    <mergeCell ref="B23:D23"/>
    <mergeCell ref="L20:M21"/>
    <mergeCell ref="B21:D21"/>
    <mergeCell ref="O22:Q23"/>
    <mergeCell ref="R22:R23"/>
    <mergeCell ref="L29:M29"/>
    <mergeCell ref="B29:D29"/>
    <mergeCell ref="O25:Q25"/>
    <mergeCell ref="B25:D25"/>
    <mergeCell ref="O26:S26"/>
    <mergeCell ref="B26:D26"/>
    <mergeCell ref="O27:S27"/>
    <mergeCell ref="B28:D28"/>
    <mergeCell ref="B18:D18"/>
    <mergeCell ref="O9:P10"/>
    <mergeCell ref="Q9:R10"/>
    <mergeCell ref="B15:D15"/>
    <mergeCell ref="B16:D16"/>
    <mergeCell ref="B17:D17"/>
    <mergeCell ref="D5:K5"/>
    <mergeCell ref="L5:N5"/>
    <mergeCell ref="O5:P5"/>
    <mergeCell ref="A7:S7"/>
    <mergeCell ref="B8:D8"/>
    <mergeCell ref="E8:K8"/>
    <mergeCell ref="L8:S8"/>
    <mergeCell ref="D6:K6"/>
    <mergeCell ref="A1:S1"/>
    <mergeCell ref="R2:S2"/>
    <mergeCell ref="D3:S3"/>
    <mergeCell ref="C4:P4"/>
    <mergeCell ref="R4:S4"/>
    <mergeCell ref="A30:D30"/>
    <mergeCell ref="A31:P31"/>
    <mergeCell ref="S9:S10"/>
    <mergeCell ref="B11:D11"/>
    <mergeCell ref="B12:D12"/>
    <mergeCell ref="B13:D13"/>
    <mergeCell ref="B14:D14"/>
    <mergeCell ref="B9:D10"/>
    <mergeCell ref="E9:F10"/>
    <mergeCell ref="G9:H10"/>
    <mergeCell ref="I9:J10"/>
    <mergeCell ref="K9:K10"/>
    <mergeCell ref="L9:M10"/>
    <mergeCell ref="B24:D24"/>
    <mergeCell ref="O24:Q24"/>
    <mergeCell ref="B27:D27"/>
  </mergeCells>
  <dataValidations count="1">
    <dataValidation type="whole" allowBlank="1" showInputMessage="1" showErrorMessage="1" errorTitle="Attention!" error="Valeur numérique attendue" sqref="E12:J15 E17:J18 L12:M15 L17:M18 O12:R15 O17:R18 E22:J25 E27:J28 L22:M25 L27:M28 R22:S24" xr:uid="{00000000-0002-0000-3300-000000000000}">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3"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4">
    <pageSetUpPr fitToPage="1"/>
  </sheetPr>
  <dimension ref="A1:L31"/>
  <sheetViews>
    <sheetView showGridLines="0" topLeftCell="A12" workbookViewId="0">
      <selection activeCell="N27" sqref="N27"/>
    </sheetView>
  </sheetViews>
  <sheetFormatPr baseColWidth="10" defaultColWidth="11.453125" defaultRowHeight="14.5"/>
  <cols>
    <col min="2" max="2" width="12" customWidth="1"/>
    <col min="3" max="3" width="4.1796875" customWidth="1"/>
    <col min="4" max="4" width="11.81640625" customWidth="1"/>
    <col min="5" max="12" width="15.54296875" customWidth="1"/>
  </cols>
  <sheetData>
    <row r="1" spans="1:12">
      <c r="A1" s="1134" t="s">
        <v>183</v>
      </c>
      <c r="B1" s="1134"/>
      <c r="C1" s="1134"/>
      <c r="D1" s="1134"/>
      <c r="E1" s="1134"/>
      <c r="F1" s="1134"/>
      <c r="G1" s="1134"/>
      <c r="H1" s="1134"/>
      <c r="I1" s="1134"/>
      <c r="J1" s="1134"/>
      <c r="K1" s="1134"/>
      <c r="L1" s="1134"/>
    </row>
    <row r="2" spans="1:12" ht="25" customHeight="1">
      <c r="A2" s="40"/>
      <c r="B2" s="40"/>
      <c r="C2" s="40"/>
      <c r="D2" s="40"/>
      <c r="E2" s="40"/>
      <c r="F2" s="40"/>
      <c r="K2" s="1135" t="s">
        <v>1859</v>
      </c>
      <c r="L2" s="1460"/>
    </row>
    <row r="3" spans="1:12" s="132" customFormat="1" ht="15" customHeight="1">
      <c r="A3" s="7" t="s">
        <v>26</v>
      </c>
      <c r="B3" s="7"/>
      <c r="D3" s="1158">
        <f>'NOTE 21'!C3</f>
        <v>0</v>
      </c>
      <c r="E3" s="1158"/>
      <c r="F3" s="1158"/>
      <c r="G3" s="1158"/>
      <c r="H3" s="1158"/>
      <c r="I3" s="1158"/>
      <c r="J3" s="1158"/>
      <c r="K3" s="1158"/>
      <c r="L3" s="1158"/>
    </row>
    <row r="4" spans="1:12" s="132" customFormat="1" ht="15" customHeight="1">
      <c r="A4" s="7" t="s">
        <v>27</v>
      </c>
      <c r="B4" s="1158">
        <f>'NOTE 21'!B4</f>
        <v>0</v>
      </c>
      <c r="C4" s="1158"/>
      <c r="D4" s="1158"/>
      <c r="E4" s="1158"/>
      <c r="F4" s="1158"/>
      <c r="G4" s="1158"/>
      <c r="H4" s="1158"/>
      <c r="I4" s="1158"/>
      <c r="J4" s="61" t="s">
        <v>28</v>
      </c>
      <c r="K4" s="1215">
        <f>'NOTE 21'!H4</f>
        <v>0</v>
      </c>
      <c r="L4" s="1215"/>
    </row>
    <row r="5" spans="1:12" s="132" customFormat="1" ht="15" customHeight="1">
      <c r="A5" s="7" t="s">
        <v>2021</v>
      </c>
      <c r="B5" s="7"/>
      <c r="C5" s="1221">
        <f>'NOTE 21'!C5</f>
        <v>0</v>
      </c>
      <c r="D5" s="1221"/>
      <c r="E5" s="1221"/>
      <c r="F5" s="1221"/>
      <c r="G5" s="43" t="s">
        <v>30</v>
      </c>
      <c r="H5" s="1215">
        <f>'NOTE 21'!F5</f>
        <v>0</v>
      </c>
      <c r="I5" s="1215"/>
      <c r="J5" s="61" t="s">
        <v>31</v>
      </c>
      <c r="K5" s="1215">
        <f>'NOTE 21'!H5</f>
        <v>0</v>
      </c>
      <c r="L5" s="1215"/>
    </row>
    <row r="6" spans="1:12" s="132" customFormat="1" ht="15" customHeight="1">
      <c r="A6" s="268" t="s">
        <v>2024</v>
      </c>
      <c r="B6" s="7"/>
      <c r="C6" s="1461">
        <f>'NOTE 21'!C6</f>
        <v>0</v>
      </c>
      <c r="D6" s="1461"/>
      <c r="E6" s="1461"/>
      <c r="F6" s="1461"/>
      <c r="G6" s="262"/>
      <c r="H6" s="44"/>
      <c r="I6" s="44"/>
      <c r="J6" s="263"/>
      <c r="K6" s="44"/>
      <c r="L6" s="44"/>
    </row>
    <row r="7" spans="1:12" ht="35.15" customHeight="1" thickBot="1">
      <c r="A7" s="1169" t="s">
        <v>1860</v>
      </c>
      <c r="B7" s="1169"/>
      <c r="C7" s="1169"/>
      <c r="D7" s="1169"/>
      <c r="E7" s="1169"/>
      <c r="F7" s="1169"/>
      <c r="G7" s="1169"/>
      <c r="H7" s="1169"/>
      <c r="I7" s="1169"/>
      <c r="J7" s="1169"/>
      <c r="K7" s="1169"/>
      <c r="L7" s="1169"/>
    </row>
    <row r="8" spans="1:12">
      <c r="A8" s="1813" t="s">
        <v>483</v>
      </c>
      <c r="B8" s="1814"/>
      <c r="C8" s="1814"/>
      <c r="D8" s="1815"/>
      <c r="E8" s="883" t="s">
        <v>95</v>
      </c>
      <c r="F8" s="1782" t="s">
        <v>327</v>
      </c>
      <c r="G8" s="1782"/>
      <c r="H8" s="1782"/>
      <c r="I8" s="1782" t="s">
        <v>330</v>
      </c>
      <c r="J8" s="1782"/>
      <c r="K8" s="1782"/>
      <c r="L8" s="932" t="s">
        <v>500</v>
      </c>
    </row>
    <row r="9" spans="1:12">
      <c r="A9" s="1816"/>
      <c r="B9" s="1817"/>
      <c r="C9" s="1817"/>
      <c r="D9" s="1818"/>
      <c r="E9" s="1378" t="s">
        <v>879</v>
      </c>
      <c r="F9" s="1378" t="s">
        <v>880</v>
      </c>
      <c r="G9" s="1378"/>
      <c r="H9" s="1378"/>
      <c r="I9" s="1378" t="s">
        <v>881</v>
      </c>
      <c r="J9" s="1378"/>
      <c r="K9" s="1378"/>
      <c r="L9" s="1379" t="s">
        <v>882</v>
      </c>
    </row>
    <row r="10" spans="1:12" ht="20">
      <c r="A10" s="1807" t="s">
        <v>883</v>
      </c>
      <c r="B10" s="1808"/>
      <c r="C10" s="1808"/>
      <c r="D10" s="1809"/>
      <c r="E10" s="1378"/>
      <c r="F10" s="308" t="s">
        <v>884</v>
      </c>
      <c r="G10" s="308" t="s">
        <v>885</v>
      </c>
      <c r="H10" s="308" t="s">
        <v>886</v>
      </c>
      <c r="I10" s="308" t="s">
        <v>884</v>
      </c>
      <c r="J10" s="308" t="s">
        <v>885</v>
      </c>
      <c r="K10" s="308" t="s">
        <v>886</v>
      </c>
      <c r="L10" s="1379"/>
    </row>
    <row r="11" spans="1:12" ht="17.149999999999999" customHeight="1">
      <c r="A11" s="1442" t="s">
        <v>1861</v>
      </c>
      <c r="B11" s="1443"/>
      <c r="C11" s="1443"/>
      <c r="D11" s="1443"/>
      <c r="E11" s="126"/>
      <c r="F11" s="126"/>
      <c r="G11" s="126"/>
      <c r="H11" s="126"/>
      <c r="I11" s="126"/>
      <c r="J11" s="126"/>
      <c r="K11" s="126"/>
      <c r="L11" s="829">
        <f>E11+F11+G11+H11-I11-J11-K11</f>
        <v>0</v>
      </c>
    </row>
    <row r="12" spans="1:12" ht="17.149999999999999" customHeight="1">
      <c r="A12" s="1442" t="s">
        <v>1862</v>
      </c>
      <c r="B12" s="1443"/>
      <c r="C12" s="1443"/>
      <c r="D12" s="1443"/>
      <c r="E12" s="126"/>
      <c r="F12" s="126"/>
      <c r="G12" s="126"/>
      <c r="H12" s="126"/>
      <c r="I12" s="126"/>
      <c r="J12" s="126"/>
      <c r="K12" s="126"/>
      <c r="L12" s="829">
        <f t="shared" ref="L12:L29" si="0">E12+F12+G12+H12-I12-J12-K12</f>
        <v>0</v>
      </c>
    </row>
    <row r="13" spans="1:12" ht="17.149999999999999" customHeight="1">
      <c r="A13" s="1442" t="s">
        <v>1863</v>
      </c>
      <c r="B13" s="1443"/>
      <c r="C13" s="1443"/>
      <c r="D13" s="1443"/>
      <c r="E13" s="126"/>
      <c r="F13" s="126"/>
      <c r="G13" s="126"/>
      <c r="H13" s="126"/>
      <c r="I13" s="126"/>
      <c r="J13" s="126"/>
      <c r="K13" s="126"/>
      <c r="L13" s="829">
        <f t="shared" si="0"/>
        <v>0</v>
      </c>
    </row>
    <row r="14" spans="1:12" ht="17.149999999999999" customHeight="1">
      <c r="A14" s="1612" t="s">
        <v>1864</v>
      </c>
      <c r="B14" s="1613"/>
      <c r="C14" s="1613"/>
      <c r="D14" s="1613"/>
      <c r="E14" s="108">
        <f t="shared" ref="E14:K14" si="1">SUM(E11:E13)</f>
        <v>0</v>
      </c>
      <c r="F14" s="108">
        <f t="shared" si="1"/>
        <v>0</v>
      </c>
      <c r="G14" s="108">
        <f t="shared" si="1"/>
        <v>0</v>
      </c>
      <c r="H14" s="108">
        <f t="shared" si="1"/>
        <v>0</v>
      </c>
      <c r="I14" s="108">
        <f t="shared" si="1"/>
        <v>0</v>
      </c>
      <c r="J14" s="108">
        <f t="shared" si="1"/>
        <v>0</v>
      </c>
      <c r="K14" s="108">
        <f t="shared" si="1"/>
        <v>0</v>
      </c>
      <c r="L14" s="872">
        <f t="shared" si="0"/>
        <v>0</v>
      </c>
    </row>
    <row r="15" spans="1:12" ht="17.149999999999999" customHeight="1">
      <c r="A15" s="1442" t="s">
        <v>1865</v>
      </c>
      <c r="B15" s="1443"/>
      <c r="C15" s="1443"/>
      <c r="D15" s="1443"/>
      <c r="E15" s="140"/>
      <c r="F15" s="140"/>
      <c r="G15" s="140"/>
      <c r="H15" s="140"/>
      <c r="I15" s="140"/>
      <c r="J15" s="140"/>
      <c r="K15" s="140"/>
      <c r="L15" s="829">
        <f t="shared" si="0"/>
        <v>0</v>
      </c>
    </row>
    <row r="16" spans="1:12" ht="17.149999999999999" customHeight="1">
      <c r="A16" s="1442" t="s">
        <v>1866</v>
      </c>
      <c r="B16" s="1443"/>
      <c r="C16" s="1443"/>
      <c r="D16" s="1443"/>
      <c r="E16" s="140"/>
      <c r="F16" s="140"/>
      <c r="G16" s="140"/>
      <c r="H16" s="140"/>
      <c r="I16" s="140"/>
      <c r="J16" s="140"/>
      <c r="K16" s="140"/>
      <c r="L16" s="829">
        <f t="shared" si="0"/>
        <v>0</v>
      </c>
    </row>
    <row r="17" spans="1:12" ht="17.149999999999999" customHeight="1">
      <c r="A17" s="1442" t="s">
        <v>574</v>
      </c>
      <c r="B17" s="1443"/>
      <c r="C17" s="1443"/>
      <c r="D17" s="1443"/>
      <c r="E17" s="140"/>
      <c r="F17" s="140"/>
      <c r="G17" s="140"/>
      <c r="H17" s="140"/>
      <c r="I17" s="140"/>
      <c r="J17" s="140"/>
      <c r="K17" s="140"/>
      <c r="L17" s="829">
        <f t="shared" si="0"/>
        <v>0</v>
      </c>
    </row>
    <row r="18" spans="1:12" ht="17.149999999999999" customHeight="1">
      <c r="A18" s="1442" t="s">
        <v>1867</v>
      </c>
      <c r="B18" s="1443"/>
      <c r="C18" s="1443"/>
      <c r="D18" s="1443"/>
      <c r="E18" s="140"/>
      <c r="F18" s="140"/>
      <c r="G18" s="140"/>
      <c r="H18" s="140"/>
      <c r="I18" s="140"/>
      <c r="J18" s="140"/>
      <c r="K18" s="140"/>
      <c r="L18" s="829">
        <f t="shared" si="0"/>
        <v>0</v>
      </c>
    </row>
    <row r="19" spans="1:12" ht="17.149999999999999" customHeight="1">
      <c r="A19" s="1442" t="s">
        <v>1868</v>
      </c>
      <c r="B19" s="1443"/>
      <c r="C19" s="1443"/>
      <c r="D19" s="1443"/>
      <c r="E19" s="140"/>
      <c r="F19" s="140"/>
      <c r="G19" s="140"/>
      <c r="H19" s="140"/>
      <c r="I19" s="140"/>
      <c r="J19" s="140"/>
      <c r="K19" s="140"/>
      <c r="L19" s="829">
        <f t="shared" si="0"/>
        <v>0</v>
      </c>
    </row>
    <row r="20" spans="1:12" ht="17.149999999999999" customHeight="1">
      <c r="A20" s="1442" t="s">
        <v>1869</v>
      </c>
      <c r="B20" s="1443"/>
      <c r="C20" s="1443"/>
      <c r="D20" s="1443"/>
      <c r="E20" s="140"/>
      <c r="F20" s="140"/>
      <c r="G20" s="140"/>
      <c r="H20" s="140"/>
      <c r="I20" s="140"/>
      <c r="J20" s="140"/>
      <c r="K20" s="140"/>
      <c r="L20" s="829">
        <f t="shared" si="0"/>
        <v>0</v>
      </c>
    </row>
    <row r="21" spans="1:12" ht="17.149999999999999" customHeight="1">
      <c r="A21" s="1442" t="s">
        <v>1870</v>
      </c>
      <c r="B21" s="1443"/>
      <c r="C21" s="1443"/>
      <c r="D21" s="1443"/>
      <c r="E21" s="140"/>
      <c r="F21" s="140"/>
      <c r="G21" s="140"/>
      <c r="H21" s="140"/>
      <c r="I21" s="140"/>
      <c r="J21" s="140"/>
      <c r="K21" s="140"/>
      <c r="L21" s="829">
        <f t="shared" si="0"/>
        <v>0</v>
      </c>
    </row>
    <row r="22" spans="1:12" ht="17.149999999999999" customHeight="1">
      <c r="A22" s="1442" t="s">
        <v>1871</v>
      </c>
      <c r="B22" s="1443"/>
      <c r="C22" s="1443"/>
      <c r="D22" s="1443"/>
      <c r="E22" s="140"/>
      <c r="F22" s="140"/>
      <c r="G22" s="140"/>
      <c r="H22" s="140"/>
      <c r="I22" s="140"/>
      <c r="J22" s="140"/>
      <c r="K22" s="140"/>
      <c r="L22" s="829">
        <f t="shared" si="0"/>
        <v>0</v>
      </c>
    </row>
    <row r="23" spans="1:12" ht="26.25" customHeight="1">
      <c r="A23" s="1442" t="s">
        <v>1872</v>
      </c>
      <c r="B23" s="1443"/>
      <c r="C23" s="1443"/>
      <c r="D23" s="1443"/>
      <c r="E23" s="140"/>
      <c r="F23" s="140"/>
      <c r="G23" s="140"/>
      <c r="H23" s="140"/>
      <c r="I23" s="140"/>
      <c r="J23" s="140"/>
      <c r="K23" s="140"/>
      <c r="L23" s="829">
        <f t="shared" si="0"/>
        <v>0</v>
      </c>
    </row>
    <row r="24" spans="1:12" ht="26.25" customHeight="1">
      <c r="A24" s="1810" t="s">
        <v>1873</v>
      </c>
      <c r="B24" s="1811"/>
      <c r="C24" s="1811"/>
      <c r="D24" s="1812"/>
      <c r="E24" s="126"/>
      <c r="F24" s="126"/>
      <c r="G24" s="126"/>
      <c r="H24" s="126"/>
      <c r="I24" s="126"/>
      <c r="J24" s="126"/>
      <c r="K24" s="126"/>
      <c r="L24" s="829">
        <f t="shared" si="0"/>
        <v>0</v>
      </c>
    </row>
    <row r="25" spans="1:12" ht="26.25" customHeight="1">
      <c r="A25" s="1810" t="s">
        <v>1874</v>
      </c>
      <c r="B25" s="1811"/>
      <c r="C25" s="1811"/>
      <c r="D25" s="1812"/>
      <c r="E25" s="126"/>
      <c r="F25" s="126"/>
      <c r="G25" s="126"/>
      <c r="H25" s="126"/>
      <c r="I25" s="126"/>
      <c r="J25" s="126"/>
      <c r="K25" s="126"/>
      <c r="L25" s="829">
        <f t="shared" si="0"/>
        <v>0</v>
      </c>
    </row>
    <row r="26" spans="1:12" ht="26.25" customHeight="1">
      <c r="A26" s="1810" t="s">
        <v>1875</v>
      </c>
      <c r="B26" s="1811"/>
      <c r="C26" s="1811"/>
      <c r="D26" s="1812"/>
      <c r="E26" s="126"/>
      <c r="F26" s="126"/>
      <c r="G26" s="126"/>
      <c r="H26" s="126"/>
      <c r="I26" s="126"/>
      <c r="J26" s="126"/>
      <c r="K26" s="126"/>
      <c r="L26" s="829">
        <f t="shared" si="0"/>
        <v>0</v>
      </c>
    </row>
    <row r="27" spans="1:12" ht="26.25" customHeight="1">
      <c r="A27" s="1810" t="s">
        <v>1876</v>
      </c>
      <c r="B27" s="1811"/>
      <c r="C27" s="1811"/>
      <c r="D27" s="1812"/>
      <c r="E27" s="126"/>
      <c r="F27" s="126"/>
      <c r="G27" s="126"/>
      <c r="H27" s="126"/>
      <c r="I27" s="126"/>
      <c r="J27" s="126"/>
      <c r="K27" s="126"/>
      <c r="L27" s="829">
        <f t="shared" si="0"/>
        <v>0</v>
      </c>
    </row>
    <row r="28" spans="1:12" ht="30" customHeight="1">
      <c r="A28" s="1612" t="s">
        <v>1878</v>
      </c>
      <c r="B28" s="1613"/>
      <c r="C28" s="1613"/>
      <c r="D28" s="1613"/>
      <c r="E28" s="108">
        <f>SUM(E15:E27)</f>
        <v>0</v>
      </c>
      <c r="F28" s="108">
        <f t="shared" ref="F28:K28" si="2">SUM(F15:F27)</f>
        <v>0</v>
      </c>
      <c r="G28" s="108">
        <f t="shared" si="2"/>
        <v>0</v>
      </c>
      <c r="H28" s="108">
        <f t="shared" si="2"/>
        <v>0</v>
      </c>
      <c r="I28" s="108">
        <f t="shared" si="2"/>
        <v>0</v>
      </c>
      <c r="J28" s="108">
        <f t="shared" si="2"/>
        <v>0</v>
      </c>
      <c r="K28" s="108">
        <f t="shared" si="2"/>
        <v>0</v>
      </c>
      <c r="L28" s="872">
        <f t="shared" si="0"/>
        <v>0</v>
      </c>
    </row>
    <row r="29" spans="1:12" ht="15" thickBot="1">
      <c r="A29" s="1713" t="s">
        <v>1877</v>
      </c>
      <c r="B29" s="1714"/>
      <c r="C29" s="1714"/>
      <c r="D29" s="1714"/>
      <c r="E29" s="903">
        <f t="shared" ref="E29:K29" si="3">E14+E28</f>
        <v>0</v>
      </c>
      <c r="F29" s="903">
        <f t="shared" si="3"/>
        <v>0</v>
      </c>
      <c r="G29" s="903">
        <f t="shared" si="3"/>
        <v>0</v>
      </c>
      <c r="H29" s="903">
        <f t="shared" si="3"/>
        <v>0</v>
      </c>
      <c r="I29" s="903">
        <f t="shared" si="3"/>
        <v>0</v>
      </c>
      <c r="J29" s="903">
        <f t="shared" si="3"/>
        <v>0</v>
      </c>
      <c r="K29" s="903">
        <f t="shared" si="3"/>
        <v>0</v>
      </c>
      <c r="L29" s="906">
        <f t="shared" si="0"/>
        <v>0</v>
      </c>
    </row>
    <row r="30" spans="1:12">
      <c r="A30" s="581" t="s">
        <v>1791</v>
      </c>
    </row>
    <row r="31" spans="1:12">
      <c r="A31" s="641" t="s">
        <v>2005</v>
      </c>
    </row>
  </sheetData>
  <sheetProtection selectLockedCells="1"/>
  <mergeCells count="38">
    <mergeCell ref="C6:F6"/>
    <mergeCell ref="A7:L7"/>
    <mergeCell ref="L9:L10"/>
    <mergeCell ref="A1:L1"/>
    <mergeCell ref="K2:L2"/>
    <mergeCell ref="C5:F5"/>
    <mergeCell ref="H5:I5"/>
    <mergeCell ref="K4:L4"/>
    <mergeCell ref="K5:L5"/>
    <mergeCell ref="D3:L3"/>
    <mergeCell ref="B4:I4"/>
    <mergeCell ref="A8:D8"/>
    <mergeCell ref="F8:H8"/>
    <mergeCell ref="I8:K8"/>
    <mergeCell ref="A9:D9"/>
    <mergeCell ref="E9:E10"/>
    <mergeCell ref="A18:D18"/>
    <mergeCell ref="A17:D17"/>
    <mergeCell ref="A19:D19"/>
    <mergeCell ref="A14:D14"/>
    <mergeCell ref="A16:D16"/>
    <mergeCell ref="A15:D15"/>
    <mergeCell ref="F9:H9"/>
    <mergeCell ref="I9:K9"/>
    <mergeCell ref="A10:D10"/>
    <mergeCell ref="A29:D29"/>
    <mergeCell ref="A13:D13"/>
    <mergeCell ref="A12:D12"/>
    <mergeCell ref="A26:D26"/>
    <mergeCell ref="A27:D27"/>
    <mergeCell ref="A28:D28"/>
    <mergeCell ref="A24:D24"/>
    <mergeCell ref="A25:D25"/>
    <mergeCell ref="A21:D21"/>
    <mergeCell ref="A22:D22"/>
    <mergeCell ref="A23:D23"/>
    <mergeCell ref="A20:D20"/>
    <mergeCell ref="A11:D11"/>
  </mergeCells>
  <dataValidations count="1">
    <dataValidation type="whole" allowBlank="1" showInputMessage="1" showErrorMessage="1" errorTitle="Attention!" error="Valeur numérique attendue" sqref="E11:K11" xr:uid="{00000000-0002-0000-3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7">
    <pageSetUpPr fitToPage="1"/>
  </sheetPr>
  <dimension ref="A1:H38"/>
  <sheetViews>
    <sheetView showGridLines="0" topLeftCell="A16" workbookViewId="0">
      <selection activeCell="K30" sqref="K30"/>
    </sheetView>
  </sheetViews>
  <sheetFormatPr baseColWidth="10" defaultRowHeight="14.5"/>
  <cols>
    <col min="2" max="2" width="16.54296875" customWidth="1"/>
    <col min="3" max="3" width="2.453125" customWidth="1"/>
    <col min="4" max="4" width="11.453125" customWidth="1"/>
    <col min="5" max="5" width="22.1796875" customWidth="1"/>
    <col min="6" max="7" width="15.54296875" customWidth="1"/>
    <col min="8" max="8" width="12.54296875" customWidth="1"/>
  </cols>
  <sheetData>
    <row r="1" spans="1:8">
      <c r="A1" s="1134" t="s">
        <v>183</v>
      </c>
      <c r="B1" s="1134"/>
      <c r="C1" s="1134"/>
      <c r="D1" s="1134"/>
      <c r="E1" s="1134"/>
      <c r="F1" s="1134"/>
      <c r="G1" s="1134"/>
      <c r="H1" s="1134"/>
    </row>
    <row r="2" spans="1:8" ht="25" customHeight="1">
      <c r="A2" s="40"/>
      <c r="B2" s="40"/>
      <c r="C2" s="40"/>
      <c r="D2" s="40"/>
      <c r="E2" s="40"/>
      <c r="F2" s="40"/>
      <c r="G2" s="1135" t="s">
        <v>1129</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1604</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17.149999999999999" customHeight="1">
      <c r="A9" s="1502" t="s">
        <v>887</v>
      </c>
      <c r="B9" s="1503"/>
      <c r="C9" s="1503"/>
      <c r="D9" s="1503"/>
      <c r="E9" s="1504"/>
      <c r="F9" s="149"/>
      <c r="G9" s="149"/>
      <c r="H9" s="955" t="str">
        <f>IF(G9,(F9-G9)/G9,IF(ISBLANK(G9),"",IF(F9,IF( F9 &gt; 0,1,-1),"")))</f>
        <v/>
      </c>
    </row>
    <row r="10" spans="1:8" ht="17.149999999999999" customHeight="1">
      <c r="A10" s="1502" t="s">
        <v>888</v>
      </c>
      <c r="B10" s="1503"/>
      <c r="C10" s="1503"/>
      <c r="D10" s="1503"/>
      <c r="E10" s="1504"/>
      <c r="F10" s="149"/>
      <c r="G10" s="149"/>
      <c r="H10" s="955" t="str">
        <f t="shared" ref="H10:H30" si="0">IF(G10,(F10-G10)/G10,IF(ISBLANK(G10),"",IF(F10,IF( F10 &gt; 0,1,-1),"")))</f>
        <v/>
      </c>
    </row>
    <row r="11" spans="1:8" ht="17.149999999999999" customHeight="1">
      <c r="A11" s="1502" t="s">
        <v>889</v>
      </c>
      <c r="B11" s="1503"/>
      <c r="C11" s="1503"/>
      <c r="D11" s="1503"/>
      <c r="E11" s="1504"/>
      <c r="F11" s="149"/>
      <c r="G11" s="149"/>
      <c r="H11" s="955" t="str">
        <f t="shared" si="0"/>
        <v/>
      </c>
    </row>
    <row r="12" spans="1:8" ht="17.149999999999999" customHeight="1">
      <c r="A12" s="1502" t="s">
        <v>890</v>
      </c>
      <c r="B12" s="1503"/>
      <c r="C12" s="1503"/>
      <c r="D12" s="1503"/>
      <c r="E12" s="1504"/>
      <c r="F12" s="149"/>
      <c r="G12" s="149"/>
      <c r="H12" s="955" t="str">
        <f t="shared" si="0"/>
        <v/>
      </c>
    </row>
    <row r="13" spans="1:8" ht="17.149999999999999" customHeight="1">
      <c r="A13" s="1502" t="s">
        <v>891</v>
      </c>
      <c r="B13" s="1503"/>
      <c r="C13" s="1503"/>
      <c r="D13" s="1503"/>
      <c r="E13" s="1504"/>
      <c r="F13" s="149"/>
      <c r="G13" s="149"/>
      <c r="H13" s="955" t="str">
        <f t="shared" si="0"/>
        <v/>
      </c>
    </row>
    <row r="14" spans="1:8" ht="17.149999999999999" customHeight="1">
      <c r="A14" s="1502" t="s">
        <v>1340</v>
      </c>
      <c r="B14" s="1503"/>
      <c r="C14" s="1503"/>
      <c r="D14" s="1503"/>
      <c r="E14" s="1504"/>
      <c r="F14" s="149"/>
      <c r="G14" s="149"/>
      <c r="H14" s="955" t="str">
        <f t="shared" si="0"/>
        <v/>
      </c>
    </row>
    <row r="15" spans="1:8" ht="17.149999999999999" customHeight="1">
      <c r="A15" s="1502" t="s">
        <v>892</v>
      </c>
      <c r="B15" s="1503"/>
      <c r="C15" s="1503"/>
      <c r="D15" s="1503"/>
      <c r="E15" s="1504"/>
      <c r="F15" s="149"/>
      <c r="G15" s="149"/>
      <c r="H15" s="955" t="str">
        <f t="shared" si="0"/>
        <v/>
      </c>
    </row>
    <row r="16" spans="1:8" ht="27" customHeight="1">
      <c r="A16" s="1502" t="s">
        <v>1342</v>
      </c>
      <c r="B16" s="1503"/>
      <c r="C16" s="1503"/>
      <c r="D16" s="1503"/>
      <c r="E16" s="1504"/>
      <c r="F16" s="149"/>
      <c r="G16" s="149"/>
      <c r="H16" s="955" t="str">
        <f t="shared" si="0"/>
        <v/>
      </c>
    </row>
    <row r="17" spans="1:8" ht="17.149999999999999" customHeight="1">
      <c r="A17" s="1502" t="s">
        <v>1879</v>
      </c>
      <c r="B17" s="1503"/>
      <c r="C17" s="1503"/>
      <c r="D17" s="1503"/>
      <c r="E17" s="1504"/>
      <c r="F17" s="149"/>
      <c r="G17" s="149"/>
      <c r="H17" s="955" t="str">
        <f t="shared" si="0"/>
        <v/>
      </c>
    </row>
    <row r="18" spans="1:8" ht="27" customHeight="1">
      <c r="A18" s="1502" t="s">
        <v>1888</v>
      </c>
      <c r="B18" s="1503"/>
      <c r="C18" s="1503"/>
      <c r="D18" s="1503"/>
      <c r="E18" s="1504"/>
      <c r="F18" s="149"/>
      <c r="G18" s="149"/>
      <c r="H18" s="955" t="str">
        <f t="shared" si="0"/>
        <v/>
      </c>
    </row>
    <row r="19" spans="1:8" ht="17.149999999999999" customHeight="1">
      <c r="A19" s="1534" t="s">
        <v>1605</v>
      </c>
      <c r="B19" s="1535"/>
      <c r="C19" s="1535"/>
      <c r="D19" s="1535"/>
      <c r="E19" s="1536"/>
      <c r="F19" s="241">
        <f>SUM(F9:F18)</f>
        <v>0</v>
      </c>
      <c r="G19" s="241">
        <f>SUM(G9:G18)</f>
        <v>0</v>
      </c>
      <c r="H19" s="956" t="str">
        <f t="shared" si="0"/>
        <v/>
      </c>
    </row>
    <row r="20" spans="1:8" ht="17.149999999999999" customHeight="1">
      <c r="A20" s="1502" t="s">
        <v>893</v>
      </c>
      <c r="B20" s="1503"/>
      <c r="C20" s="1503"/>
      <c r="D20" s="1503"/>
      <c r="E20" s="1504"/>
      <c r="F20" s="126"/>
      <c r="G20" s="126"/>
      <c r="H20" s="955" t="str">
        <f t="shared" si="0"/>
        <v/>
      </c>
    </row>
    <row r="21" spans="1:8" ht="17.149999999999999" customHeight="1">
      <c r="A21" s="1502" t="s">
        <v>1880</v>
      </c>
      <c r="B21" s="1503"/>
      <c r="C21" s="1503"/>
      <c r="D21" s="1503"/>
      <c r="E21" s="1504"/>
      <c r="F21" s="126"/>
      <c r="G21" s="126"/>
      <c r="H21" s="955" t="str">
        <f t="shared" si="0"/>
        <v/>
      </c>
    </row>
    <row r="22" spans="1:8" ht="17.149999999999999" customHeight="1">
      <c r="A22" s="1502" t="s">
        <v>894</v>
      </c>
      <c r="B22" s="1503"/>
      <c r="C22" s="1503"/>
      <c r="D22" s="1503"/>
      <c r="E22" s="1504"/>
      <c r="F22" s="126"/>
      <c r="G22" s="126"/>
      <c r="H22" s="955" t="str">
        <f t="shared" si="0"/>
        <v/>
      </c>
    </row>
    <row r="23" spans="1:8" ht="17.149999999999999" customHeight="1">
      <c r="A23" s="1502" t="s">
        <v>895</v>
      </c>
      <c r="B23" s="1503"/>
      <c r="C23" s="1503"/>
      <c r="D23" s="1503"/>
      <c r="E23" s="1504"/>
      <c r="F23" s="126"/>
      <c r="G23" s="126"/>
      <c r="H23" s="955" t="str">
        <f t="shared" si="0"/>
        <v/>
      </c>
    </row>
    <row r="24" spans="1:8" ht="17.149999999999999" customHeight="1">
      <c r="A24" s="1502" t="s">
        <v>1882</v>
      </c>
      <c r="B24" s="1503"/>
      <c r="C24" s="1503"/>
      <c r="D24" s="1503"/>
      <c r="E24" s="1504"/>
      <c r="F24" s="126"/>
      <c r="G24" s="126"/>
      <c r="H24" s="955" t="str">
        <f t="shared" si="0"/>
        <v/>
      </c>
    </row>
    <row r="25" spans="1:8" ht="17.149999999999999" customHeight="1">
      <c r="A25" s="1502" t="s">
        <v>1881</v>
      </c>
      <c r="B25" s="1503"/>
      <c r="C25" s="1503"/>
      <c r="D25" s="1503"/>
      <c r="E25" s="1504"/>
      <c r="F25" s="126"/>
      <c r="G25" s="126"/>
      <c r="H25" s="955" t="str">
        <f t="shared" si="0"/>
        <v/>
      </c>
    </row>
    <row r="26" spans="1:8" ht="17.149999999999999" customHeight="1">
      <c r="A26" s="1502" t="s">
        <v>896</v>
      </c>
      <c r="B26" s="1503"/>
      <c r="C26" s="1503"/>
      <c r="D26" s="1503"/>
      <c r="E26" s="1504"/>
      <c r="F26" s="126"/>
      <c r="G26" s="126"/>
      <c r="H26" s="955" t="str">
        <f t="shared" si="0"/>
        <v/>
      </c>
    </row>
    <row r="27" spans="1:8" ht="17.149999999999999" customHeight="1">
      <c r="A27" s="1502" t="s">
        <v>897</v>
      </c>
      <c r="B27" s="1503"/>
      <c r="C27" s="1503"/>
      <c r="D27" s="1503"/>
      <c r="E27" s="1504"/>
      <c r="F27" s="126"/>
      <c r="G27" s="126"/>
      <c r="H27" s="955" t="str">
        <f t="shared" si="0"/>
        <v/>
      </c>
    </row>
    <row r="28" spans="1:8" ht="27" customHeight="1">
      <c r="A28" s="1502" t="s">
        <v>1889</v>
      </c>
      <c r="B28" s="1503"/>
      <c r="C28" s="1503"/>
      <c r="D28" s="1503"/>
      <c r="E28" s="1504"/>
      <c r="F28" s="126"/>
      <c r="G28" s="126"/>
      <c r="H28" s="955" t="str">
        <f t="shared" si="0"/>
        <v/>
      </c>
    </row>
    <row r="29" spans="1:8" ht="21" customHeight="1">
      <c r="A29" s="1534" t="s">
        <v>1606</v>
      </c>
      <c r="B29" s="1535"/>
      <c r="C29" s="1535"/>
      <c r="D29" s="1535"/>
      <c r="E29" s="1536"/>
      <c r="F29" s="124">
        <f>SUM(F20:F28)</f>
        <v>0</v>
      </c>
      <c r="G29" s="124">
        <f>SUM(G20:G28)</f>
        <v>0</v>
      </c>
      <c r="H29" s="956" t="str">
        <f t="shared" si="0"/>
        <v/>
      </c>
    </row>
    <row r="30" spans="1:8" ht="21" customHeight="1" thickBot="1">
      <c r="A30" s="1445" t="s">
        <v>1607</v>
      </c>
      <c r="B30" s="1446"/>
      <c r="C30" s="1446"/>
      <c r="D30" s="1446"/>
      <c r="E30" s="1446"/>
      <c r="F30" s="834">
        <f>F29-F19</f>
        <v>0</v>
      </c>
      <c r="G30" s="834">
        <f>G29-G19</f>
        <v>0</v>
      </c>
      <c r="H30" s="957" t="str">
        <f t="shared" si="0"/>
        <v/>
      </c>
    </row>
    <row r="31" spans="1:8" s="3" customFormat="1" ht="13.5" customHeight="1">
      <c r="A31" s="581" t="s">
        <v>1792</v>
      </c>
    </row>
    <row r="32" spans="1:8" s="440" customFormat="1" ht="10.5">
      <c r="A32" s="641" t="s">
        <v>1983</v>
      </c>
    </row>
    <row r="33" spans="1:1" s="440" customFormat="1" ht="10.5">
      <c r="A33" s="641" t="s">
        <v>2006</v>
      </c>
    </row>
    <row r="34" spans="1:1" s="58" customFormat="1" ht="10.5">
      <c r="A34" s="648" t="s">
        <v>1883</v>
      </c>
    </row>
    <row r="35" spans="1:1" s="58" customFormat="1" ht="10.5">
      <c r="A35" s="648" t="s">
        <v>1884</v>
      </c>
    </row>
    <row r="36" spans="1:1" s="58" customFormat="1" ht="10.5">
      <c r="A36" s="649" t="s">
        <v>1885</v>
      </c>
    </row>
    <row r="37" spans="1:1" s="58" customFormat="1" ht="10.5">
      <c r="A37" s="648" t="s">
        <v>1886</v>
      </c>
    </row>
    <row r="38" spans="1:1" s="58" customFormat="1" ht="10.5">
      <c r="A38" s="648" t="s">
        <v>1887</v>
      </c>
    </row>
  </sheetData>
  <sheetProtection selectLockedCells="1"/>
  <mergeCells count="30">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30:E30"/>
    <mergeCell ref="A20:E20"/>
    <mergeCell ref="A21:E21"/>
    <mergeCell ref="A22:E22"/>
    <mergeCell ref="A23:E23"/>
    <mergeCell ref="A25:E25"/>
    <mergeCell ref="A26:E26"/>
    <mergeCell ref="A27:E27"/>
    <mergeCell ref="A28:E28"/>
    <mergeCell ref="A29:E29"/>
    <mergeCell ref="A24:E24"/>
  </mergeCells>
  <dataValidations count="1">
    <dataValidation type="whole" allowBlank="1" showInputMessage="1" showErrorMessage="1" errorTitle="Attention!" error="Valeur numérique attendue" sqref="F9:G18 F20:G28" xr:uid="{00000000-0002-0000-3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8">
    <pageSetUpPr fitToPage="1"/>
  </sheetPr>
  <dimension ref="A1:H42"/>
  <sheetViews>
    <sheetView showGridLines="0" topLeftCell="A21" workbookViewId="0">
      <selection activeCell="N10" sqref="N10"/>
    </sheetView>
  </sheetViews>
  <sheetFormatPr baseColWidth="10" defaultColWidth="11.453125" defaultRowHeight="14.5"/>
  <cols>
    <col min="2" max="2" width="16.54296875" customWidth="1"/>
    <col min="3" max="3" width="2.453125" customWidth="1"/>
    <col min="4" max="4" width="11.453125" customWidth="1"/>
    <col min="5" max="5" width="20.54296875" customWidth="1"/>
    <col min="6" max="7" width="15.54296875" customWidth="1"/>
    <col min="8" max="8" width="12.54296875" customWidth="1"/>
  </cols>
  <sheetData>
    <row r="1" spans="1:8">
      <c r="A1" s="1134" t="s">
        <v>183</v>
      </c>
      <c r="B1" s="1134"/>
      <c r="C1" s="1134"/>
      <c r="D1" s="1134"/>
      <c r="E1" s="1134"/>
      <c r="F1" s="1134"/>
      <c r="G1" s="1134"/>
      <c r="H1" s="1134"/>
    </row>
    <row r="2" spans="1:8" ht="25" customHeight="1">
      <c r="A2" s="40"/>
      <c r="B2" s="40"/>
      <c r="C2" s="40"/>
      <c r="D2" s="40"/>
      <c r="E2" s="40"/>
      <c r="F2" s="40"/>
      <c r="G2" s="1135" t="s">
        <v>1130</v>
      </c>
      <c r="H2" s="1460"/>
    </row>
    <row r="3" spans="1:8" s="132" customFormat="1" ht="15" customHeight="1">
      <c r="A3" s="7" t="s">
        <v>26</v>
      </c>
      <c r="B3" s="7"/>
      <c r="C3" s="1221">
        <f>'NOTE 21'!C3</f>
        <v>0</v>
      </c>
      <c r="D3" s="1221"/>
      <c r="E3" s="1221"/>
      <c r="F3" s="1221"/>
      <c r="G3" s="1221"/>
      <c r="H3" s="1221"/>
    </row>
    <row r="4" spans="1:8" s="132" customFormat="1" ht="15" customHeight="1">
      <c r="A4" s="7" t="s">
        <v>27</v>
      </c>
      <c r="B4" s="1221">
        <f>'NOTE 21'!B4</f>
        <v>0</v>
      </c>
      <c r="C4" s="1223"/>
      <c r="D4" s="1223"/>
      <c r="E4" s="1223"/>
      <c r="F4" s="1223"/>
      <c r="G4" s="61" t="s">
        <v>28</v>
      </c>
      <c r="H4" s="44">
        <f>'NOTE 21'!H4</f>
        <v>0</v>
      </c>
    </row>
    <row r="5" spans="1:8" s="132" customFormat="1" ht="15" customHeight="1">
      <c r="A5" s="7" t="s">
        <v>2021</v>
      </c>
      <c r="B5" s="7"/>
      <c r="C5" s="1223">
        <f>'NOTE 21'!C5</f>
        <v>0</v>
      </c>
      <c r="D5" s="1223"/>
      <c r="E5" s="43" t="s">
        <v>30</v>
      </c>
      <c r="F5" s="365">
        <f>'NOTE 21'!F5</f>
        <v>0</v>
      </c>
      <c r="G5" s="61" t="s">
        <v>31</v>
      </c>
      <c r="H5" s="111">
        <f>'NOTE 21'!H5</f>
        <v>0</v>
      </c>
    </row>
    <row r="6" spans="1:8" s="132" customFormat="1" ht="15" customHeight="1">
      <c r="A6" s="268" t="s">
        <v>2024</v>
      </c>
      <c r="B6" s="7"/>
      <c r="C6" s="1461">
        <f>'NOTE 21'!C6</f>
        <v>0</v>
      </c>
      <c r="D6" s="1461"/>
      <c r="E6" s="262"/>
      <c r="F6" s="44"/>
      <c r="G6" s="263"/>
      <c r="H6" s="44"/>
    </row>
    <row r="7" spans="1:8" ht="35.15" customHeight="1" thickBot="1">
      <c r="A7" s="1169" t="s">
        <v>1608</v>
      </c>
      <c r="B7" s="1169"/>
      <c r="C7" s="1169"/>
      <c r="D7" s="1169"/>
      <c r="E7" s="1169"/>
      <c r="F7" s="1169"/>
      <c r="G7" s="1169"/>
      <c r="H7" s="1169"/>
    </row>
    <row r="8" spans="1:8" ht="33" customHeight="1">
      <c r="A8" s="1686" t="s">
        <v>525</v>
      </c>
      <c r="B8" s="1687"/>
      <c r="C8" s="1687"/>
      <c r="D8" s="1687"/>
      <c r="E8" s="1687"/>
      <c r="F8" s="882" t="s">
        <v>526</v>
      </c>
      <c r="G8" s="882" t="s">
        <v>527</v>
      </c>
      <c r="H8" s="884" t="s">
        <v>546</v>
      </c>
    </row>
    <row r="9" spans="1:8" ht="18" customHeight="1">
      <c r="A9" s="1828" t="s">
        <v>1890</v>
      </c>
      <c r="B9" s="1831"/>
      <c r="C9" s="1831"/>
      <c r="D9" s="1831"/>
      <c r="E9" s="1832"/>
      <c r="F9" s="628"/>
      <c r="G9" s="628"/>
      <c r="H9" s="955" t="str">
        <f>IF(G9,(F9-G9)/G9,IF(ISBLANK(G9),"",IF(F9,IF( F9 &gt; 0,1,-1),"")))</f>
        <v/>
      </c>
    </row>
    <row r="10" spans="1:8" ht="18" customHeight="1">
      <c r="A10" s="1822"/>
      <c r="B10" s="1823"/>
      <c r="C10" s="1823"/>
      <c r="D10" s="1823"/>
      <c r="E10" s="1824"/>
      <c r="F10" s="149"/>
      <c r="G10" s="149"/>
      <c r="H10" s="955" t="str">
        <f t="shared" ref="H10:H39" si="0">IF(G10,(F10-G10)/G10,IF(ISBLANK(G10),"",IF(F10,IF( F10 &gt; 0,1,-1),"")))</f>
        <v/>
      </c>
    </row>
    <row r="11" spans="1:8" ht="18" customHeight="1">
      <c r="A11" s="1822"/>
      <c r="B11" s="1823"/>
      <c r="C11" s="1823"/>
      <c r="D11" s="1823"/>
      <c r="E11" s="1824"/>
      <c r="F11" s="149"/>
      <c r="G11" s="149"/>
      <c r="H11" s="955" t="str">
        <f t="shared" si="0"/>
        <v/>
      </c>
    </row>
    <row r="12" spans="1:8" ht="18" customHeight="1">
      <c r="A12" s="1822"/>
      <c r="B12" s="1823"/>
      <c r="C12" s="1823"/>
      <c r="D12" s="1823"/>
      <c r="E12" s="1824"/>
      <c r="F12" s="149"/>
      <c r="G12" s="149"/>
      <c r="H12" s="955" t="str">
        <f t="shared" si="0"/>
        <v/>
      </c>
    </row>
    <row r="13" spans="1:8" ht="18" customHeight="1">
      <c r="A13" s="1822"/>
      <c r="B13" s="1823"/>
      <c r="C13" s="1823"/>
      <c r="D13" s="1823"/>
      <c r="E13" s="1824"/>
      <c r="F13" s="149"/>
      <c r="G13" s="149"/>
      <c r="H13" s="955" t="str">
        <f t="shared" si="0"/>
        <v/>
      </c>
    </row>
    <row r="14" spans="1:8" ht="18" customHeight="1">
      <c r="A14" s="1822"/>
      <c r="B14" s="1823"/>
      <c r="C14" s="1823"/>
      <c r="D14" s="1823"/>
      <c r="E14" s="1824"/>
      <c r="F14" s="149"/>
      <c r="G14" s="149"/>
      <c r="H14" s="955" t="str">
        <f t="shared" si="0"/>
        <v/>
      </c>
    </row>
    <row r="15" spans="1:8" ht="18" customHeight="1">
      <c r="A15" s="1822"/>
      <c r="B15" s="1823"/>
      <c r="C15" s="1823"/>
      <c r="D15" s="1823"/>
      <c r="E15" s="1824"/>
      <c r="F15" s="149"/>
      <c r="G15" s="149"/>
      <c r="H15" s="955" t="str">
        <f t="shared" si="0"/>
        <v/>
      </c>
    </row>
    <row r="16" spans="1:8" ht="18" customHeight="1">
      <c r="A16" s="1502" t="s">
        <v>1892</v>
      </c>
      <c r="B16" s="1503"/>
      <c r="C16" s="1503"/>
      <c r="D16" s="1503"/>
      <c r="E16" s="1504"/>
      <c r="F16" s="149"/>
      <c r="G16" s="149"/>
      <c r="H16" s="955" t="str">
        <f t="shared" si="0"/>
        <v/>
      </c>
    </row>
    <row r="17" spans="1:8" ht="18" customHeight="1">
      <c r="A17" s="1502" t="s">
        <v>898</v>
      </c>
      <c r="B17" s="1503"/>
      <c r="C17" s="1503"/>
      <c r="D17" s="1503"/>
      <c r="E17" s="1504"/>
      <c r="F17" s="149"/>
      <c r="G17" s="149"/>
      <c r="H17" s="955" t="str">
        <f t="shared" si="0"/>
        <v/>
      </c>
    </row>
    <row r="18" spans="1:8" ht="18" customHeight="1">
      <c r="A18" s="1502" t="s">
        <v>899</v>
      </c>
      <c r="B18" s="1503"/>
      <c r="C18" s="1503"/>
      <c r="D18" s="1503"/>
      <c r="E18" s="1504"/>
      <c r="F18" s="149"/>
      <c r="G18" s="149"/>
      <c r="H18" s="955" t="str">
        <f t="shared" si="0"/>
        <v/>
      </c>
    </row>
    <row r="19" spans="1:8" ht="18" customHeight="1">
      <c r="A19" s="1502" t="s">
        <v>900</v>
      </c>
      <c r="B19" s="1503"/>
      <c r="C19" s="1503"/>
      <c r="D19" s="1503"/>
      <c r="E19" s="1504"/>
      <c r="F19" s="149"/>
      <c r="G19" s="149"/>
      <c r="H19" s="955" t="str">
        <f t="shared" si="0"/>
        <v/>
      </c>
    </row>
    <row r="20" spans="1:8" ht="18" customHeight="1">
      <c r="A20" s="1502" t="s">
        <v>1891</v>
      </c>
      <c r="B20" s="1503"/>
      <c r="C20" s="1503"/>
      <c r="D20" s="1503"/>
      <c r="E20" s="1504"/>
      <c r="F20" s="149"/>
      <c r="G20" s="149"/>
      <c r="H20" s="955" t="str">
        <f t="shared" si="0"/>
        <v/>
      </c>
    </row>
    <row r="21" spans="1:8" ht="18" customHeight="1">
      <c r="A21" s="1502" t="s">
        <v>901</v>
      </c>
      <c r="B21" s="1503"/>
      <c r="C21" s="1503"/>
      <c r="D21" s="1503"/>
      <c r="E21" s="1504"/>
      <c r="F21" s="149"/>
      <c r="G21" s="149"/>
      <c r="H21" s="955" t="str">
        <f t="shared" si="0"/>
        <v/>
      </c>
    </row>
    <row r="22" spans="1:8" ht="18" customHeight="1">
      <c r="A22" s="1502" t="s">
        <v>398</v>
      </c>
      <c r="B22" s="1503"/>
      <c r="C22" s="1503"/>
      <c r="D22" s="1503"/>
      <c r="E22" s="1504"/>
      <c r="F22" s="149"/>
      <c r="G22" s="149"/>
      <c r="H22" s="955" t="str">
        <f t="shared" si="0"/>
        <v/>
      </c>
    </row>
    <row r="23" spans="1:8" ht="18" customHeight="1">
      <c r="A23" s="1534" t="s">
        <v>1609</v>
      </c>
      <c r="B23" s="1535"/>
      <c r="C23" s="1535"/>
      <c r="D23" s="1535"/>
      <c r="E23" s="1536"/>
      <c r="F23" s="124">
        <f>SUM(F10:F22)</f>
        <v>0</v>
      </c>
      <c r="G23" s="124">
        <f>SUM(G10:G22)</f>
        <v>0</v>
      </c>
      <c r="H23" s="956" t="str">
        <f>IF(G23,(F23-G23)/G23,IF(ISBLANK(G23),"",IF(F23,IF( F23 &gt; 0,1,-1),"")))</f>
        <v/>
      </c>
    </row>
    <row r="24" spans="1:8" ht="18" customHeight="1">
      <c r="A24" s="1828" t="s">
        <v>1893</v>
      </c>
      <c r="B24" s="1829"/>
      <c r="C24" s="1829"/>
      <c r="D24" s="1829"/>
      <c r="E24" s="1830"/>
      <c r="F24" s="109"/>
      <c r="G24" s="109"/>
      <c r="H24" s="955" t="str">
        <f t="shared" si="0"/>
        <v/>
      </c>
    </row>
    <row r="25" spans="1:8" ht="18" customHeight="1">
      <c r="A25" s="1822"/>
      <c r="B25" s="1823"/>
      <c r="C25" s="1823"/>
      <c r="D25" s="1823"/>
      <c r="E25" s="1824"/>
      <c r="F25" s="126"/>
      <c r="G25" s="126"/>
      <c r="H25" s="955" t="str">
        <f t="shared" si="0"/>
        <v/>
      </c>
    </row>
    <row r="26" spans="1:8" ht="18" customHeight="1">
      <c r="A26" s="1822"/>
      <c r="B26" s="1823"/>
      <c r="C26" s="1823"/>
      <c r="D26" s="1823"/>
      <c r="E26" s="1824"/>
      <c r="F26" s="126"/>
      <c r="G26" s="126"/>
      <c r="H26" s="955" t="str">
        <f t="shared" si="0"/>
        <v/>
      </c>
    </row>
    <row r="27" spans="1:8" ht="18" customHeight="1">
      <c r="A27" s="1822"/>
      <c r="B27" s="1823"/>
      <c r="C27" s="1823"/>
      <c r="D27" s="1823"/>
      <c r="E27" s="1824"/>
      <c r="F27" s="126"/>
      <c r="G27" s="126"/>
      <c r="H27" s="955" t="str">
        <f t="shared" si="0"/>
        <v/>
      </c>
    </row>
    <row r="28" spans="1:8" ht="18" customHeight="1">
      <c r="A28" s="1822"/>
      <c r="B28" s="1823"/>
      <c r="C28" s="1823"/>
      <c r="D28" s="1823"/>
      <c r="E28" s="1824"/>
      <c r="F28" s="126"/>
      <c r="G28" s="126"/>
      <c r="H28" s="955" t="str">
        <f t="shared" si="0"/>
        <v/>
      </c>
    </row>
    <row r="29" spans="1:8" ht="18" customHeight="1">
      <c r="A29" s="1822"/>
      <c r="B29" s="1823"/>
      <c r="C29" s="1823"/>
      <c r="D29" s="1823"/>
      <c r="E29" s="1824"/>
      <c r="F29" s="126"/>
      <c r="G29" s="126"/>
      <c r="H29" s="955" t="str">
        <f t="shared" si="0"/>
        <v/>
      </c>
    </row>
    <row r="30" spans="1:8" ht="18" customHeight="1">
      <c r="A30" s="1822"/>
      <c r="B30" s="1823"/>
      <c r="C30" s="1823"/>
      <c r="D30" s="1823"/>
      <c r="E30" s="1824"/>
      <c r="F30" s="126"/>
      <c r="G30" s="126"/>
      <c r="H30" s="955" t="str">
        <f t="shared" si="0"/>
        <v/>
      </c>
    </row>
    <row r="31" spans="1:8" ht="18" customHeight="1">
      <c r="A31" s="1825" t="s">
        <v>1894</v>
      </c>
      <c r="B31" s="1826"/>
      <c r="C31" s="1826"/>
      <c r="D31" s="1826"/>
      <c r="E31" s="1827"/>
      <c r="F31" s="126"/>
      <c r="G31" s="126"/>
      <c r="H31" s="955" t="str">
        <f t="shared" si="0"/>
        <v/>
      </c>
    </row>
    <row r="32" spans="1:8" ht="18" customHeight="1">
      <c r="A32" s="1758" t="s">
        <v>1895</v>
      </c>
      <c r="B32" s="1759"/>
      <c r="C32" s="1759"/>
      <c r="D32" s="1759"/>
      <c r="E32" s="1760"/>
      <c r="F32" s="126"/>
      <c r="G32" s="126"/>
      <c r="H32" s="955" t="str">
        <f t="shared" si="0"/>
        <v/>
      </c>
    </row>
    <row r="33" spans="1:8" ht="18" customHeight="1">
      <c r="A33" s="1758" t="s">
        <v>903</v>
      </c>
      <c r="B33" s="1759"/>
      <c r="C33" s="1759"/>
      <c r="D33" s="1759"/>
      <c r="E33" s="1760"/>
      <c r="F33" s="126"/>
      <c r="G33" s="126"/>
      <c r="H33" s="955" t="str">
        <f t="shared" si="0"/>
        <v/>
      </c>
    </row>
    <row r="34" spans="1:8" ht="18" customHeight="1">
      <c r="A34" s="1758" t="s">
        <v>904</v>
      </c>
      <c r="B34" s="1759"/>
      <c r="C34" s="1759"/>
      <c r="D34" s="1759"/>
      <c r="E34" s="1760"/>
      <c r="F34" s="126"/>
      <c r="G34" s="126"/>
      <c r="H34" s="955" t="str">
        <f t="shared" si="0"/>
        <v/>
      </c>
    </row>
    <row r="35" spans="1:8" ht="18" customHeight="1">
      <c r="A35" s="1825" t="s">
        <v>1896</v>
      </c>
      <c r="B35" s="1826"/>
      <c r="C35" s="1826"/>
      <c r="D35" s="1826"/>
      <c r="E35" s="1827"/>
      <c r="F35" s="126"/>
      <c r="G35" s="126"/>
      <c r="H35" s="955" t="str">
        <f t="shared" si="0"/>
        <v/>
      </c>
    </row>
    <row r="36" spans="1:8" ht="27.75" customHeight="1">
      <c r="A36" s="1758" t="s">
        <v>1897</v>
      </c>
      <c r="B36" s="1759"/>
      <c r="C36" s="1759"/>
      <c r="D36" s="1759"/>
      <c r="E36" s="1760"/>
      <c r="F36" s="126"/>
      <c r="G36" s="126"/>
      <c r="H36" s="955" t="str">
        <f t="shared" si="0"/>
        <v/>
      </c>
    </row>
    <row r="37" spans="1:8" ht="18.75" customHeight="1">
      <c r="A37" s="1758" t="s">
        <v>1898</v>
      </c>
      <c r="B37" s="1759"/>
      <c r="C37" s="1759"/>
      <c r="D37" s="1759"/>
      <c r="E37" s="1760"/>
      <c r="F37" s="126"/>
      <c r="G37" s="126"/>
      <c r="H37" s="955" t="str">
        <f t="shared" si="0"/>
        <v/>
      </c>
    </row>
    <row r="38" spans="1:8" ht="18" customHeight="1">
      <c r="A38" s="1758" t="s">
        <v>902</v>
      </c>
      <c r="B38" s="1759"/>
      <c r="C38" s="1759"/>
      <c r="D38" s="1759"/>
      <c r="E38" s="1760"/>
      <c r="F38" s="126"/>
      <c r="G38" s="126"/>
      <c r="H38" s="955" t="str">
        <f t="shared" si="0"/>
        <v/>
      </c>
    </row>
    <row r="39" spans="1:8" ht="18" customHeight="1" thickBot="1">
      <c r="A39" s="1819" t="s">
        <v>1610</v>
      </c>
      <c r="B39" s="1820"/>
      <c r="C39" s="1820"/>
      <c r="D39" s="1820"/>
      <c r="E39" s="1821"/>
      <c r="F39" s="870">
        <f>SUM(F25:F38)</f>
        <v>0</v>
      </c>
      <c r="G39" s="870">
        <f>SUM(G25:G38)</f>
        <v>0</v>
      </c>
      <c r="H39" s="959" t="str">
        <f t="shared" si="0"/>
        <v/>
      </c>
    </row>
    <row r="40" spans="1:8">
      <c r="A40" s="958" t="s">
        <v>1611</v>
      </c>
    </row>
    <row r="41" spans="1:8" s="3" customFormat="1" ht="12" customHeight="1">
      <c r="A41" s="581" t="s">
        <v>1792</v>
      </c>
    </row>
    <row r="42" spans="1:8" s="3" customFormat="1" ht="12" customHeight="1">
      <c r="A42" s="650" t="s">
        <v>1819</v>
      </c>
    </row>
  </sheetData>
  <sheetProtection selectLockedCells="1"/>
  <mergeCells count="39">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28:E28"/>
    <mergeCell ref="A20:E20"/>
    <mergeCell ref="A21:E21"/>
    <mergeCell ref="A22:E22"/>
    <mergeCell ref="A23:E23"/>
    <mergeCell ref="A24:E24"/>
    <mergeCell ref="A25:E25"/>
    <mergeCell ref="A26:E26"/>
    <mergeCell ref="A27:E27"/>
    <mergeCell ref="A39:E39"/>
    <mergeCell ref="A29:E29"/>
    <mergeCell ref="A30:E30"/>
    <mergeCell ref="A31:E31"/>
    <mergeCell ref="A32:E32"/>
    <mergeCell ref="A33:E33"/>
    <mergeCell ref="A34:E34"/>
    <mergeCell ref="A35:E35"/>
    <mergeCell ref="A36:E36"/>
    <mergeCell ref="A37:E37"/>
    <mergeCell ref="A38:E38"/>
  </mergeCells>
  <dataValidations count="1">
    <dataValidation type="whole" allowBlank="1" showInputMessage="1" showErrorMessage="1" errorTitle="Attention!" error="Valeur numérique attendue" sqref="F9:G22 F24:G38" xr:uid="{00000000-0002-0000-3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59">
    <pageSetUpPr fitToPage="1"/>
  </sheetPr>
  <dimension ref="A1:K37"/>
  <sheetViews>
    <sheetView showGridLines="0" topLeftCell="A11" workbookViewId="0">
      <selection activeCell="K14" sqref="K14"/>
    </sheetView>
  </sheetViews>
  <sheetFormatPr baseColWidth="10" defaultRowHeight="14.5"/>
  <cols>
    <col min="2" max="2" width="17.1796875" customWidth="1"/>
    <col min="4" max="4" width="2.81640625" customWidth="1"/>
    <col min="5" max="5" width="14.453125" customWidth="1"/>
    <col min="6" max="6" width="20.453125" customWidth="1"/>
    <col min="7" max="11" width="15.54296875" customWidth="1"/>
  </cols>
  <sheetData>
    <row r="1" spans="1:11">
      <c r="A1" s="1134" t="s">
        <v>183</v>
      </c>
      <c r="B1" s="1134"/>
      <c r="C1" s="1134"/>
      <c r="D1" s="1134"/>
      <c r="E1" s="1134"/>
      <c r="F1" s="1134"/>
      <c r="G1" s="1134"/>
      <c r="H1" s="1134"/>
      <c r="I1" s="1134"/>
      <c r="J1" s="1134"/>
      <c r="K1" s="1134"/>
    </row>
    <row r="2" spans="1:11" ht="22.5" customHeight="1">
      <c r="A2" s="40"/>
      <c r="B2" s="40"/>
      <c r="C2" s="40"/>
      <c r="D2" s="40"/>
      <c r="E2" s="40"/>
      <c r="F2" s="40"/>
      <c r="J2" s="1135" t="s">
        <v>1131</v>
      </c>
      <c r="K2" s="1137"/>
    </row>
    <row r="3" spans="1:11" s="132" customFormat="1" ht="15" customHeight="1">
      <c r="A3" s="7" t="s">
        <v>26</v>
      </c>
      <c r="B3" s="7"/>
      <c r="C3" s="1221"/>
      <c r="D3" s="1221"/>
      <c r="E3" s="1221"/>
      <c r="F3" s="1221"/>
      <c r="G3" s="1221"/>
      <c r="H3" s="1221"/>
      <c r="I3" s="1221"/>
      <c r="J3" s="1221"/>
      <c r="K3" s="1221"/>
    </row>
    <row r="4" spans="1:11" s="132" customFormat="1" ht="15" customHeight="1">
      <c r="A4" s="7" t="s">
        <v>27</v>
      </c>
      <c r="B4" s="1221"/>
      <c r="C4" s="1221"/>
      <c r="D4" s="1221"/>
      <c r="E4" s="1221"/>
      <c r="F4" s="1221"/>
      <c r="G4" s="1221"/>
      <c r="H4" s="1221"/>
      <c r="I4" s="1221"/>
      <c r="J4" s="61" t="s">
        <v>28</v>
      </c>
      <c r="K4" s="44"/>
    </row>
    <row r="5" spans="1:11" s="132" customFormat="1" ht="15" customHeight="1">
      <c r="A5" s="7" t="s">
        <v>2021</v>
      </c>
      <c r="B5" s="7"/>
      <c r="C5" s="1221"/>
      <c r="D5" s="1221"/>
      <c r="E5" s="1221"/>
      <c r="F5" s="1221"/>
      <c r="G5" s="43" t="s">
        <v>30</v>
      </c>
      <c r="H5" s="1215"/>
      <c r="I5" s="1215"/>
      <c r="J5" s="61" t="s">
        <v>31</v>
      </c>
      <c r="K5" s="111"/>
    </row>
    <row r="6" spans="1:11" s="132" customFormat="1" ht="15" customHeight="1">
      <c r="A6" s="268" t="s">
        <v>2024</v>
      </c>
      <c r="B6" s="7"/>
      <c r="C6" s="1461"/>
      <c r="D6" s="1461"/>
      <c r="E6" s="1461"/>
      <c r="F6" s="1461"/>
      <c r="G6" s="262"/>
      <c r="H6" s="44"/>
      <c r="I6" s="44"/>
      <c r="J6" s="263"/>
      <c r="K6" s="44"/>
    </row>
    <row r="7" spans="1:11" ht="27.75" customHeight="1" thickBot="1">
      <c r="A7" s="1169" t="s">
        <v>1612</v>
      </c>
      <c r="B7" s="1169"/>
      <c r="C7" s="1169"/>
      <c r="D7" s="1169"/>
      <c r="E7" s="1169"/>
      <c r="F7" s="1169"/>
      <c r="G7" s="1169"/>
      <c r="H7" s="1169"/>
      <c r="I7" s="1169"/>
      <c r="J7" s="1169"/>
      <c r="K7" s="1169"/>
    </row>
    <row r="8" spans="1:11" ht="12.75" customHeight="1">
      <c r="A8" s="1834" t="s">
        <v>905</v>
      </c>
      <c r="B8" s="1835"/>
      <c r="C8" s="1835"/>
      <c r="D8" s="1835"/>
      <c r="E8" s="1835"/>
      <c r="F8" s="1836"/>
      <c r="G8" s="1837" t="s">
        <v>404</v>
      </c>
      <c r="H8" s="1837" t="s">
        <v>405</v>
      </c>
      <c r="I8" s="1837" t="s">
        <v>906</v>
      </c>
      <c r="J8" s="1837" t="s">
        <v>907</v>
      </c>
      <c r="K8" s="1839" t="s">
        <v>908</v>
      </c>
    </row>
    <row r="9" spans="1:11" ht="15" customHeight="1">
      <c r="A9" s="1841" t="s">
        <v>909</v>
      </c>
      <c r="B9" s="1842"/>
      <c r="C9" s="1842"/>
      <c r="D9" s="1842"/>
      <c r="E9" s="1842"/>
      <c r="F9" s="1843"/>
      <c r="G9" s="1838"/>
      <c r="H9" s="1838"/>
      <c r="I9" s="1838"/>
      <c r="J9" s="1838"/>
      <c r="K9" s="1840"/>
    </row>
    <row r="10" spans="1:11" ht="15" customHeight="1">
      <c r="A10" s="1612" t="s">
        <v>1132</v>
      </c>
      <c r="B10" s="1613"/>
      <c r="C10" s="1613"/>
      <c r="D10" s="1613"/>
      <c r="E10" s="1613"/>
      <c r="F10" s="1613"/>
      <c r="G10" s="108">
        <f>SUM(G11:G16)</f>
        <v>0</v>
      </c>
      <c r="H10" s="108">
        <f t="shared" ref="H10:K10" si="0">SUM(H11:H16)</f>
        <v>0</v>
      </c>
      <c r="I10" s="108">
        <f t="shared" si="0"/>
        <v>0</v>
      </c>
      <c r="J10" s="108">
        <f t="shared" si="0"/>
        <v>0</v>
      </c>
      <c r="K10" s="872">
        <f t="shared" si="0"/>
        <v>0</v>
      </c>
    </row>
    <row r="11" spans="1:11" ht="15" customHeight="1">
      <c r="A11" s="1442" t="s">
        <v>910</v>
      </c>
      <c r="B11" s="1443"/>
      <c r="C11" s="1443"/>
      <c r="D11" s="1443"/>
      <c r="E11" s="1443"/>
      <c r="F11" s="1443"/>
      <c r="G11" s="126"/>
      <c r="H11" s="126"/>
      <c r="I11" s="126"/>
      <c r="J11" s="126"/>
      <c r="K11" s="830"/>
    </row>
    <row r="12" spans="1:11" ht="15" customHeight="1">
      <c r="A12" s="1442" t="s">
        <v>911</v>
      </c>
      <c r="B12" s="1443"/>
      <c r="C12" s="1443"/>
      <c r="D12" s="1443"/>
      <c r="E12" s="1443"/>
      <c r="F12" s="1443"/>
      <c r="G12" s="126"/>
      <c r="H12" s="126"/>
      <c r="I12" s="126"/>
      <c r="J12" s="126"/>
      <c r="K12" s="830"/>
    </row>
    <row r="13" spans="1:11" ht="15" customHeight="1">
      <c r="A13" s="1442" t="s">
        <v>912</v>
      </c>
      <c r="B13" s="1443"/>
      <c r="C13" s="1443"/>
      <c r="D13" s="1443"/>
      <c r="E13" s="1443"/>
      <c r="F13" s="1443"/>
      <c r="G13" s="126"/>
      <c r="H13" s="126"/>
      <c r="I13" s="126"/>
      <c r="J13" s="126"/>
      <c r="K13" s="830"/>
    </row>
    <row r="14" spans="1:11" ht="15" customHeight="1">
      <c r="A14" s="1442" t="s">
        <v>913</v>
      </c>
      <c r="B14" s="1443"/>
      <c r="C14" s="1443"/>
      <c r="D14" s="1443"/>
      <c r="E14" s="1443"/>
      <c r="F14" s="1443"/>
      <c r="G14" s="126"/>
      <c r="H14" s="126"/>
      <c r="I14" s="126"/>
      <c r="J14" s="126"/>
      <c r="K14" s="830"/>
    </row>
    <row r="15" spans="1:11" ht="15" customHeight="1">
      <c r="A15" s="1442" t="s">
        <v>914</v>
      </c>
      <c r="B15" s="1443"/>
      <c r="C15" s="1443"/>
      <c r="D15" s="1443"/>
      <c r="E15" s="1443"/>
      <c r="F15" s="1443"/>
      <c r="G15" s="126"/>
      <c r="H15" s="126"/>
      <c r="I15" s="126"/>
      <c r="J15" s="126"/>
      <c r="K15" s="830"/>
    </row>
    <row r="16" spans="1:11" ht="15" customHeight="1">
      <c r="A16" s="1442" t="s">
        <v>915</v>
      </c>
      <c r="B16" s="1443"/>
      <c r="C16" s="1443"/>
      <c r="D16" s="1443"/>
      <c r="E16" s="1443"/>
      <c r="F16" s="1443"/>
      <c r="G16" s="126"/>
      <c r="H16" s="126"/>
      <c r="I16" s="126"/>
      <c r="J16" s="126"/>
      <c r="K16" s="830"/>
    </row>
    <row r="17" spans="1:11" ht="15" customHeight="1">
      <c r="A17" s="1612" t="s">
        <v>1133</v>
      </c>
      <c r="B17" s="1613"/>
      <c r="C17" s="1613"/>
      <c r="D17" s="1613"/>
      <c r="E17" s="1613"/>
      <c r="F17" s="1613"/>
      <c r="G17" s="108">
        <f>SUM(G18:G22)</f>
        <v>0</v>
      </c>
      <c r="H17" s="108">
        <f t="shared" ref="H17:K17" si="1">SUM(H18:H22)</f>
        <v>0</v>
      </c>
      <c r="I17" s="108">
        <f t="shared" si="1"/>
        <v>0</v>
      </c>
      <c r="J17" s="108">
        <f t="shared" si="1"/>
        <v>0</v>
      </c>
      <c r="K17" s="872">
        <f t="shared" si="1"/>
        <v>0</v>
      </c>
    </row>
    <row r="18" spans="1:11" ht="15" customHeight="1">
      <c r="A18" s="1442" t="s">
        <v>916</v>
      </c>
      <c r="B18" s="1443"/>
      <c r="C18" s="1443"/>
      <c r="D18" s="1443"/>
      <c r="E18" s="1443"/>
      <c r="F18" s="1443"/>
      <c r="G18" s="126"/>
      <c r="H18" s="126"/>
      <c r="I18" s="126"/>
      <c r="J18" s="126"/>
      <c r="K18" s="830"/>
    </row>
    <row r="19" spans="1:11" ht="15" customHeight="1">
      <c r="A19" s="1442" t="s">
        <v>917</v>
      </c>
      <c r="B19" s="1443"/>
      <c r="C19" s="1443"/>
      <c r="D19" s="1443"/>
      <c r="E19" s="1443"/>
      <c r="F19" s="1443"/>
      <c r="G19" s="126"/>
      <c r="H19" s="126"/>
      <c r="I19" s="126"/>
      <c r="J19" s="126"/>
      <c r="K19" s="830"/>
    </row>
    <row r="20" spans="1:11" ht="15" customHeight="1">
      <c r="A20" s="1442" t="s">
        <v>918</v>
      </c>
      <c r="B20" s="1443"/>
      <c r="C20" s="1443"/>
      <c r="D20" s="1443"/>
      <c r="E20" s="1443"/>
      <c r="F20" s="1443"/>
      <c r="G20" s="126"/>
      <c r="H20" s="126"/>
      <c r="I20" s="126"/>
      <c r="J20" s="126"/>
      <c r="K20" s="830"/>
    </row>
    <row r="21" spans="1:11" ht="15" customHeight="1">
      <c r="A21" s="1442" t="s">
        <v>919</v>
      </c>
      <c r="B21" s="1443"/>
      <c r="C21" s="1443"/>
      <c r="D21" s="1443"/>
      <c r="E21" s="1443"/>
      <c r="F21" s="1443"/>
      <c r="G21" s="126"/>
      <c r="H21" s="126"/>
      <c r="I21" s="126"/>
      <c r="J21" s="126"/>
      <c r="K21" s="830"/>
    </row>
    <row r="22" spans="1:11" ht="15" customHeight="1">
      <c r="A22" s="1442" t="s">
        <v>920</v>
      </c>
      <c r="B22" s="1443"/>
      <c r="C22" s="1443"/>
      <c r="D22" s="1443"/>
      <c r="E22" s="1443"/>
      <c r="F22" s="1443"/>
      <c r="G22" s="126"/>
      <c r="H22" s="126"/>
      <c r="I22" s="126"/>
      <c r="J22" s="126"/>
      <c r="K22" s="830"/>
    </row>
    <row r="23" spans="1:11" ht="15" customHeight="1">
      <c r="A23" s="1612" t="s">
        <v>921</v>
      </c>
      <c r="B23" s="1613"/>
      <c r="C23" s="1613"/>
      <c r="D23" s="1613"/>
      <c r="E23" s="1613"/>
      <c r="F23" s="1613"/>
      <c r="G23" s="108">
        <f>SUM(G24:G25)</f>
        <v>0</v>
      </c>
      <c r="H23" s="108">
        <f t="shared" ref="H23:K23" si="2">SUM(H24:H25)</f>
        <v>0</v>
      </c>
      <c r="I23" s="108">
        <f t="shared" si="2"/>
        <v>0</v>
      </c>
      <c r="J23" s="108">
        <f t="shared" si="2"/>
        <v>0</v>
      </c>
      <c r="K23" s="872">
        <f t="shared" si="2"/>
        <v>0</v>
      </c>
    </row>
    <row r="24" spans="1:11" ht="15" customHeight="1">
      <c r="A24" s="1442" t="s">
        <v>922</v>
      </c>
      <c r="B24" s="1443"/>
      <c r="C24" s="1443"/>
      <c r="D24" s="1443"/>
      <c r="E24" s="1443"/>
      <c r="F24" s="1443"/>
      <c r="G24" s="126"/>
      <c r="H24" s="126"/>
      <c r="I24" s="126"/>
      <c r="J24" s="126"/>
      <c r="K24" s="830"/>
    </row>
    <row r="25" spans="1:11" ht="15" customHeight="1">
      <c r="A25" s="1442" t="s">
        <v>923</v>
      </c>
      <c r="B25" s="1443"/>
      <c r="C25" s="1443"/>
      <c r="D25" s="1443"/>
      <c r="E25" s="1443"/>
      <c r="F25" s="1443"/>
      <c r="G25" s="126"/>
      <c r="H25" s="126"/>
      <c r="I25" s="126"/>
      <c r="J25" s="126"/>
      <c r="K25" s="830"/>
    </row>
    <row r="26" spans="1:11" ht="15" customHeight="1">
      <c r="A26" s="1612" t="s">
        <v>924</v>
      </c>
      <c r="B26" s="1613"/>
      <c r="C26" s="1613"/>
      <c r="D26" s="1613"/>
      <c r="E26" s="1613"/>
      <c r="F26" s="1613"/>
      <c r="G26" s="108">
        <f>SUM(G27:G31)</f>
        <v>0</v>
      </c>
      <c r="H26" s="108">
        <f t="shared" ref="H26:K26" si="3">SUM(H27:H31)</f>
        <v>0</v>
      </c>
      <c r="I26" s="108">
        <f t="shared" si="3"/>
        <v>0</v>
      </c>
      <c r="J26" s="108">
        <f t="shared" si="3"/>
        <v>0</v>
      </c>
      <c r="K26" s="872">
        <f t="shared" si="3"/>
        <v>0</v>
      </c>
    </row>
    <row r="27" spans="1:11" ht="15" customHeight="1">
      <c r="A27" s="1442" t="s">
        <v>925</v>
      </c>
      <c r="B27" s="1443"/>
      <c r="C27" s="1443"/>
      <c r="D27" s="1443"/>
      <c r="E27" s="1443"/>
      <c r="F27" s="1443"/>
      <c r="G27" s="126"/>
      <c r="H27" s="126"/>
      <c r="I27" s="126"/>
      <c r="J27" s="126"/>
      <c r="K27" s="830"/>
    </row>
    <row r="28" spans="1:11" ht="15" customHeight="1">
      <c r="A28" s="1442" t="s">
        <v>926</v>
      </c>
      <c r="B28" s="1443"/>
      <c r="C28" s="1443"/>
      <c r="D28" s="1443"/>
      <c r="E28" s="1443"/>
      <c r="F28" s="1443"/>
      <c r="G28" s="126"/>
      <c r="H28" s="126"/>
      <c r="I28" s="126"/>
      <c r="J28" s="126"/>
      <c r="K28" s="830"/>
    </row>
    <row r="29" spans="1:11" ht="15" customHeight="1">
      <c r="A29" s="1442" t="s">
        <v>927</v>
      </c>
      <c r="B29" s="1443"/>
      <c r="C29" s="1443"/>
      <c r="D29" s="1443"/>
      <c r="E29" s="1443"/>
      <c r="F29" s="1443"/>
      <c r="G29" s="126"/>
      <c r="H29" s="126"/>
      <c r="I29" s="126"/>
      <c r="J29" s="126"/>
      <c r="K29" s="830"/>
    </row>
    <row r="30" spans="1:11" ht="15" customHeight="1">
      <c r="A30" s="1442" t="s">
        <v>928</v>
      </c>
      <c r="B30" s="1443"/>
      <c r="C30" s="1443"/>
      <c r="D30" s="1443"/>
      <c r="E30" s="1443"/>
      <c r="F30" s="1443"/>
      <c r="G30" s="126"/>
      <c r="H30" s="126"/>
      <c r="I30" s="126"/>
      <c r="J30" s="126"/>
      <c r="K30" s="830"/>
    </row>
    <row r="31" spans="1:11" ht="15" customHeight="1" thickBot="1">
      <c r="A31" s="1719" t="s">
        <v>929</v>
      </c>
      <c r="B31" s="1720"/>
      <c r="C31" s="1720"/>
      <c r="D31" s="1720"/>
      <c r="E31" s="1720"/>
      <c r="F31" s="1720"/>
      <c r="G31" s="862"/>
      <c r="H31" s="862"/>
      <c r="I31" s="862"/>
      <c r="J31" s="862"/>
      <c r="K31" s="863"/>
    </row>
    <row r="32" spans="1:11" ht="6.75" customHeight="1">
      <c r="A32" s="48"/>
      <c r="B32" s="48"/>
      <c r="C32" s="48"/>
      <c r="D32" s="7"/>
      <c r="E32" s="7"/>
      <c r="F32" s="7"/>
      <c r="G32" s="7"/>
      <c r="H32" s="7"/>
      <c r="I32" s="7"/>
    </row>
    <row r="33" spans="1:9" ht="12" customHeight="1">
      <c r="A33" s="1833" t="s">
        <v>930</v>
      </c>
      <c r="B33" s="1833"/>
      <c r="C33" s="1833"/>
      <c r="D33" s="1833"/>
      <c r="E33" s="1833"/>
      <c r="F33" s="1833"/>
      <c r="G33" s="1833" t="s">
        <v>931</v>
      </c>
      <c r="H33" s="1833"/>
      <c r="I33" s="7"/>
    </row>
    <row r="34" spans="1:9" ht="12" customHeight="1">
      <c r="A34" s="1833" t="s">
        <v>932</v>
      </c>
      <c r="B34" s="1833"/>
      <c r="C34" s="1833"/>
      <c r="D34" s="1833"/>
      <c r="E34" s="1833"/>
      <c r="F34" s="1833"/>
      <c r="G34" s="1833" t="s">
        <v>933</v>
      </c>
      <c r="H34" s="1833"/>
      <c r="I34" s="7"/>
    </row>
    <row r="35" spans="1:9" ht="12" customHeight="1">
      <c r="A35" s="1833" t="s">
        <v>934</v>
      </c>
      <c r="B35" s="1833"/>
      <c r="C35" s="1833"/>
      <c r="D35" s="1833"/>
      <c r="E35" s="1833"/>
      <c r="F35" s="1833"/>
      <c r="G35" s="1833" t="s">
        <v>935</v>
      </c>
      <c r="H35" s="1833"/>
      <c r="I35" s="7"/>
    </row>
    <row r="36" spans="1:9" ht="12" customHeight="1">
      <c r="A36" s="1833" t="s">
        <v>936</v>
      </c>
      <c r="B36" s="1833"/>
      <c r="C36" s="1833"/>
      <c r="D36" s="1833"/>
      <c r="E36" s="1833"/>
      <c r="F36" s="1833"/>
      <c r="G36" s="1833" t="s">
        <v>937</v>
      </c>
      <c r="H36" s="1833"/>
      <c r="I36" s="7"/>
    </row>
    <row r="37" spans="1:9" ht="12" customHeight="1">
      <c r="A37" s="1833" t="s">
        <v>938</v>
      </c>
      <c r="B37" s="1833"/>
      <c r="C37" s="1833"/>
      <c r="D37" s="1833"/>
      <c r="E37" s="1833"/>
      <c r="F37" s="1833"/>
      <c r="G37" s="1833"/>
      <c r="H37" s="1833"/>
      <c r="I37" s="7"/>
    </row>
  </sheetData>
  <sheetProtection selectLockedCells="1"/>
  <mergeCells count="47">
    <mergeCell ref="C6:F6"/>
    <mergeCell ref="A1:K1"/>
    <mergeCell ref="J2:K2"/>
    <mergeCell ref="C3:K3"/>
    <mergeCell ref="B4:I4"/>
    <mergeCell ref="C5:F5"/>
    <mergeCell ref="H5:I5"/>
    <mergeCell ref="A7:K7"/>
    <mergeCell ref="A8:F8"/>
    <mergeCell ref="G8:G9"/>
    <mergeCell ref="H8:H9"/>
    <mergeCell ref="I8:I9"/>
    <mergeCell ref="J8:J9"/>
    <mergeCell ref="K8:K9"/>
    <mergeCell ref="A9:F9"/>
    <mergeCell ref="A21:F21"/>
    <mergeCell ref="A10:F10"/>
    <mergeCell ref="A11:F11"/>
    <mergeCell ref="A12:F12"/>
    <mergeCell ref="A13:F13"/>
    <mergeCell ref="A14:F14"/>
    <mergeCell ref="A15:F15"/>
    <mergeCell ref="A16:F16"/>
    <mergeCell ref="A17:F17"/>
    <mergeCell ref="A18:F18"/>
    <mergeCell ref="A19:F19"/>
    <mergeCell ref="A20:F20"/>
    <mergeCell ref="G33:H33"/>
    <mergeCell ref="A22:F22"/>
    <mergeCell ref="A23:F23"/>
    <mergeCell ref="A24:F24"/>
    <mergeCell ref="A25:F25"/>
    <mergeCell ref="A26:F26"/>
    <mergeCell ref="A27:F27"/>
    <mergeCell ref="A28:F28"/>
    <mergeCell ref="A29:F29"/>
    <mergeCell ref="A30:F30"/>
    <mergeCell ref="A31:F31"/>
    <mergeCell ref="A33:F33"/>
    <mergeCell ref="A37:F37"/>
    <mergeCell ref="G37:H37"/>
    <mergeCell ref="A34:F34"/>
    <mergeCell ref="G34:H34"/>
    <mergeCell ref="A35:F35"/>
    <mergeCell ref="G35:H35"/>
    <mergeCell ref="A36:F36"/>
    <mergeCell ref="G36:H36"/>
  </mergeCells>
  <dataValidations count="1">
    <dataValidation type="whole" allowBlank="1" showInputMessage="1" showErrorMessage="1" errorTitle="Attention!" error="Valeur numérique attendue" sqref="G11:K16 G18:K22 G24:K25 G27:K31" xr:uid="{00000000-0002-0000-3700-000000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0"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60">
    <pageSetUpPr fitToPage="1"/>
  </sheetPr>
  <dimension ref="A1:P31"/>
  <sheetViews>
    <sheetView showGridLines="0" topLeftCell="A11" workbookViewId="0">
      <selection activeCell="R28" sqref="R28"/>
    </sheetView>
  </sheetViews>
  <sheetFormatPr baseColWidth="10" defaultRowHeight="14.5"/>
  <cols>
    <col min="2" max="2" width="16.453125" customWidth="1"/>
    <col min="3" max="3" width="9.54296875" customWidth="1"/>
    <col min="4" max="4" width="8.453125" customWidth="1"/>
    <col min="5" max="5" width="10.1796875" customWidth="1"/>
    <col min="6" max="6" width="13.54296875" customWidth="1"/>
    <col min="7" max="7" width="10.1796875" customWidth="1"/>
    <col min="8" max="8" width="13.54296875" customWidth="1"/>
    <col min="9" max="9" width="10.1796875" customWidth="1"/>
    <col min="10" max="10" width="13.54296875" customWidth="1"/>
    <col min="11" max="11" width="10.1796875" customWidth="1"/>
    <col min="12" max="12" width="13.54296875" customWidth="1"/>
    <col min="13" max="13" width="10.1796875" customWidth="1"/>
    <col min="14" max="14" width="13.54296875" customWidth="1"/>
    <col min="15" max="15" width="10.1796875" customWidth="1"/>
    <col min="16" max="16" width="13.54296875" customWidth="1"/>
  </cols>
  <sheetData>
    <row r="1" spans="1:16">
      <c r="A1" s="1134" t="s">
        <v>183</v>
      </c>
      <c r="B1" s="1134"/>
      <c r="C1" s="1134"/>
      <c r="D1" s="1134"/>
      <c r="E1" s="1134"/>
      <c r="F1" s="1134"/>
      <c r="G1" s="1134"/>
      <c r="H1" s="1134"/>
      <c r="I1" s="1134"/>
      <c r="J1" s="1134"/>
      <c r="K1" s="1134"/>
      <c r="L1" s="1134"/>
      <c r="M1" s="1134"/>
      <c r="N1" s="1134"/>
      <c r="O1" s="1134"/>
      <c r="P1" s="1134"/>
    </row>
    <row r="2" spans="1:16" ht="25" customHeight="1">
      <c r="A2" s="40"/>
      <c r="B2" s="40"/>
      <c r="C2" s="40"/>
      <c r="D2" s="40"/>
      <c r="E2" s="40"/>
      <c r="F2" s="40"/>
      <c r="O2" s="1135" t="s">
        <v>1135</v>
      </c>
      <c r="P2" s="1137"/>
    </row>
    <row r="3" spans="1:16" s="132" customFormat="1" ht="15" customHeight="1">
      <c r="A3" s="7" t="s">
        <v>26</v>
      </c>
      <c r="B3" s="7"/>
      <c r="C3" s="1221">
        <f>'NOTE 31'!C3</f>
        <v>0</v>
      </c>
      <c r="D3" s="1221"/>
      <c r="E3" s="1221"/>
      <c r="F3" s="1221"/>
      <c r="G3" s="1221"/>
      <c r="H3" s="1221"/>
      <c r="I3" s="1221"/>
      <c r="J3" s="1221"/>
      <c r="K3" s="1221"/>
      <c r="L3" s="1221"/>
      <c r="M3" s="1221"/>
      <c r="N3" s="1221"/>
      <c r="O3" s="1221"/>
      <c r="P3" s="1221"/>
    </row>
    <row r="4" spans="1:16" s="132" customFormat="1" ht="15" customHeight="1">
      <c r="A4" s="7" t="s">
        <v>27</v>
      </c>
      <c r="B4" s="1221">
        <f>'NOTE 31'!B4</f>
        <v>0</v>
      </c>
      <c r="C4" s="1221"/>
      <c r="D4" s="1221"/>
      <c r="E4" s="1221"/>
      <c r="F4" s="1221"/>
      <c r="G4" s="1221"/>
      <c r="H4" s="1221"/>
      <c r="I4" s="1221"/>
      <c r="J4" s="1221"/>
      <c r="K4" s="1221"/>
      <c r="L4" s="1221"/>
      <c r="M4" s="1221"/>
      <c r="N4" s="61" t="s">
        <v>28</v>
      </c>
      <c r="O4" s="1215">
        <f>'NOTE 31'!K4</f>
        <v>0</v>
      </c>
      <c r="P4" s="1215"/>
    </row>
    <row r="5" spans="1:16" s="132" customFormat="1" ht="15" customHeight="1">
      <c r="A5" s="7" t="s">
        <v>2021</v>
      </c>
      <c r="B5" s="7"/>
      <c r="C5" s="1221">
        <f>'NOTE 31'!C5</f>
        <v>0</v>
      </c>
      <c r="D5" s="1221"/>
      <c r="E5" s="1221"/>
      <c r="F5" s="1221"/>
      <c r="G5" s="1221"/>
      <c r="H5" s="1386" t="s">
        <v>30</v>
      </c>
      <c r="I5" s="1386"/>
      <c r="J5" s="1215">
        <f>'NOTE 31'!H5</f>
        <v>0</v>
      </c>
      <c r="K5" s="1215"/>
      <c r="L5" s="1215"/>
      <c r="N5" s="61" t="s">
        <v>31</v>
      </c>
      <c r="O5" s="1215">
        <f>'NOTE 31'!K5</f>
        <v>0</v>
      </c>
      <c r="P5" s="1215"/>
    </row>
    <row r="6" spans="1:16" s="132" customFormat="1" ht="15" customHeight="1">
      <c r="A6" s="268" t="s">
        <v>2024</v>
      </c>
      <c r="B6" s="7"/>
      <c r="C6" s="1461">
        <f>'NOTE 31'!C6</f>
        <v>0</v>
      </c>
      <c r="D6" s="1461"/>
      <c r="E6" s="1461"/>
      <c r="F6" s="1461"/>
      <c r="G6" s="1461"/>
      <c r="H6" s="262"/>
      <c r="I6" s="262"/>
      <c r="J6" s="44"/>
      <c r="K6" s="44"/>
      <c r="L6" s="44"/>
      <c r="M6" s="267"/>
      <c r="N6" s="263"/>
      <c r="O6" s="44"/>
      <c r="P6" s="44"/>
    </row>
    <row r="7" spans="1:16" ht="35.15" customHeight="1" thickBot="1">
      <c r="A7" s="1169" t="s">
        <v>1613</v>
      </c>
      <c r="B7" s="1169"/>
      <c r="C7" s="1169"/>
      <c r="D7" s="1169"/>
      <c r="E7" s="1169"/>
      <c r="F7" s="1169"/>
      <c r="G7" s="1169"/>
      <c r="H7" s="1169"/>
      <c r="I7" s="1169"/>
      <c r="J7" s="1169"/>
      <c r="K7" s="1169"/>
      <c r="L7" s="1169"/>
      <c r="M7" s="1169"/>
      <c r="N7" s="1169"/>
      <c r="O7" s="1169"/>
      <c r="P7" s="1169"/>
    </row>
    <row r="8" spans="1:16" ht="15" customHeight="1">
      <c r="A8" s="1844" t="s">
        <v>939</v>
      </c>
      <c r="B8" s="1782"/>
      <c r="C8" s="1782"/>
      <c r="D8" s="1782" t="s">
        <v>940</v>
      </c>
      <c r="E8" s="1782" t="s">
        <v>1134</v>
      </c>
      <c r="F8" s="1782"/>
      <c r="G8" s="1782" t="s">
        <v>941</v>
      </c>
      <c r="H8" s="1782"/>
      <c r="I8" s="1782" t="s">
        <v>942</v>
      </c>
      <c r="J8" s="1782"/>
      <c r="K8" s="1782" t="s">
        <v>943</v>
      </c>
      <c r="L8" s="1782"/>
      <c r="M8" s="1782" t="s">
        <v>944</v>
      </c>
      <c r="N8" s="1782"/>
      <c r="O8" s="1782" t="s">
        <v>945</v>
      </c>
      <c r="P8" s="1783"/>
    </row>
    <row r="9" spans="1:16" ht="24" customHeight="1">
      <c r="A9" s="1706"/>
      <c r="B9" s="1378"/>
      <c r="C9" s="1378"/>
      <c r="D9" s="1378"/>
      <c r="E9" s="1378"/>
      <c r="F9" s="1378"/>
      <c r="G9" s="1378"/>
      <c r="H9" s="1378"/>
      <c r="I9" s="1378"/>
      <c r="J9" s="1378"/>
      <c r="K9" s="1378"/>
      <c r="L9" s="1378"/>
      <c r="M9" s="1378"/>
      <c r="N9" s="1378"/>
      <c r="O9" s="1378"/>
      <c r="P9" s="1379"/>
    </row>
    <row r="10" spans="1:16">
      <c r="A10" s="1706"/>
      <c r="B10" s="1378"/>
      <c r="C10" s="1378"/>
      <c r="D10" s="1378"/>
      <c r="E10" s="308" t="s">
        <v>946</v>
      </c>
      <c r="F10" s="308" t="s">
        <v>947</v>
      </c>
      <c r="G10" s="308" t="s">
        <v>946</v>
      </c>
      <c r="H10" s="308" t="s">
        <v>947</v>
      </c>
      <c r="I10" s="308" t="s">
        <v>946</v>
      </c>
      <c r="J10" s="308" t="s">
        <v>947</v>
      </c>
      <c r="K10" s="308" t="s">
        <v>946</v>
      </c>
      <c r="L10" s="308" t="s">
        <v>947</v>
      </c>
      <c r="M10" s="308" t="s">
        <v>946</v>
      </c>
      <c r="N10" s="308" t="s">
        <v>947</v>
      </c>
      <c r="O10" s="308" t="s">
        <v>946</v>
      </c>
      <c r="P10" s="788" t="s">
        <v>947</v>
      </c>
    </row>
    <row r="11" spans="1:16" ht="17.149999999999999" customHeight="1">
      <c r="A11" s="1688"/>
      <c r="B11" s="1689"/>
      <c r="C11" s="1689"/>
      <c r="D11" s="150"/>
      <c r="E11" s="151"/>
      <c r="F11" s="151"/>
      <c r="G11" s="151"/>
      <c r="H11" s="151"/>
      <c r="I11" s="151"/>
      <c r="J11" s="151"/>
      <c r="K11" s="151"/>
      <c r="L11" s="151"/>
      <c r="M11" s="151"/>
      <c r="N11" s="151"/>
      <c r="O11" s="151"/>
      <c r="P11" s="960"/>
    </row>
    <row r="12" spans="1:16" ht="17.149999999999999" customHeight="1">
      <c r="A12" s="1688"/>
      <c r="B12" s="1689"/>
      <c r="C12" s="1689"/>
      <c r="D12" s="150"/>
      <c r="E12" s="151"/>
      <c r="F12" s="151"/>
      <c r="G12" s="151"/>
      <c r="H12" s="151"/>
      <c r="I12" s="151"/>
      <c r="J12" s="151"/>
      <c r="K12" s="151"/>
      <c r="L12" s="151"/>
      <c r="M12" s="151"/>
      <c r="N12" s="151"/>
      <c r="O12" s="151"/>
      <c r="P12" s="960"/>
    </row>
    <row r="13" spans="1:16" ht="17.149999999999999" customHeight="1">
      <c r="A13" s="1688"/>
      <c r="B13" s="1689"/>
      <c r="C13" s="1689"/>
      <c r="D13" s="150"/>
      <c r="E13" s="151"/>
      <c r="F13" s="151"/>
      <c r="G13" s="151"/>
      <c r="H13" s="151"/>
      <c r="I13" s="151"/>
      <c r="J13" s="151"/>
      <c r="K13" s="151"/>
      <c r="L13" s="151"/>
      <c r="M13" s="151"/>
      <c r="N13" s="151"/>
      <c r="O13" s="151"/>
      <c r="P13" s="960"/>
    </row>
    <row r="14" spans="1:16" ht="17.149999999999999" customHeight="1">
      <c r="A14" s="1688"/>
      <c r="B14" s="1689"/>
      <c r="C14" s="1689"/>
      <c r="D14" s="150"/>
      <c r="E14" s="151"/>
      <c r="F14" s="151"/>
      <c r="G14" s="151"/>
      <c r="H14" s="151"/>
      <c r="I14" s="151"/>
      <c r="J14" s="151"/>
      <c r="K14" s="151"/>
      <c r="L14" s="151"/>
      <c r="M14" s="151"/>
      <c r="N14" s="151"/>
      <c r="O14" s="151"/>
      <c r="P14" s="960"/>
    </row>
    <row r="15" spans="1:16" ht="17.149999999999999" customHeight="1">
      <c r="A15" s="1688"/>
      <c r="B15" s="1689"/>
      <c r="C15" s="1689"/>
      <c r="D15" s="150"/>
      <c r="E15" s="151"/>
      <c r="F15" s="151"/>
      <c r="G15" s="151"/>
      <c r="H15" s="151"/>
      <c r="I15" s="151"/>
      <c r="J15" s="151"/>
      <c r="K15" s="151"/>
      <c r="L15" s="151"/>
      <c r="M15" s="151"/>
      <c r="N15" s="151"/>
      <c r="O15" s="151"/>
      <c r="P15" s="960"/>
    </row>
    <row r="16" spans="1:16" ht="17.149999999999999" customHeight="1">
      <c r="A16" s="1688"/>
      <c r="B16" s="1689"/>
      <c r="C16" s="1689"/>
      <c r="D16" s="150"/>
      <c r="E16" s="151"/>
      <c r="F16" s="151"/>
      <c r="G16" s="151"/>
      <c r="H16" s="151"/>
      <c r="I16" s="151"/>
      <c r="J16" s="151"/>
      <c r="K16" s="151"/>
      <c r="L16" s="151"/>
      <c r="M16" s="151"/>
      <c r="N16" s="151"/>
      <c r="O16" s="151"/>
      <c r="P16" s="960"/>
    </row>
    <row r="17" spans="1:16" ht="17.149999999999999" customHeight="1">
      <c r="A17" s="1688"/>
      <c r="B17" s="1689"/>
      <c r="C17" s="1689"/>
      <c r="D17" s="150"/>
      <c r="E17" s="151"/>
      <c r="F17" s="151"/>
      <c r="G17" s="151"/>
      <c r="H17" s="151"/>
      <c r="I17" s="151"/>
      <c r="J17" s="151"/>
      <c r="K17" s="151"/>
      <c r="L17" s="151"/>
      <c r="M17" s="151"/>
      <c r="N17" s="151"/>
      <c r="O17" s="151"/>
      <c r="P17" s="960"/>
    </row>
    <row r="18" spans="1:16" ht="17.149999999999999" customHeight="1">
      <c r="A18" s="1688"/>
      <c r="B18" s="1689"/>
      <c r="C18" s="1689"/>
      <c r="D18" s="150"/>
      <c r="E18" s="151"/>
      <c r="F18" s="151"/>
      <c r="G18" s="151"/>
      <c r="H18" s="151"/>
      <c r="I18" s="151"/>
      <c r="J18" s="151"/>
      <c r="K18" s="151"/>
      <c r="L18" s="151"/>
      <c r="M18" s="151"/>
      <c r="N18" s="151"/>
      <c r="O18" s="151"/>
      <c r="P18" s="960"/>
    </row>
    <row r="19" spans="1:16" ht="17.149999999999999" customHeight="1">
      <c r="A19" s="1688"/>
      <c r="B19" s="1689"/>
      <c r="C19" s="1689"/>
      <c r="D19" s="150"/>
      <c r="E19" s="151"/>
      <c r="F19" s="151"/>
      <c r="G19" s="151"/>
      <c r="H19" s="151"/>
      <c r="I19" s="151"/>
      <c r="J19" s="151"/>
      <c r="K19" s="151"/>
      <c r="L19" s="151"/>
      <c r="M19" s="151"/>
      <c r="N19" s="151"/>
      <c r="O19" s="151"/>
      <c r="P19" s="960"/>
    </row>
    <row r="20" spans="1:16" ht="17.149999999999999" customHeight="1">
      <c r="A20" s="1688"/>
      <c r="B20" s="1689"/>
      <c r="C20" s="1689"/>
      <c r="D20" s="150"/>
      <c r="E20" s="151"/>
      <c r="F20" s="151"/>
      <c r="G20" s="151"/>
      <c r="H20" s="151"/>
      <c r="I20" s="151"/>
      <c r="J20" s="151"/>
      <c r="K20" s="151"/>
      <c r="L20" s="151"/>
      <c r="M20" s="151"/>
      <c r="N20" s="151"/>
      <c r="O20" s="151"/>
      <c r="P20" s="960"/>
    </row>
    <row r="21" spans="1:16" ht="17.149999999999999" customHeight="1">
      <c r="A21" s="1688"/>
      <c r="B21" s="1689"/>
      <c r="C21" s="1689"/>
      <c r="D21" s="154"/>
      <c r="E21" s="152"/>
      <c r="F21" s="152"/>
      <c r="G21" s="152"/>
      <c r="H21" s="152"/>
      <c r="I21" s="152"/>
      <c r="J21" s="152"/>
      <c r="K21" s="152"/>
      <c r="L21" s="152"/>
      <c r="M21" s="152"/>
      <c r="N21" s="152"/>
      <c r="O21" s="152"/>
      <c r="P21" s="893"/>
    </row>
    <row r="22" spans="1:16" ht="17.149999999999999" customHeight="1">
      <c r="A22" s="1688"/>
      <c r="B22" s="1689"/>
      <c r="C22" s="1689"/>
      <c r="D22" s="154"/>
      <c r="E22" s="152"/>
      <c r="F22" s="152"/>
      <c r="G22" s="152"/>
      <c r="H22" s="152"/>
      <c r="I22" s="152"/>
      <c r="J22" s="152"/>
      <c r="K22" s="152"/>
      <c r="L22" s="152"/>
      <c r="M22" s="152"/>
      <c r="N22" s="152"/>
      <c r="O22" s="152"/>
      <c r="P22" s="893"/>
    </row>
    <row r="23" spans="1:16" ht="17.149999999999999" customHeight="1">
      <c r="A23" s="1688"/>
      <c r="B23" s="1689"/>
      <c r="C23" s="1689"/>
      <c r="D23" s="154"/>
      <c r="E23" s="152"/>
      <c r="F23" s="152"/>
      <c r="G23" s="152"/>
      <c r="H23" s="152"/>
      <c r="I23" s="152"/>
      <c r="J23" s="152"/>
      <c r="K23" s="152"/>
      <c r="L23" s="152"/>
      <c r="M23" s="152"/>
      <c r="N23" s="152"/>
      <c r="O23" s="152"/>
      <c r="P23" s="893"/>
    </row>
    <row r="24" spans="1:16" ht="17.149999999999999" customHeight="1">
      <c r="A24" s="1688"/>
      <c r="B24" s="1689"/>
      <c r="C24" s="1689"/>
      <c r="D24" s="154"/>
      <c r="E24" s="152"/>
      <c r="F24" s="152"/>
      <c r="G24" s="152"/>
      <c r="H24" s="152"/>
      <c r="I24" s="152"/>
      <c r="J24" s="152"/>
      <c r="K24" s="152"/>
      <c r="L24" s="152"/>
      <c r="M24" s="152"/>
      <c r="N24" s="152"/>
      <c r="O24" s="152"/>
      <c r="P24" s="893"/>
    </row>
    <row r="25" spans="1:16" ht="17.149999999999999" customHeight="1">
      <c r="A25" s="1688"/>
      <c r="B25" s="1689"/>
      <c r="C25" s="1689"/>
      <c r="D25" s="154"/>
      <c r="E25" s="152"/>
      <c r="F25" s="152"/>
      <c r="G25" s="152"/>
      <c r="H25" s="152"/>
      <c r="I25" s="152"/>
      <c r="J25" s="152"/>
      <c r="K25" s="152"/>
      <c r="L25" s="152"/>
      <c r="M25" s="152"/>
      <c r="N25" s="152"/>
      <c r="O25" s="152"/>
      <c r="P25" s="893"/>
    </row>
    <row r="26" spans="1:16" ht="17.149999999999999" customHeight="1">
      <c r="A26" s="1688"/>
      <c r="B26" s="1689"/>
      <c r="C26" s="1689"/>
      <c r="D26" s="154"/>
      <c r="E26" s="152"/>
      <c r="F26" s="152"/>
      <c r="G26" s="152"/>
      <c r="H26" s="152"/>
      <c r="I26" s="152"/>
      <c r="J26" s="152"/>
      <c r="K26" s="152"/>
      <c r="L26" s="152"/>
      <c r="M26" s="152"/>
      <c r="N26" s="152"/>
      <c r="O26" s="152"/>
      <c r="P26" s="893"/>
    </row>
    <row r="27" spans="1:16" ht="17.149999999999999" customHeight="1">
      <c r="A27" s="1688"/>
      <c r="B27" s="1689"/>
      <c r="C27" s="1689"/>
      <c r="D27" s="154"/>
      <c r="E27" s="152"/>
      <c r="F27" s="152"/>
      <c r="G27" s="152"/>
      <c r="H27" s="152"/>
      <c r="I27" s="152"/>
      <c r="J27" s="152"/>
      <c r="K27" s="152"/>
      <c r="L27" s="152"/>
      <c r="M27" s="152"/>
      <c r="N27" s="152"/>
      <c r="O27" s="152"/>
      <c r="P27" s="893"/>
    </row>
    <row r="28" spans="1:16" ht="17.149999999999999" customHeight="1">
      <c r="A28" s="1688"/>
      <c r="B28" s="1689"/>
      <c r="C28" s="1689"/>
      <c r="D28" s="154"/>
      <c r="E28" s="152"/>
      <c r="F28" s="152"/>
      <c r="G28" s="152"/>
      <c r="H28" s="152"/>
      <c r="I28" s="152"/>
      <c r="J28" s="152"/>
      <c r="K28" s="152"/>
      <c r="L28" s="152"/>
      <c r="M28" s="152"/>
      <c r="N28" s="152"/>
      <c r="O28" s="152"/>
      <c r="P28" s="893"/>
    </row>
    <row r="29" spans="1:16" ht="17.149999999999999" customHeight="1">
      <c r="A29" s="1845" t="s">
        <v>1614</v>
      </c>
      <c r="B29" s="1846"/>
      <c r="C29" s="1846"/>
      <c r="D29" s="1847"/>
      <c r="E29" s="153"/>
      <c r="F29" s="153"/>
      <c r="G29" s="153"/>
      <c r="H29" s="153"/>
      <c r="I29" s="153"/>
      <c r="J29" s="153"/>
      <c r="K29" s="153"/>
      <c r="L29" s="153"/>
      <c r="M29" s="153"/>
      <c r="N29" s="153"/>
      <c r="O29" s="153"/>
      <c r="P29" s="961"/>
    </row>
    <row r="30" spans="1:16" ht="17.149999999999999" customHeight="1" thickBot="1">
      <c r="A30" s="1848" t="s">
        <v>480</v>
      </c>
      <c r="B30" s="1849"/>
      <c r="C30" s="1849"/>
      <c r="D30" s="1850"/>
      <c r="E30" s="896">
        <f>SUM(E11:E29)</f>
        <v>0</v>
      </c>
      <c r="F30" s="896">
        <f t="shared" ref="F30:P30" si="0">SUM(F11:F29)</f>
        <v>0</v>
      </c>
      <c r="G30" s="896">
        <f t="shared" si="0"/>
        <v>0</v>
      </c>
      <c r="H30" s="896">
        <f t="shared" si="0"/>
        <v>0</v>
      </c>
      <c r="I30" s="896">
        <f t="shared" si="0"/>
        <v>0</v>
      </c>
      <c r="J30" s="896">
        <f t="shared" si="0"/>
        <v>0</v>
      </c>
      <c r="K30" s="896">
        <f t="shared" si="0"/>
        <v>0</v>
      </c>
      <c r="L30" s="896">
        <f t="shared" si="0"/>
        <v>0</v>
      </c>
      <c r="M30" s="896">
        <f t="shared" si="0"/>
        <v>0</v>
      </c>
      <c r="N30" s="896">
        <f t="shared" si="0"/>
        <v>0</v>
      </c>
      <c r="O30" s="896">
        <f t="shared" si="0"/>
        <v>0</v>
      </c>
      <c r="P30" s="897">
        <f t="shared" si="0"/>
        <v>0</v>
      </c>
    </row>
    <row r="31" spans="1:16">
      <c r="A31" s="440" t="s">
        <v>1615</v>
      </c>
    </row>
  </sheetData>
  <sheetProtection selectLockedCells="1"/>
  <mergeCells count="39">
    <mergeCell ref="A29:D29"/>
    <mergeCell ref="A30:D30"/>
    <mergeCell ref="C5:G5"/>
    <mergeCell ref="H5:I5"/>
    <mergeCell ref="A22:C22"/>
    <mergeCell ref="A11:C11"/>
    <mergeCell ref="A12:C12"/>
    <mergeCell ref="A13:C13"/>
    <mergeCell ref="A14:C14"/>
    <mergeCell ref="A15:C15"/>
    <mergeCell ref="A16:C16"/>
    <mergeCell ref="A17:C17"/>
    <mergeCell ref="A18:C18"/>
    <mergeCell ref="A19:C19"/>
    <mergeCell ref="A20:C20"/>
    <mergeCell ref="A21:C21"/>
    <mergeCell ref="J5:L5"/>
    <mergeCell ref="A7:P7"/>
    <mergeCell ref="A8:C10"/>
    <mergeCell ref="D8:D10"/>
    <mergeCell ref="E8:F9"/>
    <mergeCell ref="G8:H9"/>
    <mergeCell ref="I8:J9"/>
    <mergeCell ref="K8:L9"/>
    <mergeCell ref="M8:N9"/>
    <mergeCell ref="O8:P9"/>
    <mergeCell ref="O5:P5"/>
    <mergeCell ref="C6:G6"/>
    <mergeCell ref="A1:P1"/>
    <mergeCell ref="O2:P2"/>
    <mergeCell ref="C3:P3"/>
    <mergeCell ref="B4:M4"/>
    <mergeCell ref="O4:P4"/>
    <mergeCell ref="A28:C28"/>
    <mergeCell ref="A23:C23"/>
    <mergeCell ref="A24:C24"/>
    <mergeCell ref="A25:C25"/>
    <mergeCell ref="A26:C26"/>
    <mergeCell ref="A27:C27"/>
  </mergeCells>
  <dataValidations count="1">
    <dataValidation type="whole" allowBlank="1" showInputMessage="1" showErrorMessage="1" errorTitle="Attention!" error="Valeur numérique attendue" sqref="E11:P29" xr:uid="{00000000-0002-0000-38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5"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61">
    <pageSetUpPr fitToPage="1"/>
  </sheetPr>
  <dimension ref="A1:L32"/>
  <sheetViews>
    <sheetView showGridLines="0" topLeftCell="A10" workbookViewId="0">
      <selection activeCell="H26" sqref="H26"/>
    </sheetView>
  </sheetViews>
  <sheetFormatPr baseColWidth="10" defaultRowHeight="14.5"/>
  <cols>
    <col min="2" max="2" width="16.453125" customWidth="1"/>
    <col min="5" max="5" width="9.81640625" customWidth="1"/>
    <col min="6" max="6" width="11.453125" customWidth="1"/>
    <col min="7" max="7" width="15.453125" customWidth="1"/>
    <col min="8" max="8" width="11.453125" customWidth="1"/>
    <col min="9" max="9" width="15.453125" customWidth="1"/>
    <col min="10" max="10" width="11.453125" customWidth="1"/>
    <col min="11" max="12" width="15.453125" customWidth="1"/>
  </cols>
  <sheetData>
    <row r="1" spans="1:12">
      <c r="A1" s="1134" t="s">
        <v>183</v>
      </c>
      <c r="B1" s="1134"/>
      <c r="C1" s="1134"/>
      <c r="D1" s="1134"/>
      <c r="E1" s="1134"/>
      <c r="F1" s="1134"/>
      <c r="G1" s="1134"/>
      <c r="H1" s="1134"/>
      <c r="I1" s="1134"/>
      <c r="J1" s="1134"/>
      <c r="K1" s="1134"/>
      <c r="L1" s="1134"/>
    </row>
    <row r="2" spans="1:12" ht="25" customHeight="1">
      <c r="A2" s="40"/>
      <c r="B2" s="40"/>
      <c r="C2" s="40"/>
      <c r="D2" s="40"/>
      <c r="E2" s="40"/>
      <c r="F2" s="40"/>
      <c r="K2" s="1135" t="s">
        <v>1662</v>
      </c>
      <c r="L2" s="1137"/>
    </row>
    <row r="3" spans="1:12" s="132" customFormat="1" ht="15" customHeight="1">
      <c r="A3" s="7" t="s">
        <v>26</v>
      </c>
      <c r="B3" s="7"/>
      <c r="C3" s="1221">
        <f>'NOTE 31'!C3</f>
        <v>0</v>
      </c>
      <c r="D3" s="1221"/>
      <c r="E3" s="1221"/>
      <c r="F3" s="1221"/>
      <c r="G3" s="1221"/>
      <c r="H3" s="1221"/>
      <c r="I3" s="1221"/>
      <c r="J3" s="1221"/>
      <c r="K3" s="1221"/>
      <c r="L3" s="1221"/>
    </row>
    <row r="4" spans="1:12" s="132" customFormat="1" ht="15" customHeight="1">
      <c r="A4" s="7" t="s">
        <v>27</v>
      </c>
      <c r="B4" s="1221">
        <f>'NOTE 31'!B4</f>
        <v>0</v>
      </c>
      <c r="C4" s="1221"/>
      <c r="D4" s="1221"/>
      <c r="E4" s="1221"/>
      <c r="F4" s="1221"/>
      <c r="G4" s="1221"/>
      <c r="H4" s="1221"/>
      <c r="I4" s="1221"/>
      <c r="J4" s="61" t="s">
        <v>28</v>
      </c>
      <c r="K4" s="1214">
        <f>'NOTE 31'!K4</f>
        <v>0</v>
      </c>
      <c r="L4" s="1214"/>
    </row>
    <row r="5" spans="1:12" s="132" customFormat="1" ht="15" customHeight="1">
      <c r="A5" s="7" t="s">
        <v>2021</v>
      </c>
      <c r="B5" s="7"/>
      <c r="C5" s="1223">
        <f>'NOTE 31'!C5</f>
        <v>0</v>
      </c>
      <c r="D5" s="1223"/>
      <c r="E5" s="1224" t="s">
        <v>30</v>
      </c>
      <c r="F5" s="1224"/>
      <c r="G5" s="1214">
        <f>'NOTE 31'!H5</f>
        <v>0</v>
      </c>
      <c r="H5" s="1214"/>
      <c r="I5" s="1562" t="s">
        <v>31</v>
      </c>
      <c r="J5" s="1562"/>
      <c r="K5" s="1214">
        <f>'NOTE 31'!K5</f>
        <v>0</v>
      </c>
      <c r="L5" s="1214"/>
    </row>
    <row r="6" spans="1:12" s="132" customFormat="1" ht="15" customHeight="1">
      <c r="A6" s="268" t="s">
        <v>2024</v>
      </c>
      <c r="B6" s="7"/>
      <c r="C6" s="1461">
        <f>'NOTE 31'!C6</f>
        <v>0</v>
      </c>
      <c r="D6" s="1461"/>
      <c r="E6" s="262"/>
      <c r="F6" s="262"/>
      <c r="G6" s="44"/>
      <c r="H6" s="44"/>
      <c r="I6" s="263"/>
      <c r="J6" s="263"/>
      <c r="K6" s="44"/>
      <c r="L6" s="44"/>
    </row>
    <row r="7" spans="1:12" ht="35.15" customHeight="1" thickBot="1">
      <c r="A7" s="1169" t="s">
        <v>1616</v>
      </c>
      <c r="B7" s="1169"/>
      <c r="C7" s="1169"/>
      <c r="D7" s="1169"/>
      <c r="E7" s="1169"/>
      <c r="F7" s="1169"/>
      <c r="G7" s="1169"/>
      <c r="H7" s="1169"/>
      <c r="I7" s="1169"/>
      <c r="J7" s="1169"/>
      <c r="K7" s="1169"/>
      <c r="L7" s="1169"/>
    </row>
    <row r="8" spans="1:12">
      <c r="A8" s="1844" t="s">
        <v>949</v>
      </c>
      <c r="B8" s="1782"/>
      <c r="C8" s="1782"/>
      <c r="D8" s="1782"/>
      <c r="E8" s="1782" t="s">
        <v>940</v>
      </c>
      <c r="F8" s="1782" t="s">
        <v>950</v>
      </c>
      <c r="G8" s="1782"/>
      <c r="H8" s="1782"/>
      <c r="I8" s="1782"/>
      <c r="J8" s="1782"/>
      <c r="K8" s="1782"/>
      <c r="L8" s="1783" t="s">
        <v>951</v>
      </c>
    </row>
    <row r="9" spans="1:12">
      <c r="A9" s="1706"/>
      <c r="B9" s="1378"/>
      <c r="C9" s="1378"/>
      <c r="D9" s="1378"/>
      <c r="E9" s="1378"/>
      <c r="F9" s="1378" t="s">
        <v>952</v>
      </c>
      <c r="G9" s="1378"/>
      <c r="H9" s="1378" t="s">
        <v>953</v>
      </c>
      <c r="I9" s="1378"/>
      <c r="J9" s="1378"/>
      <c r="K9" s="1378"/>
      <c r="L9" s="1379"/>
    </row>
    <row r="10" spans="1:12">
      <c r="A10" s="1706"/>
      <c r="B10" s="1378"/>
      <c r="C10" s="1378"/>
      <c r="D10" s="1378"/>
      <c r="E10" s="1378"/>
      <c r="F10" s="1378"/>
      <c r="G10" s="1378"/>
      <c r="H10" s="1378" t="s">
        <v>954</v>
      </c>
      <c r="I10" s="1378"/>
      <c r="J10" s="1378" t="s">
        <v>955</v>
      </c>
      <c r="K10" s="1378"/>
      <c r="L10" s="1379"/>
    </row>
    <row r="11" spans="1:12">
      <c r="A11" s="1706"/>
      <c r="B11" s="1378"/>
      <c r="C11" s="1378"/>
      <c r="D11" s="1378"/>
      <c r="E11" s="1378"/>
      <c r="F11" s="308" t="s">
        <v>946</v>
      </c>
      <c r="G11" s="308" t="s">
        <v>947</v>
      </c>
      <c r="H11" s="308" t="s">
        <v>946</v>
      </c>
      <c r="I11" s="308" t="s">
        <v>947</v>
      </c>
      <c r="J11" s="308" t="s">
        <v>946</v>
      </c>
      <c r="K11" s="308" t="s">
        <v>947</v>
      </c>
      <c r="L11" s="1379"/>
    </row>
    <row r="12" spans="1:12" ht="17.149999999999999" customHeight="1">
      <c r="A12" s="1583"/>
      <c r="B12" s="1584"/>
      <c r="C12" s="1584"/>
      <c r="D12" s="1584"/>
      <c r="E12" s="155"/>
      <c r="F12" s="152"/>
      <c r="G12" s="152"/>
      <c r="H12" s="152"/>
      <c r="I12" s="152"/>
      <c r="J12" s="152"/>
      <c r="K12" s="152"/>
      <c r="L12" s="893"/>
    </row>
    <row r="13" spans="1:12" ht="17.149999999999999" customHeight="1">
      <c r="A13" s="1583"/>
      <c r="B13" s="1584"/>
      <c r="C13" s="1584"/>
      <c r="D13" s="1584"/>
      <c r="E13" s="155"/>
      <c r="F13" s="152"/>
      <c r="G13" s="152"/>
      <c r="H13" s="152"/>
      <c r="I13" s="152"/>
      <c r="J13" s="152"/>
      <c r="K13" s="152"/>
      <c r="L13" s="893"/>
    </row>
    <row r="14" spans="1:12" ht="17.149999999999999" customHeight="1">
      <c r="A14" s="1583"/>
      <c r="B14" s="1584"/>
      <c r="C14" s="1584"/>
      <c r="D14" s="1584"/>
      <c r="E14" s="155"/>
      <c r="F14" s="152"/>
      <c r="G14" s="152"/>
      <c r="H14" s="152"/>
      <c r="I14" s="152"/>
      <c r="J14" s="152"/>
      <c r="K14" s="152"/>
      <c r="L14" s="893"/>
    </row>
    <row r="15" spans="1:12" ht="17.149999999999999" customHeight="1">
      <c r="A15" s="1583"/>
      <c r="B15" s="1584"/>
      <c r="C15" s="1584"/>
      <c r="D15" s="1584"/>
      <c r="E15" s="155"/>
      <c r="F15" s="152"/>
      <c r="G15" s="152"/>
      <c r="H15" s="152"/>
      <c r="I15" s="152"/>
      <c r="J15" s="152"/>
      <c r="K15" s="152"/>
      <c r="L15" s="893"/>
    </row>
    <row r="16" spans="1:12" ht="17.149999999999999" customHeight="1">
      <c r="A16" s="1583"/>
      <c r="B16" s="1584"/>
      <c r="C16" s="1584"/>
      <c r="D16" s="1584"/>
      <c r="E16" s="155"/>
      <c r="F16" s="152"/>
      <c r="G16" s="152"/>
      <c r="H16" s="152"/>
      <c r="I16" s="152"/>
      <c r="J16" s="152"/>
      <c r="K16" s="152"/>
      <c r="L16" s="893"/>
    </row>
    <row r="17" spans="1:12" ht="17.149999999999999" customHeight="1">
      <c r="A17" s="1583"/>
      <c r="B17" s="1584"/>
      <c r="C17" s="1584"/>
      <c r="D17" s="1584"/>
      <c r="E17" s="155"/>
      <c r="F17" s="152"/>
      <c r="G17" s="152"/>
      <c r="H17" s="152"/>
      <c r="I17" s="152"/>
      <c r="J17" s="152"/>
      <c r="K17" s="152"/>
      <c r="L17" s="893"/>
    </row>
    <row r="18" spans="1:12" ht="17.149999999999999" customHeight="1">
      <c r="A18" s="1583"/>
      <c r="B18" s="1584"/>
      <c r="C18" s="1584"/>
      <c r="D18" s="1584"/>
      <c r="E18" s="155"/>
      <c r="F18" s="152"/>
      <c r="G18" s="152"/>
      <c r="H18" s="152"/>
      <c r="I18" s="152"/>
      <c r="J18" s="152"/>
      <c r="K18" s="152"/>
      <c r="L18" s="893"/>
    </row>
    <row r="19" spans="1:12" ht="17.149999999999999" customHeight="1">
      <c r="A19" s="1583"/>
      <c r="B19" s="1584"/>
      <c r="C19" s="1584"/>
      <c r="D19" s="1584"/>
      <c r="E19" s="155"/>
      <c r="F19" s="152"/>
      <c r="G19" s="152"/>
      <c r="H19" s="152"/>
      <c r="I19" s="152"/>
      <c r="J19" s="152"/>
      <c r="K19" s="152"/>
      <c r="L19" s="893"/>
    </row>
    <row r="20" spans="1:12" ht="17.149999999999999" customHeight="1">
      <c r="A20" s="1583"/>
      <c r="B20" s="1584"/>
      <c r="C20" s="1584"/>
      <c r="D20" s="1584"/>
      <c r="E20" s="155"/>
      <c r="F20" s="152"/>
      <c r="G20" s="152"/>
      <c r="H20" s="152"/>
      <c r="I20" s="152"/>
      <c r="J20" s="152"/>
      <c r="K20" s="152"/>
      <c r="L20" s="893"/>
    </row>
    <row r="21" spans="1:12" ht="17.149999999999999" customHeight="1">
      <c r="A21" s="1583"/>
      <c r="B21" s="1584"/>
      <c r="C21" s="1584"/>
      <c r="D21" s="1584"/>
      <c r="E21" s="155"/>
      <c r="F21" s="152"/>
      <c r="G21" s="152"/>
      <c r="H21" s="152"/>
      <c r="I21" s="152"/>
      <c r="J21" s="152"/>
      <c r="K21" s="152"/>
      <c r="L21" s="893"/>
    </row>
    <row r="22" spans="1:12" ht="17.149999999999999" customHeight="1">
      <c r="A22" s="1583"/>
      <c r="B22" s="1584"/>
      <c r="C22" s="1584"/>
      <c r="D22" s="1584"/>
      <c r="E22" s="155"/>
      <c r="F22" s="152"/>
      <c r="G22" s="152"/>
      <c r="H22" s="152"/>
      <c r="I22" s="152"/>
      <c r="J22" s="152"/>
      <c r="K22" s="152"/>
      <c r="L22" s="893"/>
    </row>
    <row r="23" spans="1:12" ht="17.149999999999999" customHeight="1">
      <c r="A23" s="1583"/>
      <c r="B23" s="1584"/>
      <c r="C23" s="1584"/>
      <c r="D23" s="1584"/>
      <c r="E23" s="155"/>
      <c r="F23" s="152"/>
      <c r="G23" s="152"/>
      <c r="H23" s="152"/>
      <c r="I23" s="152"/>
      <c r="J23" s="152"/>
      <c r="K23" s="152"/>
      <c r="L23" s="893"/>
    </row>
    <row r="24" spans="1:12" ht="17.149999999999999" customHeight="1">
      <c r="A24" s="1583"/>
      <c r="B24" s="1584"/>
      <c r="C24" s="1584"/>
      <c r="D24" s="1584"/>
      <c r="E24" s="155"/>
      <c r="F24" s="152"/>
      <c r="G24" s="152"/>
      <c r="H24" s="152"/>
      <c r="I24" s="152"/>
      <c r="J24" s="152"/>
      <c r="K24" s="152"/>
      <c r="L24" s="893"/>
    </row>
    <row r="25" spans="1:12" ht="17.149999999999999" customHeight="1">
      <c r="A25" s="1583"/>
      <c r="B25" s="1584"/>
      <c r="C25" s="1584"/>
      <c r="D25" s="1584"/>
      <c r="E25" s="155"/>
      <c r="F25" s="152"/>
      <c r="G25" s="152"/>
      <c r="H25" s="152"/>
      <c r="I25" s="152"/>
      <c r="J25" s="152"/>
      <c r="K25" s="152"/>
      <c r="L25" s="893"/>
    </row>
    <row r="26" spans="1:12" ht="17.149999999999999" customHeight="1">
      <c r="A26" s="1583"/>
      <c r="B26" s="1584"/>
      <c r="C26" s="1584"/>
      <c r="D26" s="1584"/>
      <c r="E26" s="155"/>
      <c r="F26" s="152"/>
      <c r="G26" s="152"/>
      <c r="H26" s="152"/>
      <c r="I26" s="152"/>
      <c r="J26" s="152"/>
      <c r="K26" s="152"/>
      <c r="L26" s="893"/>
    </row>
    <row r="27" spans="1:12" ht="17.149999999999999" customHeight="1">
      <c r="A27" s="1583"/>
      <c r="B27" s="1584"/>
      <c r="C27" s="1584"/>
      <c r="D27" s="1584"/>
      <c r="E27" s="155"/>
      <c r="F27" s="152"/>
      <c r="G27" s="152"/>
      <c r="H27" s="152"/>
      <c r="I27" s="152"/>
      <c r="J27" s="152"/>
      <c r="K27" s="152"/>
      <c r="L27" s="893"/>
    </row>
    <row r="28" spans="1:12" ht="17.149999999999999" customHeight="1">
      <c r="A28" s="1583"/>
      <c r="B28" s="1584"/>
      <c r="C28" s="1584"/>
      <c r="D28" s="1584"/>
      <c r="E28" s="155"/>
      <c r="F28" s="152"/>
      <c r="G28" s="152"/>
      <c r="H28" s="152"/>
      <c r="I28" s="152"/>
      <c r="J28" s="152"/>
      <c r="K28" s="152"/>
      <c r="L28" s="893"/>
    </row>
    <row r="29" spans="1:12" ht="17.149999999999999" customHeight="1">
      <c r="A29" s="1583"/>
      <c r="B29" s="1584"/>
      <c r="C29" s="1584"/>
      <c r="D29" s="1584"/>
      <c r="E29" s="155"/>
      <c r="F29" s="152"/>
      <c r="G29" s="152"/>
      <c r="H29" s="152"/>
      <c r="I29" s="152"/>
      <c r="J29" s="152"/>
      <c r="K29" s="152"/>
      <c r="L29" s="893"/>
    </row>
    <row r="30" spans="1:12" ht="17.149999999999999" customHeight="1">
      <c r="A30" s="1845" t="s">
        <v>1617</v>
      </c>
      <c r="B30" s="1846"/>
      <c r="C30" s="1846"/>
      <c r="D30" s="1846"/>
      <c r="E30" s="1847"/>
      <c r="F30" s="153"/>
      <c r="G30" s="153"/>
      <c r="H30" s="153"/>
      <c r="I30" s="153"/>
      <c r="J30" s="153"/>
      <c r="K30" s="153"/>
      <c r="L30" s="961"/>
    </row>
    <row r="31" spans="1:12" ht="17.149999999999999" customHeight="1" thickBot="1">
      <c r="A31" s="1851" t="s">
        <v>480</v>
      </c>
      <c r="B31" s="1852"/>
      <c r="C31" s="1852"/>
      <c r="D31" s="1852"/>
      <c r="E31" s="1853"/>
      <c r="F31" s="962">
        <f>SUM(F12:F30)</f>
        <v>0</v>
      </c>
      <c r="G31" s="962">
        <f t="shared" ref="G31:L31" si="0">SUM(G12:G30)</f>
        <v>0</v>
      </c>
      <c r="H31" s="962">
        <f t="shared" si="0"/>
        <v>0</v>
      </c>
      <c r="I31" s="962">
        <f t="shared" si="0"/>
        <v>0</v>
      </c>
      <c r="J31" s="962">
        <f t="shared" si="0"/>
        <v>0</v>
      </c>
      <c r="K31" s="962">
        <f t="shared" si="0"/>
        <v>0</v>
      </c>
      <c r="L31" s="963">
        <f t="shared" si="0"/>
        <v>0</v>
      </c>
    </row>
    <row r="32" spans="1:12">
      <c r="A32" s="440" t="s">
        <v>1618</v>
      </c>
    </row>
  </sheetData>
  <sheetProtection selectLockedCells="1"/>
  <mergeCells count="40">
    <mergeCell ref="C6:D6"/>
    <mergeCell ref="C5:D5"/>
    <mergeCell ref="E5:F5"/>
    <mergeCell ref="G5:H5"/>
    <mergeCell ref="I5:J5"/>
    <mergeCell ref="K5:L5"/>
    <mergeCell ref="A1:L1"/>
    <mergeCell ref="K2:L2"/>
    <mergeCell ref="C3:L3"/>
    <mergeCell ref="B4:I4"/>
    <mergeCell ref="K4:L4"/>
    <mergeCell ref="A7:L7"/>
    <mergeCell ref="A8:D11"/>
    <mergeCell ref="E8:E11"/>
    <mergeCell ref="F8:K8"/>
    <mergeCell ref="L8:L11"/>
    <mergeCell ref="F9:G10"/>
    <mergeCell ref="H9:K9"/>
    <mergeCell ref="H10:I10"/>
    <mergeCell ref="J10:K10"/>
    <mergeCell ref="A23:D23"/>
    <mergeCell ref="A12:D12"/>
    <mergeCell ref="A13:D13"/>
    <mergeCell ref="A14:D14"/>
    <mergeCell ref="A15:D15"/>
    <mergeCell ref="A16:D16"/>
    <mergeCell ref="A17:D17"/>
    <mergeCell ref="A18:D18"/>
    <mergeCell ref="A19:D19"/>
    <mergeCell ref="A20:D20"/>
    <mergeCell ref="A21:D21"/>
    <mergeCell ref="A22:D22"/>
    <mergeCell ref="A29:D29"/>
    <mergeCell ref="A30:E30"/>
    <mergeCell ref="A31:E31"/>
    <mergeCell ref="A24:D24"/>
    <mergeCell ref="A25:D25"/>
    <mergeCell ref="A26:D26"/>
    <mergeCell ref="A27:D27"/>
    <mergeCell ref="A28:D28"/>
  </mergeCells>
  <dataValidations count="1">
    <dataValidation type="whole" allowBlank="1" showInputMessage="1" showErrorMessage="1" errorTitle="Attention!" error="Valeur numérique attendue" sqref="F12:L30" xr:uid="{00000000-0002-0000-3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62">
    <pageSetUpPr fitToPage="1"/>
  </sheetPr>
  <dimension ref="A1:H65"/>
  <sheetViews>
    <sheetView showGridLines="0" topLeftCell="A35" zoomScaleNormal="100" workbookViewId="0">
      <selection activeCell="N10" sqref="N10"/>
    </sheetView>
  </sheetViews>
  <sheetFormatPr baseColWidth="10" defaultRowHeight="14.5"/>
  <cols>
    <col min="2" max="2" width="17" customWidth="1"/>
    <col min="4" max="4" width="3.1796875" customWidth="1"/>
    <col min="5" max="5" width="23.81640625" customWidth="1"/>
    <col min="6" max="7" width="14.453125" customWidth="1"/>
    <col min="8" max="8" width="11" style="45" customWidth="1"/>
  </cols>
  <sheetData>
    <row r="1" spans="1:8" ht="12.75" customHeight="1">
      <c r="A1" s="1134" t="s">
        <v>183</v>
      </c>
      <c r="B1" s="1134"/>
      <c r="C1" s="1134"/>
      <c r="D1" s="1134"/>
      <c r="E1" s="1134"/>
      <c r="F1" s="1134"/>
      <c r="G1" s="1134"/>
      <c r="H1" s="1134"/>
    </row>
    <row r="2" spans="1:8" ht="25" customHeight="1">
      <c r="A2" s="40"/>
      <c r="B2" s="40"/>
      <c r="C2" s="40"/>
      <c r="D2" s="40"/>
      <c r="E2" s="40"/>
      <c r="F2" s="40"/>
      <c r="G2" s="1279" t="s">
        <v>1136</v>
      </c>
      <c r="H2" s="1281"/>
    </row>
    <row r="3" spans="1:8" s="132" customFormat="1" ht="15" customHeight="1">
      <c r="A3" s="7" t="s">
        <v>26</v>
      </c>
      <c r="B3" s="7"/>
      <c r="C3" s="1221">
        <f>'NOTE 31'!C3</f>
        <v>0</v>
      </c>
      <c r="D3" s="1221"/>
      <c r="E3" s="1221"/>
      <c r="F3" s="1221"/>
      <c r="G3" s="1221"/>
      <c r="H3" s="1221"/>
    </row>
    <row r="4" spans="1:8" s="132" customFormat="1" ht="15" customHeight="1">
      <c r="A4" s="7" t="s">
        <v>27</v>
      </c>
      <c r="B4" s="1221">
        <f>'NOTE 31'!B4</f>
        <v>0</v>
      </c>
      <c r="C4" s="1221"/>
      <c r="D4" s="1221"/>
      <c r="E4" s="1221"/>
      <c r="F4" s="61" t="s">
        <v>28</v>
      </c>
      <c r="G4" s="1214">
        <f>'NOTE 31'!K4</f>
        <v>0</v>
      </c>
      <c r="H4" s="1214"/>
    </row>
    <row r="5" spans="1:8" s="132" customFormat="1" ht="15" customHeight="1">
      <c r="A5" s="7" t="s">
        <v>2021</v>
      </c>
      <c r="B5" s="7"/>
      <c r="C5" s="1223">
        <f>'NOTE 31'!C5</f>
        <v>0</v>
      </c>
      <c r="D5" s="1223"/>
      <c r="E5" s="43" t="s">
        <v>30</v>
      </c>
      <c r="F5" s="119">
        <f>'NOTE 31'!H5</f>
        <v>0</v>
      </c>
      <c r="G5" s="61" t="s">
        <v>31</v>
      </c>
      <c r="H5" s="44">
        <f>'NOTE 31'!K5</f>
        <v>0</v>
      </c>
    </row>
    <row r="6" spans="1:8" s="132" customFormat="1" ht="15" customHeight="1">
      <c r="A6" s="268" t="s">
        <v>2024</v>
      </c>
      <c r="B6" s="7"/>
      <c r="C6" s="1461">
        <f>'NOTE 31'!C6</f>
        <v>0</v>
      </c>
      <c r="D6" s="1461"/>
      <c r="E6" s="262"/>
      <c r="F6" s="44"/>
      <c r="G6" s="263"/>
      <c r="H6" s="44"/>
    </row>
    <row r="7" spans="1:8" ht="21.75" customHeight="1" thickBot="1">
      <c r="A7" s="1169" t="s">
        <v>1899</v>
      </c>
      <c r="B7" s="1169"/>
      <c r="C7" s="1169"/>
      <c r="D7" s="1169"/>
      <c r="E7" s="1169"/>
      <c r="F7" s="1169"/>
      <c r="G7" s="1169"/>
      <c r="H7" s="1169"/>
    </row>
    <row r="8" spans="1:8" ht="24" customHeight="1">
      <c r="A8" s="1903" t="s">
        <v>956</v>
      </c>
      <c r="B8" s="1904"/>
      <c r="C8" s="1904"/>
      <c r="D8" s="1904"/>
      <c r="E8" s="1904"/>
      <c r="F8" s="883" t="s">
        <v>526</v>
      </c>
      <c r="G8" s="883" t="s">
        <v>527</v>
      </c>
      <c r="H8" s="932" t="s">
        <v>546</v>
      </c>
    </row>
    <row r="9" spans="1:8" ht="11.9" customHeight="1">
      <c r="A9" s="1905" t="s">
        <v>957</v>
      </c>
      <c r="B9" s="1906"/>
      <c r="C9" s="1906"/>
      <c r="D9" s="1906"/>
      <c r="E9" s="1906"/>
      <c r="F9" s="1906"/>
      <c r="G9" s="1906"/>
      <c r="H9" s="1907"/>
    </row>
    <row r="10" spans="1:8" ht="11.9" customHeight="1">
      <c r="A10" s="1897" t="s">
        <v>958</v>
      </c>
      <c r="B10" s="1898"/>
      <c r="C10" s="1898"/>
      <c r="D10" s="1898"/>
      <c r="E10" s="1898"/>
      <c r="F10" s="1908"/>
      <c r="G10" s="1909"/>
      <c r="H10" s="1910"/>
    </row>
    <row r="11" spans="1:8" ht="11.9" customHeight="1">
      <c r="A11" s="1911" t="s">
        <v>959</v>
      </c>
      <c r="B11" s="1874"/>
      <c r="C11" s="1874"/>
      <c r="D11" s="1874"/>
      <c r="E11" s="1875"/>
      <c r="F11" s="148"/>
      <c r="G11" s="148"/>
      <c r="H11" s="964" t="str">
        <f>IF(G11,(F11-G11)/G11,IF(ISBLANK(G11),"",IF(F11,IF( F11 &gt; 0,1,-1),"")))</f>
        <v/>
      </c>
    </row>
    <row r="12" spans="1:8" ht="11.9" customHeight="1">
      <c r="A12" s="1879" t="s">
        <v>960</v>
      </c>
      <c r="B12" s="1859"/>
      <c r="C12" s="1859"/>
      <c r="D12" s="1859"/>
      <c r="E12" s="1860"/>
      <c r="F12" s="148"/>
      <c r="G12" s="148"/>
      <c r="H12" s="964" t="str">
        <f t="shared" ref="H12:H19" si="0">IF(G12,(F12-G12)/G12,IF(ISBLANK(G12),"",IF(F12,IF( F12 &gt; 0,1,-1),"")))</f>
        <v/>
      </c>
    </row>
    <row r="13" spans="1:8" ht="11.9" customHeight="1">
      <c r="A13" s="1879" t="s">
        <v>961</v>
      </c>
      <c r="B13" s="1859"/>
      <c r="C13" s="1859"/>
      <c r="D13" s="1859"/>
      <c r="E13" s="1860"/>
      <c r="F13" s="148"/>
      <c r="G13" s="148"/>
      <c r="H13" s="964" t="str">
        <f t="shared" si="0"/>
        <v/>
      </c>
    </row>
    <row r="14" spans="1:8" ht="11.9" customHeight="1">
      <c r="A14" s="1879" t="s">
        <v>962</v>
      </c>
      <c r="B14" s="1859"/>
      <c r="C14" s="1859"/>
      <c r="D14" s="1859"/>
      <c r="E14" s="1860"/>
      <c r="F14" s="148"/>
      <c r="G14" s="148"/>
      <c r="H14" s="964" t="str">
        <f t="shared" si="0"/>
        <v/>
      </c>
    </row>
    <row r="15" spans="1:8" ht="11.9" customHeight="1">
      <c r="A15" s="1879" t="s">
        <v>963</v>
      </c>
      <c r="B15" s="1859"/>
      <c r="C15" s="1859"/>
      <c r="D15" s="1859"/>
      <c r="E15" s="1860"/>
      <c r="F15" s="148"/>
      <c r="G15" s="148"/>
      <c r="H15" s="964" t="str">
        <f t="shared" si="0"/>
        <v/>
      </c>
    </row>
    <row r="16" spans="1:8" ht="11.9" customHeight="1">
      <c r="A16" s="1879" t="s">
        <v>964</v>
      </c>
      <c r="B16" s="1859"/>
      <c r="C16" s="1859"/>
      <c r="D16" s="1859"/>
      <c r="E16" s="1860"/>
      <c r="F16" s="148"/>
      <c r="G16" s="148"/>
      <c r="H16" s="964" t="str">
        <f t="shared" si="0"/>
        <v/>
      </c>
    </row>
    <row r="17" spans="1:8" ht="11.9" customHeight="1">
      <c r="A17" s="1879" t="s">
        <v>965</v>
      </c>
      <c r="B17" s="1859"/>
      <c r="C17" s="1859"/>
      <c r="D17" s="1859"/>
      <c r="E17" s="1860"/>
      <c r="F17" s="148"/>
      <c r="G17" s="148"/>
      <c r="H17" s="964" t="str">
        <f t="shared" si="0"/>
        <v/>
      </c>
    </row>
    <row r="18" spans="1:8" ht="11.9" customHeight="1">
      <c r="A18" s="1879" t="s">
        <v>966</v>
      </c>
      <c r="B18" s="1859"/>
      <c r="C18" s="1859"/>
      <c r="D18" s="1859"/>
      <c r="E18" s="1860"/>
      <c r="F18" s="148"/>
      <c r="G18" s="148"/>
      <c r="H18" s="964" t="str">
        <f t="shared" si="0"/>
        <v/>
      </c>
    </row>
    <row r="19" spans="1:8" ht="11.9" customHeight="1">
      <c r="A19" s="1894" t="s">
        <v>967</v>
      </c>
      <c r="B19" s="1895"/>
      <c r="C19" s="1895"/>
      <c r="D19" s="1895"/>
      <c r="E19" s="1896"/>
      <c r="F19" s="148"/>
      <c r="G19" s="148"/>
      <c r="H19" s="964" t="str">
        <f t="shared" si="0"/>
        <v/>
      </c>
    </row>
    <row r="20" spans="1:8" ht="11.9" customHeight="1">
      <c r="A20" s="1897" t="s">
        <v>968</v>
      </c>
      <c r="B20" s="1898"/>
      <c r="C20" s="1898"/>
      <c r="D20" s="1898"/>
      <c r="E20" s="1898"/>
      <c r="F20" s="1899"/>
      <c r="G20" s="1900"/>
      <c r="H20" s="1901"/>
    </row>
    <row r="21" spans="1:8" ht="11.9" customHeight="1">
      <c r="A21" s="1867" t="s">
        <v>969</v>
      </c>
      <c r="B21" s="1868"/>
      <c r="C21" s="1868"/>
      <c r="D21" s="1868"/>
      <c r="E21" s="1869"/>
      <c r="F21" s="47">
        <f>F14</f>
        <v>0</v>
      </c>
      <c r="G21" s="47">
        <f>G14</f>
        <v>0</v>
      </c>
      <c r="H21" s="965"/>
    </row>
    <row r="22" spans="1:8" ht="11.9" customHeight="1">
      <c r="A22" s="1858" t="s">
        <v>970</v>
      </c>
      <c r="B22" s="1859"/>
      <c r="C22" s="1859"/>
      <c r="D22" s="1859"/>
      <c r="E22" s="1860"/>
      <c r="F22" s="148"/>
      <c r="G22" s="148"/>
      <c r="H22" s="965"/>
    </row>
    <row r="23" spans="1:8" ht="11.9" customHeight="1">
      <c r="A23" s="1858" t="s">
        <v>971</v>
      </c>
      <c r="B23" s="1859"/>
      <c r="C23" s="1859"/>
      <c r="D23" s="1859"/>
      <c r="E23" s="1860"/>
      <c r="F23" s="148"/>
      <c r="G23" s="148"/>
      <c r="H23" s="965"/>
    </row>
    <row r="24" spans="1:8" ht="11.9" customHeight="1">
      <c r="A24" s="1902" t="s">
        <v>1160</v>
      </c>
      <c r="B24" s="1889"/>
      <c r="C24" s="1889"/>
      <c r="D24" s="1889"/>
      <c r="E24" s="1890"/>
      <c r="F24" s="185">
        <f>F21+F22-F23</f>
        <v>0</v>
      </c>
      <c r="G24" s="185">
        <f>G21+G22-G23</f>
        <v>0</v>
      </c>
      <c r="H24" s="966" t="str">
        <f>IF(G24,(F24-G24)/G24,IF(ISBLANK(G24),"",IF(F24,IF( F24 &gt; 0,1,-1),"")))</f>
        <v/>
      </c>
    </row>
    <row r="25" spans="1:8" ht="11.9" customHeight="1">
      <c r="A25" s="1858" t="s">
        <v>1619</v>
      </c>
      <c r="B25" s="1859"/>
      <c r="C25" s="1859"/>
      <c r="D25" s="1859"/>
      <c r="E25" s="1860"/>
      <c r="F25" s="148"/>
      <c r="G25" s="148"/>
      <c r="H25" s="965"/>
    </row>
    <row r="26" spans="1:8" ht="11.9" customHeight="1">
      <c r="A26" s="1858" t="s">
        <v>2012</v>
      </c>
      <c r="B26" s="1859"/>
      <c r="C26" s="1859"/>
      <c r="D26" s="1859"/>
      <c r="E26" s="1860"/>
      <c r="F26" s="148"/>
      <c r="G26" s="148"/>
      <c r="H26" s="965"/>
    </row>
    <row r="27" spans="1:8" ht="11.9" customHeight="1">
      <c r="A27" s="1879" t="s">
        <v>972</v>
      </c>
      <c r="B27" s="1859"/>
      <c r="C27" s="1859"/>
      <c r="D27" s="1859"/>
      <c r="E27" s="1860"/>
      <c r="F27" s="148"/>
      <c r="G27" s="148"/>
      <c r="H27" s="965"/>
    </row>
    <row r="28" spans="1:8" ht="11.9" customHeight="1">
      <c r="A28" s="1858" t="s">
        <v>1620</v>
      </c>
      <c r="B28" s="1859"/>
      <c r="C28" s="1859"/>
      <c r="D28" s="1859"/>
      <c r="E28" s="1860"/>
      <c r="F28" s="148"/>
      <c r="G28" s="148"/>
      <c r="H28" s="965"/>
    </row>
    <row r="29" spans="1:8" ht="11.9" customHeight="1">
      <c r="A29" s="1879" t="s">
        <v>973</v>
      </c>
      <c r="B29" s="1859"/>
      <c r="C29" s="1859"/>
      <c r="D29" s="1859"/>
      <c r="E29" s="1860"/>
      <c r="F29" s="148"/>
      <c r="G29" s="148"/>
      <c r="H29" s="965"/>
    </row>
    <row r="30" spans="1:8" ht="11.9" customHeight="1">
      <c r="A30" s="1858" t="s">
        <v>1622</v>
      </c>
      <c r="B30" s="1859"/>
      <c r="C30" s="1859"/>
      <c r="D30" s="1859"/>
      <c r="E30" s="1860"/>
      <c r="F30" s="148"/>
      <c r="G30" s="148"/>
      <c r="H30" s="965"/>
    </row>
    <row r="31" spans="1:8" ht="11.9" customHeight="1">
      <c r="A31" s="1858" t="s">
        <v>1900</v>
      </c>
      <c r="B31" s="1859"/>
      <c r="C31" s="1859"/>
      <c r="D31" s="1859"/>
      <c r="E31" s="1860"/>
      <c r="F31" s="148"/>
      <c r="G31" s="148"/>
      <c r="H31" s="965"/>
    </row>
    <row r="32" spans="1:8" ht="11.9" customHeight="1">
      <c r="A32" s="1858" t="s">
        <v>1621</v>
      </c>
      <c r="B32" s="1859"/>
      <c r="C32" s="1859"/>
      <c r="D32" s="1859"/>
      <c r="E32" s="1860"/>
      <c r="F32" s="148"/>
      <c r="G32" s="148"/>
      <c r="H32" s="965"/>
    </row>
    <row r="33" spans="1:8" ht="11.9" customHeight="1">
      <c r="A33" s="1879" t="s">
        <v>1624</v>
      </c>
      <c r="B33" s="1859"/>
      <c r="C33" s="1859"/>
      <c r="D33" s="1859"/>
      <c r="E33" s="1860"/>
      <c r="F33" s="148"/>
      <c r="G33" s="148"/>
      <c r="H33" s="965"/>
    </row>
    <row r="34" spans="1:8" ht="11.9" customHeight="1">
      <c r="A34" s="1879" t="s">
        <v>1623</v>
      </c>
      <c r="B34" s="1859"/>
      <c r="C34" s="1859"/>
      <c r="D34" s="1859"/>
      <c r="E34" s="1860"/>
      <c r="F34" s="148"/>
      <c r="G34" s="148"/>
      <c r="H34" s="965"/>
    </row>
    <row r="35" spans="1:8" ht="11.9" customHeight="1">
      <c r="A35" s="1888" t="s">
        <v>974</v>
      </c>
      <c r="B35" s="1889"/>
      <c r="C35" s="1889"/>
      <c r="D35" s="1889"/>
      <c r="E35" s="1890"/>
      <c r="F35" s="186">
        <f>SUM(F24:F34)</f>
        <v>0</v>
      </c>
      <c r="G35" s="186">
        <f>SUM(G24:G34)</f>
        <v>0</v>
      </c>
      <c r="H35" s="967" t="str">
        <f>IF(G35,(F35-G35)/G35,IF(ISBLANK(G35),"",IF(F35,IF( F35 &gt; 0,1,-1),"")))</f>
        <v/>
      </c>
    </row>
    <row r="36" spans="1:8" ht="11.9" customHeight="1">
      <c r="A36" s="1891" t="s">
        <v>975</v>
      </c>
      <c r="B36" s="1892"/>
      <c r="C36" s="1892"/>
      <c r="D36" s="1892"/>
      <c r="E36" s="1893"/>
      <c r="F36" s="148"/>
      <c r="G36" s="148"/>
      <c r="H36" s="969" t="str">
        <f>IF(G36,(F36-G36)/G36,IF(ISBLANK(G36),"",IF(F36,IF( F36 &gt; 0,1,-1),"")))</f>
        <v/>
      </c>
    </row>
    <row r="37" spans="1:8" ht="11.9" customHeight="1">
      <c r="A37" s="1888" t="s">
        <v>976</v>
      </c>
      <c r="B37" s="1889"/>
      <c r="C37" s="1889"/>
      <c r="D37" s="1889"/>
      <c r="E37" s="1890"/>
      <c r="F37" s="186">
        <f>F35+F36</f>
        <v>0</v>
      </c>
      <c r="G37" s="186">
        <f>G35+G36</f>
        <v>0</v>
      </c>
      <c r="H37" s="967" t="str">
        <f>IF(G37,(F37-G37)/G37,IF(ISBLANK(G37),"",IF(F37,IF( F37 &gt; 0,1,-1),"")))</f>
        <v/>
      </c>
    </row>
    <row r="38" spans="1:8" ht="11.9" customHeight="1">
      <c r="A38" s="1864" t="s">
        <v>977</v>
      </c>
      <c r="B38" s="1865"/>
      <c r="C38" s="1865"/>
      <c r="D38" s="1865"/>
      <c r="E38" s="1865"/>
      <c r="F38" s="1865"/>
      <c r="G38" s="1865"/>
      <c r="H38" s="1866"/>
    </row>
    <row r="39" spans="1:8" s="242" customFormat="1" ht="11.9" customHeight="1">
      <c r="A39" s="1771" t="s">
        <v>978</v>
      </c>
      <c r="B39" s="1772"/>
      <c r="C39" s="1772"/>
      <c r="D39" s="1772"/>
      <c r="E39" s="1772"/>
      <c r="F39" s="243"/>
      <c r="G39" s="243"/>
      <c r="H39" s="934" t="str">
        <f>TEXT(100*(F39-G39),"0") &amp; " points"</f>
        <v>0 points</v>
      </c>
    </row>
    <row r="40" spans="1:8" s="242" customFormat="1" ht="11.9" customHeight="1">
      <c r="A40" s="1771" t="s">
        <v>979</v>
      </c>
      <c r="B40" s="1772"/>
      <c r="C40" s="1772"/>
      <c r="D40" s="1772"/>
      <c r="E40" s="1772"/>
      <c r="F40" s="243"/>
      <c r="G40" s="243"/>
      <c r="H40" s="934" t="str">
        <f>TEXT(100*(F40-G40),"0") &amp; " points"</f>
        <v>0 points</v>
      </c>
    </row>
    <row r="41" spans="1:8" ht="11.9" customHeight="1">
      <c r="A41" s="1864" t="s">
        <v>980</v>
      </c>
      <c r="B41" s="1865"/>
      <c r="C41" s="1865"/>
      <c r="D41" s="1865"/>
      <c r="E41" s="1865"/>
      <c r="F41" s="1865"/>
      <c r="G41" s="1865"/>
      <c r="H41" s="1866"/>
    </row>
    <row r="42" spans="1:8" ht="11.9" customHeight="1">
      <c r="A42" s="1873" t="s">
        <v>1152</v>
      </c>
      <c r="B42" s="1874"/>
      <c r="C42" s="1874"/>
      <c r="D42" s="1874"/>
      <c r="E42" s="1875"/>
      <c r="F42" s="148"/>
      <c r="G42" s="148"/>
      <c r="H42" s="969" t="str">
        <f>IF(G42,(F42-G42)/G42,IF(ISBLANK(G42),"",IF(F42,IF( F42 &gt; 0,1,-1),"")))</f>
        <v/>
      </c>
    </row>
    <row r="43" spans="1:8" ht="11.9" customHeight="1">
      <c r="A43" s="1879" t="s">
        <v>981</v>
      </c>
      <c r="B43" s="1859"/>
      <c r="C43" s="1859"/>
      <c r="D43" s="1859"/>
      <c r="E43" s="1860"/>
      <c r="F43" s="148"/>
      <c r="G43" s="148"/>
      <c r="H43" s="969" t="str">
        <f t="shared" ref="H43:H55" si="1">IF(G43,(F43-G43)/G43,IF(ISBLANK(G43),"",IF(F43,IF( F43 &gt; 0,1,-1),"")))</f>
        <v/>
      </c>
    </row>
    <row r="44" spans="1:8" ht="11.9" customHeight="1">
      <c r="A44" s="1880" t="s">
        <v>982</v>
      </c>
      <c r="B44" s="1803"/>
      <c r="C44" s="1803"/>
      <c r="D44" s="1803"/>
      <c r="E44" s="1881"/>
      <c r="F44" s="47">
        <f>F42+F43</f>
        <v>0</v>
      </c>
      <c r="G44" s="47">
        <f>G42+G43</f>
        <v>0</v>
      </c>
      <c r="H44" s="969" t="str">
        <f t="shared" si="1"/>
        <v/>
      </c>
    </row>
    <row r="45" spans="1:8" ht="11.9" customHeight="1">
      <c r="A45" s="1885" t="s">
        <v>983</v>
      </c>
      <c r="B45" s="1886"/>
      <c r="C45" s="1886"/>
      <c r="D45" s="1886"/>
      <c r="E45" s="1887"/>
      <c r="F45" s="184"/>
      <c r="G45" s="184"/>
      <c r="H45" s="969" t="str">
        <f t="shared" si="1"/>
        <v/>
      </c>
    </row>
    <row r="46" spans="1:8" ht="11.9" customHeight="1">
      <c r="A46" s="1876" t="s">
        <v>984</v>
      </c>
      <c r="B46" s="1877"/>
      <c r="C46" s="1877"/>
      <c r="D46" s="1877"/>
      <c r="E46" s="1878"/>
      <c r="F46" s="186">
        <f>F44+F45</f>
        <v>0</v>
      </c>
      <c r="G46" s="186">
        <f>G44+G45</f>
        <v>0</v>
      </c>
      <c r="H46" s="967" t="str">
        <f t="shared" si="1"/>
        <v/>
      </c>
    </row>
    <row r="47" spans="1:8" ht="11.9" customHeight="1">
      <c r="A47" s="1858" t="s">
        <v>1153</v>
      </c>
      <c r="B47" s="1859"/>
      <c r="C47" s="1859"/>
      <c r="D47" s="1859"/>
      <c r="E47" s="1860"/>
      <c r="F47" s="148"/>
      <c r="G47" s="148"/>
      <c r="H47" s="969" t="str">
        <f t="shared" si="1"/>
        <v/>
      </c>
    </row>
    <row r="48" spans="1:8" ht="11.9" customHeight="1">
      <c r="A48" s="1879" t="s">
        <v>985</v>
      </c>
      <c r="B48" s="1859"/>
      <c r="C48" s="1859"/>
      <c r="D48" s="1859"/>
      <c r="E48" s="1860"/>
      <c r="F48" s="148"/>
      <c r="G48" s="148"/>
      <c r="H48" s="969" t="str">
        <f t="shared" si="1"/>
        <v/>
      </c>
    </row>
    <row r="49" spans="1:8" ht="11.9" customHeight="1">
      <c r="A49" s="1880" t="s">
        <v>986</v>
      </c>
      <c r="B49" s="1803"/>
      <c r="C49" s="1803"/>
      <c r="D49" s="1803"/>
      <c r="E49" s="1881"/>
      <c r="F49" s="47">
        <f>F47+F48</f>
        <v>0</v>
      </c>
      <c r="G49" s="47">
        <f>G47+G48</f>
        <v>0</v>
      </c>
      <c r="H49" s="969" t="str">
        <f t="shared" si="1"/>
        <v/>
      </c>
    </row>
    <row r="50" spans="1:8" ht="11.9" customHeight="1">
      <c r="A50" s="1858" t="s">
        <v>1154</v>
      </c>
      <c r="B50" s="1859"/>
      <c r="C50" s="1859"/>
      <c r="D50" s="1859"/>
      <c r="E50" s="1860"/>
      <c r="F50" s="148"/>
      <c r="G50" s="148"/>
      <c r="H50" s="969" t="str">
        <f t="shared" si="1"/>
        <v/>
      </c>
    </row>
    <row r="51" spans="1:8" ht="11.9" customHeight="1">
      <c r="A51" s="1879" t="s">
        <v>987</v>
      </c>
      <c r="B51" s="1859"/>
      <c r="C51" s="1859"/>
      <c r="D51" s="1859"/>
      <c r="E51" s="1860"/>
      <c r="F51" s="148"/>
      <c r="G51" s="148"/>
      <c r="H51" s="969" t="str">
        <f t="shared" si="1"/>
        <v/>
      </c>
    </row>
    <row r="52" spans="1:8" ht="11.9" customHeight="1">
      <c r="A52" s="1880" t="s">
        <v>988</v>
      </c>
      <c r="B52" s="1803"/>
      <c r="C52" s="1803"/>
      <c r="D52" s="1803"/>
      <c r="E52" s="1881"/>
      <c r="F52" s="47">
        <f>F50+F51</f>
        <v>0</v>
      </c>
      <c r="G52" s="47">
        <f>G50+G51</f>
        <v>0</v>
      </c>
      <c r="H52" s="969" t="str">
        <f t="shared" si="1"/>
        <v/>
      </c>
    </row>
    <row r="53" spans="1:8" ht="11.9" customHeight="1">
      <c r="A53" s="1876" t="s">
        <v>989</v>
      </c>
      <c r="B53" s="1877"/>
      <c r="C53" s="1877"/>
      <c r="D53" s="1877"/>
      <c r="E53" s="1878"/>
      <c r="F53" s="186">
        <f>F49+F52</f>
        <v>0</v>
      </c>
      <c r="G53" s="186">
        <f>G49+G52</f>
        <v>0</v>
      </c>
      <c r="H53" s="967" t="str">
        <f t="shared" si="1"/>
        <v/>
      </c>
    </row>
    <row r="54" spans="1:8" ht="11.9" customHeight="1">
      <c r="A54" s="1876" t="s">
        <v>990</v>
      </c>
      <c r="B54" s="1877"/>
      <c r="C54" s="1877"/>
      <c r="D54" s="1877"/>
      <c r="E54" s="1878"/>
      <c r="F54" s="186">
        <f>F46-F53</f>
        <v>0</v>
      </c>
      <c r="G54" s="186">
        <f>G46-G53</f>
        <v>0</v>
      </c>
      <c r="H54" s="967" t="str">
        <f t="shared" si="1"/>
        <v/>
      </c>
    </row>
    <row r="55" spans="1:8" ht="11.9" customHeight="1">
      <c r="A55" s="1882" t="s">
        <v>991</v>
      </c>
      <c r="B55" s="1883"/>
      <c r="C55" s="1883"/>
      <c r="D55" s="1883"/>
      <c r="E55" s="1884"/>
      <c r="F55" s="118"/>
      <c r="G55" s="118"/>
      <c r="H55" s="969" t="str">
        <f t="shared" si="1"/>
        <v/>
      </c>
    </row>
    <row r="56" spans="1:8" ht="11.9" customHeight="1">
      <c r="A56" s="1864" t="s">
        <v>992</v>
      </c>
      <c r="B56" s="1865"/>
      <c r="C56" s="1865"/>
      <c r="D56" s="1865"/>
      <c r="E56" s="1865"/>
      <c r="F56" s="1865"/>
      <c r="G56" s="1865"/>
      <c r="H56" s="1866"/>
    </row>
    <row r="57" spans="1:8" ht="11.9" customHeight="1">
      <c r="A57" s="1873" t="s">
        <v>1155</v>
      </c>
      <c r="B57" s="1874"/>
      <c r="C57" s="1874"/>
      <c r="D57" s="1874"/>
      <c r="E57" s="1875"/>
      <c r="F57" s="148"/>
      <c r="G57" s="148"/>
      <c r="H57" s="969" t="str">
        <f>IF(G57,(F57-G57)/G57,IF(ISBLANK(G57),"",IF(F57,IF( F57 &gt; 0,1,-1),"")))</f>
        <v/>
      </c>
    </row>
    <row r="58" spans="1:8" ht="11.9" customHeight="1">
      <c r="A58" s="1858" t="s">
        <v>1161</v>
      </c>
      <c r="B58" s="1859"/>
      <c r="C58" s="1859"/>
      <c r="D58" s="1859"/>
      <c r="E58" s="1860"/>
      <c r="F58" s="148"/>
      <c r="G58" s="148"/>
      <c r="H58" s="969" t="str">
        <f t="shared" ref="H58:H60" si="2">IF(G58,(F58-G58)/G58,IF(ISBLANK(G58),"",IF(F58,IF( F58 &gt; 0,1,-1),"")))</f>
        <v/>
      </c>
    </row>
    <row r="59" spans="1:8" ht="11.9" customHeight="1">
      <c r="A59" s="1858" t="s">
        <v>1162</v>
      </c>
      <c r="B59" s="1859"/>
      <c r="C59" s="1859"/>
      <c r="D59" s="1859"/>
      <c r="E59" s="1860"/>
      <c r="F59" s="148"/>
      <c r="G59" s="148"/>
      <c r="H59" s="969" t="str">
        <f t="shared" si="2"/>
        <v/>
      </c>
    </row>
    <row r="60" spans="1:8" ht="11.9" customHeight="1">
      <c r="A60" s="1861" t="s">
        <v>993</v>
      </c>
      <c r="B60" s="1862"/>
      <c r="C60" s="1862"/>
      <c r="D60" s="1862"/>
      <c r="E60" s="1863"/>
      <c r="F60" s="186">
        <f>F57+F58+F59</f>
        <v>0</v>
      </c>
      <c r="G60" s="186">
        <f>G57+G58+G59</f>
        <v>0</v>
      </c>
      <c r="H60" s="969" t="str">
        <f t="shared" si="2"/>
        <v/>
      </c>
    </row>
    <row r="61" spans="1:8" ht="11.9" customHeight="1">
      <c r="A61" s="1864" t="s">
        <v>994</v>
      </c>
      <c r="B61" s="1865"/>
      <c r="C61" s="1865"/>
      <c r="D61" s="1865"/>
      <c r="E61" s="1865"/>
      <c r="F61" s="1865"/>
      <c r="G61" s="1865"/>
      <c r="H61" s="1866"/>
    </row>
    <row r="62" spans="1:8" ht="11.9" customHeight="1">
      <c r="A62" s="1867" t="s">
        <v>995</v>
      </c>
      <c r="B62" s="1868"/>
      <c r="C62" s="1868"/>
      <c r="D62" s="1868"/>
      <c r="E62" s="1869"/>
      <c r="F62" s="148"/>
      <c r="G62" s="148"/>
      <c r="H62" s="969" t="str">
        <f>IF(G62,(F62-G62)/G62,IF(ISBLANK(G62),"",IF(F62,IF( F62 &gt; 0,1,-1),"")))</f>
        <v/>
      </c>
    </row>
    <row r="63" spans="1:8" ht="11.9" customHeight="1">
      <c r="A63" s="1870" t="s">
        <v>1163</v>
      </c>
      <c r="B63" s="1871"/>
      <c r="C63" s="1871"/>
      <c r="D63" s="1871"/>
      <c r="E63" s="1872"/>
      <c r="F63" s="148"/>
      <c r="G63" s="148"/>
      <c r="H63" s="969" t="str">
        <f t="shared" ref="H63:H64" si="3">IF(G63,(F63-G63)/G63,IF(ISBLANK(G63),"",IF(F63,IF( F63 &gt; 0,1,-1),"")))</f>
        <v/>
      </c>
    </row>
    <row r="64" spans="1:8" ht="11.9" customHeight="1" thickBot="1">
      <c r="A64" s="1854" t="s">
        <v>996</v>
      </c>
      <c r="B64" s="1855"/>
      <c r="C64" s="1855"/>
      <c r="D64" s="1855"/>
      <c r="E64" s="1856"/>
      <c r="F64" s="970">
        <f>F62+F63</f>
        <v>0</v>
      </c>
      <c r="G64" s="970">
        <f>G62+G63</f>
        <v>0</v>
      </c>
      <c r="H64" s="971" t="str">
        <f t="shared" si="3"/>
        <v/>
      </c>
    </row>
    <row r="65" spans="1:8" ht="40.5" customHeight="1">
      <c r="A65" s="1857" t="s">
        <v>1901</v>
      </c>
      <c r="B65" s="1857"/>
      <c r="C65" s="1857"/>
      <c r="D65" s="1857"/>
      <c r="E65" s="1857"/>
      <c r="F65" s="1857"/>
      <c r="G65" s="1857"/>
      <c r="H65" s="1857"/>
    </row>
  </sheetData>
  <sheetProtection selectLockedCells="1"/>
  <mergeCells count="68">
    <mergeCell ref="G2:H2"/>
    <mergeCell ref="C6:D6"/>
    <mergeCell ref="C5:D5"/>
    <mergeCell ref="C3:H3"/>
    <mergeCell ref="B4:E4"/>
    <mergeCell ref="G4:H4"/>
    <mergeCell ref="A17:E17"/>
    <mergeCell ref="A7:H7"/>
    <mergeCell ref="A8:E8"/>
    <mergeCell ref="A9:H9"/>
    <mergeCell ref="A10:E10"/>
    <mergeCell ref="F10:H10"/>
    <mergeCell ref="A11:E11"/>
    <mergeCell ref="A12:E12"/>
    <mergeCell ref="A13:E13"/>
    <mergeCell ref="A14:E14"/>
    <mergeCell ref="A15:E15"/>
    <mergeCell ref="A16:E16"/>
    <mergeCell ref="A25:E25"/>
    <mergeCell ref="A18:E18"/>
    <mergeCell ref="A19:E19"/>
    <mergeCell ref="A20:E20"/>
    <mergeCell ref="F20:H20"/>
    <mergeCell ref="A21:E21"/>
    <mergeCell ref="A22:E22"/>
    <mergeCell ref="A23:E23"/>
    <mergeCell ref="A24:E24"/>
    <mergeCell ref="A33:E33"/>
    <mergeCell ref="A26:E26"/>
    <mergeCell ref="A27:E27"/>
    <mergeCell ref="A28:E28"/>
    <mergeCell ref="A29:E29"/>
    <mergeCell ref="A30:E30"/>
    <mergeCell ref="A31:E31"/>
    <mergeCell ref="A32:E32"/>
    <mergeCell ref="A45:E45"/>
    <mergeCell ref="A34:E34"/>
    <mergeCell ref="A35:E35"/>
    <mergeCell ref="A36:E36"/>
    <mergeCell ref="A37:E37"/>
    <mergeCell ref="A38:H38"/>
    <mergeCell ref="A39:E39"/>
    <mergeCell ref="A40:E40"/>
    <mergeCell ref="A41:H41"/>
    <mergeCell ref="A42:E42"/>
    <mergeCell ref="A43:E43"/>
    <mergeCell ref="A44:E44"/>
    <mergeCell ref="A52:E52"/>
    <mergeCell ref="A53:E53"/>
    <mergeCell ref="A54:E54"/>
    <mergeCell ref="A55:E55"/>
    <mergeCell ref="A56:H56"/>
    <mergeCell ref="A1:H1"/>
    <mergeCell ref="A64:E64"/>
    <mergeCell ref="A65:H65"/>
    <mergeCell ref="A58:E58"/>
    <mergeCell ref="A59:E59"/>
    <mergeCell ref="A60:E60"/>
    <mergeCell ref="A61:H61"/>
    <mergeCell ref="A62:E62"/>
    <mergeCell ref="A63:E63"/>
    <mergeCell ref="A57:E57"/>
    <mergeCell ref="A46:E46"/>
    <mergeCell ref="A47:E47"/>
    <mergeCell ref="A48:E48"/>
    <mergeCell ref="A49:E49"/>
    <mergeCell ref="A50:E50"/>
    <mergeCell ref="A51:E51"/>
  </mergeCells>
  <dataValidations count="2">
    <dataValidation type="whole" allowBlank="1" showInputMessage="1" showErrorMessage="1" errorTitle="Attention!" error="Valeur numérique attendue" sqref="F11:G19 F21:G37 F42:G55 F57:G60 F62:G64" xr:uid="{00000000-0002-0000-3A00-000000000000}">
      <formula1>-9999999999999</formula1>
      <formula2>9999999999999</formula2>
    </dataValidation>
    <dataValidation type="decimal" allowBlank="1" showInputMessage="1" showErrorMessage="1" errorTitle="Attention!" error="Valeur numérique attendue" sqref="F39:G40" xr:uid="{00000000-0002-0000-3A00-000001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1"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63">
    <pageSetUpPr fitToPage="1"/>
  </sheetPr>
  <dimension ref="A1:I52"/>
  <sheetViews>
    <sheetView showGridLines="0" topLeftCell="A36" zoomScale="150" zoomScaleNormal="150" workbookViewId="0">
      <selection activeCell="A9" sqref="A9:I52"/>
    </sheetView>
  </sheetViews>
  <sheetFormatPr baseColWidth="10" defaultRowHeight="14.5"/>
  <cols>
    <col min="2" max="2" width="12.1796875" customWidth="1"/>
    <col min="4" max="4" width="8.453125" customWidth="1"/>
    <col min="5" max="5" width="13" customWidth="1"/>
    <col min="6" max="6" width="8.54296875" customWidth="1"/>
    <col min="7" max="7" width="17.1796875" customWidth="1"/>
    <col min="8" max="8" width="12.54296875" customWidth="1"/>
    <col min="9" max="9" width="11.453125" customWidth="1"/>
  </cols>
  <sheetData>
    <row r="1" spans="1:9">
      <c r="A1" s="1134" t="s">
        <v>183</v>
      </c>
      <c r="B1" s="1134"/>
      <c r="C1" s="1134"/>
      <c r="D1" s="1134"/>
      <c r="E1" s="1134"/>
      <c r="F1" s="1134"/>
      <c r="G1" s="1134"/>
      <c r="H1" s="1134"/>
      <c r="I1" s="1134"/>
    </row>
    <row r="2" spans="1:9" ht="25" customHeight="1">
      <c r="A2" s="40"/>
      <c r="B2" s="40"/>
      <c r="C2" s="40"/>
      <c r="D2" s="40"/>
      <c r="E2" s="40"/>
      <c r="F2" s="40"/>
      <c r="H2" s="1135" t="s">
        <v>1625</v>
      </c>
      <c r="I2" s="1137"/>
    </row>
    <row r="3" spans="1:9">
      <c r="A3" s="2" t="s">
        <v>26</v>
      </c>
      <c r="B3" s="2"/>
      <c r="C3" s="1945">
        <f>'NOTE 31'!C3</f>
        <v>0</v>
      </c>
      <c r="D3" s="1945"/>
      <c r="E3" s="1945"/>
      <c r="F3" s="1945"/>
      <c r="G3" s="1945"/>
      <c r="H3" s="1945"/>
      <c r="I3" s="1945"/>
    </row>
    <row r="4" spans="1:9">
      <c r="A4" s="2" t="s">
        <v>27</v>
      </c>
      <c r="B4" s="1945">
        <f>'NOTE 31'!B4</f>
        <v>0</v>
      </c>
      <c r="C4" s="1945"/>
      <c r="D4" s="1945"/>
      <c r="E4" s="1945"/>
      <c r="F4" s="1945"/>
      <c r="G4" s="1945"/>
      <c r="H4" s="114" t="s">
        <v>28</v>
      </c>
      <c r="I4" s="375">
        <f>'NOTE 31'!K4</f>
        <v>0</v>
      </c>
    </row>
    <row r="5" spans="1:9">
      <c r="A5" s="7" t="s">
        <v>2021</v>
      </c>
      <c r="B5" s="7"/>
      <c r="C5" s="1223">
        <f>'NOTE 31'!C5</f>
        <v>0</v>
      </c>
      <c r="D5" s="1223"/>
      <c r="E5" s="1944" t="s">
        <v>30</v>
      </c>
      <c r="F5" s="1944"/>
      <c r="G5" s="365">
        <f>'NOTE 31'!H5</f>
        <v>0</v>
      </c>
      <c r="H5" s="114" t="s">
        <v>31</v>
      </c>
      <c r="I5" s="365">
        <f>'NOTE 31'!K5</f>
        <v>0</v>
      </c>
    </row>
    <row r="6" spans="1:9">
      <c r="A6" s="268" t="s">
        <v>2024</v>
      </c>
      <c r="B6" s="7"/>
      <c r="C6" s="1461">
        <f>'NOTE 31'!C6</f>
        <v>0</v>
      </c>
      <c r="D6" s="1461"/>
      <c r="E6" s="376"/>
      <c r="F6" s="376"/>
      <c r="G6" s="44"/>
      <c r="H6" s="377"/>
      <c r="I6" s="44"/>
    </row>
    <row r="7" spans="1:9" ht="24.75" customHeight="1">
      <c r="A7" s="1212" t="s">
        <v>1651</v>
      </c>
      <c r="B7" s="1169"/>
      <c r="C7" s="1169"/>
      <c r="D7" s="1169"/>
      <c r="E7" s="1169"/>
      <c r="F7" s="1169"/>
      <c r="G7" s="1169"/>
      <c r="H7" s="1169"/>
      <c r="I7" s="1169"/>
    </row>
    <row r="8" spans="1:9" ht="12.75" customHeight="1" thickBot="1">
      <c r="A8" s="1927" t="s">
        <v>997</v>
      </c>
      <c r="B8" s="1927"/>
      <c r="C8" s="1927"/>
      <c r="D8" s="1927"/>
      <c r="E8" s="1927"/>
      <c r="F8" s="1927"/>
      <c r="G8" s="1927"/>
      <c r="H8" s="1927"/>
      <c r="I8" s="1927"/>
    </row>
    <row r="9" spans="1:9" ht="22.5" customHeight="1">
      <c r="A9" s="1928" t="s">
        <v>998</v>
      </c>
      <c r="B9" s="1929"/>
      <c r="C9" s="1929"/>
      <c r="D9" s="1929"/>
      <c r="E9" s="1929"/>
      <c r="F9" s="1929"/>
      <c r="G9" s="1929"/>
      <c r="H9" s="1929"/>
      <c r="I9" s="1930"/>
    </row>
    <row r="10" spans="1:9" ht="12.75" customHeight="1">
      <c r="A10" s="1931" t="s">
        <v>999</v>
      </c>
      <c r="B10" s="1932"/>
      <c r="C10" s="1932"/>
      <c r="D10" s="1932"/>
      <c r="E10" s="1932"/>
      <c r="F10" s="1932"/>
      <c r="G10" s="1932"/>
      <c r="H10" s="1932"/>
      <c r="I10" s="1933"/>
    </row>
    <row r="11" spans="1:9" ht="14.25" customHeight="1">
      <c r="A11" s="1934" t="s">
        <v>2028</v>
      </c>
      <c r="B11" s="1935"/>
      <c r="C11" s="1935"/>
      <c r="D11" s="1935"/>
      <c r="E11" s="1935"/>
      <c r="F11" s="1935"/>
      <c r="G11" s="1935"/>
      <c r="H11" s="1935"/>
      <c r="I11" s="1936"/>
    </row>
    <row r="12" spans="1:9" ht="14.25" customHeight="1">
      <c r="A12" s="1937" t="s">
        <v>1000</v>
      </c>
      <c r="B12" s="1938"/>
      <c r="C12" s="1938"/>
      <c r="D12" s="1938"/>
      <c r="E12" s="1938"/>
      <c r="F12" s="1938"/>
      <c r="G12" s="1938"/>
      <c r="H12" s="1938"/>
      <c r="I12" s="1939"/>
    </row>
    <row r="13" spans="1:9" ht="14.25" customHeight="1">
      <c r="A13" s="1924" t="s">
        <v>1001</v>
      </c>
      <c r="B13" s="1925"/>
      <c r="C13" s="1925"/>
      <c r="D13" s="1925"/>
      <c r="E13" s="1925"/>
      <c r="F13" s="1925"/>
      <c r="G13" s="1925"/>
      <c r="H13" s="1925"/>
      <c r="I13" s="1926"/>
    </row>
    <row r="14" spans="1:9" ht="14.25" customHeight="1">
      <c r="A14" s="1940" t="s">
        <v>1002</v>
      </c>
      <c r="B14" s="1941"/>
      <c r="C14" s="1941"/>
      <c r="D14" s="1941"/>
      <c r="E14" s="1941"/>
      <c r="F14" s="1941"/>
      <c r="G14" s="1941"/>
      <c r="H14" s="1941"/>
      <c r="I14" s="1942"/>
    </row>
    <row r="15" spans="1:9" ht="14.25" customHeight="1">
      <c r="A15" s="1934" t="s">
        <v>1003</v>
      </c>
      <c r="B15" s="1935"/>
      <c r="C15" s="1935"/>
      <c r="D15" s="1935"/>
      <c r="E15" s="1935"/>
      <c r="F15" s="1935"/>
      <c r="G15" s="1935"/>
      <c r="H15" s="1935"/>
      <c r="I15" s="1936"/>
    </row>
    <row r="16" spans="1:9" ht="14.25" customHeight="1">
      <c r="A16" s="1924" t="s">
        <v>1004</v>
      </c>
      <c r="B16" s="1925"/>
      <c r="C16" s="1925"/>
      <c r="D16" s="1925"/>
      <c r="E16" s="1925"/>
      <c r="F16" s="1925"/>
      <c r="G16" s="1925"/>
      <c r="H16" s="1925"/>
      <c r="I16" s="1926"/>
    </row>
    <row r="17" spans="1:9" ht="14.25" customHeight="1">
      <c r="A17" s="1940" t="s">
        <v>1005</v>
      </c>
      <c r="B17" s="1941"/>
      <c r="C17" s="1941"/>
      <c r="D17" s="1941"/>
      <c r="E17" s="1941"/>
      <c r="F17" s="1941"/>
      <c r="G17" s="1941"/>
      <c r="H17" s="1941"/>
      <c r="I17" s="1942"/>
    </row>
    <row r="18" spans="1:9" ht="14.25" customHeight="1">
      <c r="A18" s="1880" t="s">
        <v>1006</v>
      </c>
      <c r="B18" s="1803"/>
      <c r="C18" s="1803"/>
      <c r="D18" s="1803"/>
      <c r="E18" s="1803"/>
      <c r="F18" s="1803"/>
      <c r="G18" s="1803"/>
      <c r="H18" s="1803"/>
      <c r="I18" s="1943"/>
    </row>
    <row r="19" spans="1:9" ht="14.25" customHeight="1">
      <c r="A19" s="1924" t="s">
        <v>1007</v>
      </c>
      <c r="B19" s="1925"/>
      <c r="C19" s="1925"/>
      <c r="D19" s="1925"/>
      <c r="E19" s="1925"/>
      <c r="F19" s="1925"/>
      <c r="G19" s="1925"/>
      <c r="H19" s="1925"/>
      <c r="I19" s="1926"/>
    </row>
    <row r="20" spans="1:9" ht="22.5" customHeight="1">
      <c r="A20" s="1912" t="s">
        <v>1008</v>
      </c>
      <c r="B20" s="1913"/>
      <c r="C20" s="1913"/>
      <c r="D20" s="1913"/>
      <c r="E20" s="1913"/>
      <c r="F20" s="1913"/>
      <c r="G20" s="1913"/>
      <c r="H20" s="1913"/>
      <c r="I20" s="1914"/>
    </row>
    <row r="21" spans="1:9" ht="14.25" customHeight="1">
      <c r="A21" s="1915" t="s">
        <v>1009</v>
      </c>
      <c r="B21" s="1916"/>
      <c r="C21" s="1916"/>
      <c r="D21" s="1916"/>
      <c r="E21" s="1916"/>
      <c r="F21" s="1916"/>
      <c r="G21" s="1916"/>
      <c r="H21" s="1916"/>
      <c r="I21" s="1917"/>
    </row>
    <row r="22" spans="1:9" ht="14.25" customHeight="1">
      <c r="A22" s="1924" t="s">
        <v>1010</v>
      </c>
      <c r="B22" s="1925"/>
      <c r="C22" s="1925"/>
      <c r="D22" s="1925"/>
      <c r="E22" s="1925"/>
      <c r="F22" s="1925"/>
      <c r="G22" s="1925"/>
      <c r="H22" s="1925"/>
      <c r="I22" s="1926"/>
    </row>
    <row r="23" spans="1:9" ht="14.25" customHeight="1">
      <c r="A23" s="1912" t="s">
        <v>1011</v>
      </c>
      <c r="B23" s="1913"/>
      <c r="C23" s="1913"/>
      <c r="D23" s="1913"/>
      <c r="E23" s="1913"/>
      <c r="F23" s="1913"/>
      <c r="G23" s="1913"/>
      <c r="H23" s="1913"/>
      <c r="I23" s="1914"/>
    </row>
    <row r="24" spans="1:9" ht="14.25" customHeight="1">
      <c r="A24" s="1915" t="s">
        <v>1012</v>
      </c>
      <c r="B24" s="1916"/>
      <c r="C24" s="1916"/>
      <c r="D24" s="1916"/>
      <c r="E24" s="1916"/>
      <c r="F24" s="1916"/>
      <c r="G24" s="1916"/>
      <c r="H24" s="1916"/>
      <c r="I24" s="1917"/>
    </row>
    <row r="25" spans="1:9" ht="14.25" customHeight="1">
      <c r="A25" s="1924" t="s">
        <v>1013</v>
      </c>
      <c r="B25" s="1925"/>
      <c r="C25" s="1925"/>
      <c r="D25" s="1925"/>
      <c r="E25" s="1925"/>
      <c r="F25" s="1925"/>
      <c r="G25" s="1925"/>
      <c r="H25" s="1925"/>
      <c r="I25" s="1926"/>
    </row>
    <row r="26" spans="1:9" ht="14.25" customHeight="1">
      <c r="A26" s="1912" t="s">
        <v>1014</v>
      </c>
      <c r="B26" s="1913"/>
      <c r="C26" s="1913"/>
      <c r="D26" s="1913"/>
      <c r="E26" s="1913"/>
      <c r="F26" s="1913"/>
      <c r="G26" s="1913"/>
      <c r="H26" s="1913"/>
      <c r="I26" s="1914"/>
    </row>
    <row r="27" spans="1:9" ht="12.75" customHeight="1">
      <c r="A27" s="1921" t="s">
        <v>1015</v>
      </c>
      <c r="B27" s="1922"/>
      <c r="C27" s="1922"/>
      <c r="D27" s="1922"/>
      <c r="E27" s="1922"/>
      <c r="F27" s="1922"/>
      <c r="G27" s="1922"/>
      <c r="H27" s="1922"/>
      <c r="I27" s="1923"/>
    </row>
    <row r="28" spans="1:9" ht="14.25" customHeight="1">
      <c r="A28" s="1915" t="s">
        <v>1016</v>
      </c>
      <c r="B28" s="1916"/>
      <c r="C28" s="1916"/>
      <c r="D28" s="1916"/>
      <c r="E28" s="1916"/>
      <c r="F28" s="1916"/>
      <c r="G28" s="1916"/>
      <c r="H28" s="1916"/>
      <c r="I28" s="1917"/>
    </row>
    <row r="29" spans="1:9" ht="22.5" customHeight="1">
      <c r="A29" s="1924" t="s">
        <v>1017</v>
      </c>
      <c r="B29" s="1925"/>
      <c r="C29" s="1925"/>
      <c r="D29" s="1925"/>
      <c r="E29" s="1925"/>
      <c r="F29" s="1925"/>
      <c r="G29" s="1925"/>
      <c r="H29" s="1925"/>
      <c r="I29" s="1926"/>
    </row>
    <row r="30" spans="1:9" ht="15" customHeight="1">
      <c r="A30" s="1924" t="s">
        <v>1018</v>
      </c>
      <c r="B30" s="1925"/>
      <c r="C30" s="1925"/>
      <c r="D30" s="1925"/>
      <c r="E30" s="1925"/>
      <c r="F30" s="1925"/>
      <c r="G30" s="1925"/>
      <c r="H30" s="1925"/>
      <c r="I30" s="1926"/>
    </row>
    <row r="31" spans="1:9" ht="14.25" customHeight="1">
      <c r="A31" s="1912" t="s">
        <v>1019</v>
      </c>
      <c r="B31" s="1913"/>
      <c r="C31" s="1913"/>
      <c r="D31" s="1913"/>
      <c r="E31" s="1913"/>
      <c r="F31" s="1913"/>
      <c r="G31" s="1913"/>
      <c r="H31" s="1913"/>
      <c r="I31" s="1914"/>
    </row>
    <row r="32" spans="1:9" ht="14.25" customHeight="1">
      <c r="A32" s="1915" t="s">
        <v>1020</v>
      </c>
      <c r="B32" s="1916"/>
      <c r="C32" s="1916"/>
      <c r="D32" s="1916"/>
      <c r="E32" s="1916"/>
      <c r="F32" s="1916"/>
      <c r="G32" s="1916"/>
      <c r="H32" s="1916"/>
      <c r="I32" s="1917"/>
    </row>
    <row r="33" spans="1:9" ht="14.25" customHeight="1">
      <c r="A33" s="1924" t="s">
        <v>1021</v>
      </c>
      <c r="B33" s="1925"/>
      <c r="C33" s="1925"/>
      <c r="D33" s="1925"/>
      <c r="E33" s="1925"/>
      <c r="F33" s="1925"/>
      <c r="G33" s="1925"/>
      <c r="H33" s="1925"/>
      <c r="I33" s="1926"/>
    </row>
    <row r="34" spans="1:9" ht="14.25" customHeight="1">
      <c r="A34" s="1924" t="s">
        <v>1022</v>
      </c>
      <c r="B34" s="1925"/>
      <c r="C34" s="1925"/>
      <c r="D34" s="1925"/>
      <c r="E34" s="1925"/>
      <c r="F34" s="1925"/>
      <c r="G34" s="1925"/>
      <c r="H34" s="1925"/>
      <c r="I34" s="1926"/>
    </row>
    <row r="35" spans="1:9" ht="14.25" customHeight="1">
      <c r="A35" s="1912" t="s">
        <v>1023</v>
      </c>
      <c r="B35" s="1913"/>
      <c r="C35" s="1913"/>
      <c r="D35" s="1913"/>
      <c r="E35" s="1913"/>
      <c r="F35" s="1913"/>
      <c r="G35" s="1913"/>
      <c r="H35" s="1913"/>
      <c r="I35" s="1914"/>
    </row>
    <row r="36" spans="1:9" ht="14.25" customHeight="1">
      <c r="A36" s="1915" t="s">
        <v>1024</v>
      </c>
      <c r="B36" s="1916"/>
      <c r="C36" s="1916"/>
      <c r="D36" s="1916"/>
      <c r="E36" s="1916"/>
      <c r="F36" s="1916"/>
      <c r="G36" s="1916"/>
      <c r="H36" s="1916"/>
      <c r="I36" s="1917"/>
    </row>
    <row r="37" spans="1:9" ht="14.25" customHeight="1">
      <c r="A37" s="1924" t="s">
        <v>1025</v>
      </c>
      <c r="B37" s="1925"/>
      <c r="C37" s="1925"/>
      <c r="D37" s="1925"/>
      <c r="E37" s="1925"/>
      <c r="F37" s="1925"/>
      <c r="G37" s="1925"/>
      <c r="H37" s="1925"/>
      <c r="I37" s="1926"/>
    </row>
    <row r="38" spans="1:9" ht="14.25" customHeight="1">
      <c r="A38" s="1924" t="s">
        <v>1026</v>
      </c>
      <c r="B38" s="1925"/>
      <c r="C38" s="1925"/>
      <c r="D38" s="1925"/>
      <c r="E38" s="1925"/>
      <c r="F38" s="1925"/>
      <c r="G38" s="1925"/>
      <c r="H38" s="1925"/>
      <c r="I38" s="1926"/>
    </row>
    <row r="39" spans="1:9" ht="14.25" customHeight="1">
      <c r="A39" s="1912" t="s">
        <v>1027</v>
      </c>
      <c r="B39" s="1913"/>
      <c r="C39" s="1913"/>
      <c r="D39" s="1913"/>
      <c r="E39" s="1913"/>
      <c r="F39" s="1913"/>
      <c r="G39" s="1913"/>
      <c r="H39" s="1913"/>
      <c r="I39" s="1914"/>
    </row>
    <row r="40" spans="1:9" ht="14.25" customHeight="1">
      <c r="A40" s="1915" t="s">
        <v>1028</v>
      </c>
      <c r="B40" s="1916"/>
      <c r="C40" s="1916"/>
      <c r="D40" s="1916"/>
      <c r="E40" s="1916"/>
      <c r="F40" s="1916"/>
      <c r="G40" s="1916"/>
      <c r="H40" s="1916"/>
      <c r="I40" s="1917"/>
    </row>
    <row r="41" spans="1:9" ht="14.25" customHeight="1">
      <c r="A41" s="1912" t="s">
        <v>1029</v>
      </c>
      <c r="B41" s="1913"/>
      <c r="C41" s="1913"/>
      <c r="D41" s="1913"/>
      <c r="E41" s="1913"/>
      <c r="F41" s="1913"/>
      <c r="G41" s="1913"/>
      <c r="H41" s="1913"/>
      <c r="I41" s="1914"/>
    </row>
    <row r="42" spans="1:9" ht="14.25" customHeight="1">
      <c r="A42" s="1915" t="s">
        <v>1030</v>
      </c>
      <c r="B42" s="1916"/>
      <c r="C42" s="1916"/>
      <c r="D42" s="1916"/>
      <c r="E42" s="1916"/>
      <c r="F42" s="1916"/>
      <c r="G42" s="1916"/>
      <c r="H42" s="1916"/>
      <c r="I42" s="1917"/>
    </row>
    <row r="43" spans="1:9" ht="14.25" customHeight="1">
      <c r="A43" s="1912" t="s">
        <v>1031</v>
      </c>
      <c r="B43" s="1913"/>
      <c r="C43" s="1913"/>
      <c r="D43" s="1913"/>
      <c r="E43" s="1913"/>
      <c r="F43" s="1913"/>
      <c r="G43" s="1913"/>
      <c r="H43" s="1913"/>
      <c r="I43" s="1914"/>
    </row>
    <row r="44" spans="1:9" ht="12.75" customHeight="1">
      <c r="A44" s="1921" t="s">
        <v>1032</v>
      </c>
      <c r="B44" s="1922"/>
      <c r="C44" s="1922"/>
      <c r="D44" s="1922"/>
      <c r="E44" s="1922"/>
      <c r="F44" s="1922"/>
      <c r="G44" s="1922"/>
      <c r="H44" s="1922"/>
      <c r="I44" s="1923"/>
    </row>
    <row r="45" spans="1:9">
      <c r="A45" s="1915" t="s">
        <v>1033</v>
      </c>
      <c r="B45" s="1916"/>
      <c r="C45" s="1916"/>
      <c r="D45" s="1916"/>
      <c r="E45" s="1916"/>
      <c r="F45" s="1916"/>
      <c r="G45" s="1916"/>
      <c r="H45" s="1916"/>
      <c r="I45" s="1917"/>
    </row>
    <row r="46" spans="1:9">
      <c r="A46" s="1924" t="s">
        <v>1034</v>
      </c>
      <c r="B46" s="1925"/>
      <c r="C46" s="1925"/>
      <c r="D46" s="1925"/>
      <c r="E46" s="1925"/>
      <c r="F46" s="1925"/>
      <c r="G46" s="1925"/>
      <c r="H46" s="1925"/>
      <c r="I46" s="1926"/>
    </row>
    <row r="47" spans="1:9">
      <c r="A47" s="1912" t="s">
        <v>1035</v>
      </c>
      <c r="B47" s="1913"/>
      <c r="C47" s="1913"/>
      <c r="D47" s="1913"/>
      <c r="E47" s="1913"/>
      <c r="F47" s="1913"/>
      <c r="G47" s="1913"/>
      <c r="H47" s="1913"/>
      <c r="I47" s="1914"/>
    </row>
    <row r="48" spans="1:9" ht="25.5" customHeight="1">
      <c r="A48" s="1915" t="s">
        <v>1036</v>
      </c>
      <c r="B48" s="1916"/>
      <c r="C48" s="1916"/>
      <c r="D48" s="1916"/>
      <c r="E48" s="1916"/>
      <c r="F48" s="1916"/>
      <c r="G48" s="1916"/>
      <c r="H48" s="1916"/>
      <c r="I48" s="1917"/>
    </row>
    <row r="49" spans="1:9">
      <c r="A49" s="1924" t="s">
        <v>1037</v>
      </c>
      <c r="B49" s="1925"/>
      <c r="C49" s="1925"/>
      <c r="D49" s="1925"/>
      <c r="E49" s="1925"/>
      <c r="F49" s="1925"/>
      <c r="G49" s="1925"/>
      <c r="H49" s="1925"/>
      <c r="I49" s="1926"/>
    </row>
    <row r="50" spans="1:9">
      <c r="A50" s="1912" t="s">
        <v>1038</v>
      </c>
      <c r="B50" s="1913"/>
      <c r="C50" s="1913"/>
      <c r="D50" s="1913"/>
      <c r="E50" s="1913"/>
      <c r="F50" s="1913"/>
      <c r="G50" s="1913"/>
      <c r="H50" s="1913"/>
      <c r="I50" s="1914"/>
    </row>
    <row r="51" spans="1:9">
      <c r="A51" s="1915" t="s">
        <v>1039</v>
      </c>
      <c r="B51" s="1916"/>
      <c r="C51" s="1916"/>
      <c r="D51" s="1916"/>
      <c r="E51" s="1916"/>
      <c r="F51" s="1916"/>
      <c r="G51" s="1916"/>
      <c r="H51" s="1916"/>
      <c r="I51" s="1917"/>
    </row>
    <row r="52" spans="1:9" ht="15" thickBot="1">
      <c r="A52" s="1918" t="s">
        <v>1040</v>
      </c>
      <c r="B52" s="1919"/>
      <c r="C52" s="1919"/>
      <c r="D52" s="1919"/>
      <c r="E52" s="1919"/>
      <c r="F52" s="1919"/>
      <c r="G52" s="1919"/>
      <c r="H52" s="1919"/>
      <c r="I52" s="1920"/>
    </row>
  </sheetData>
  <sheetProtection selectLockedCells="1"/>
  <mergeCells count="53">
    <mergeCell ref="A7:I7"/>
    <mergeCell ref="A1:I1"/>
    <mergeCell ref="H2:I2"/>
    <mergeCell ref="C5:D5"/>
    <mergeCell ref="E5:F5"/>
    <mergeCell ref="C6:D6"/>
    <mergeCell ref="B4:G4"/>
    <mergeCell ref="C3:I3"/>
    <mergeCell ref="A19:I19"/>
    <mergeCell ref="A8:I8"/>
    <mergeCell ref="A9:I9"/>
    <mergeCell ref="A10:I10"/>
    <mergeCell ref="A11:I11"/>
    <mergeCell ref="A12:I12"/>
    <mergeCell ref="A13:I13"/>
    <mergeCell ref="A14:I14"/>
    <mergeCell ref="A15:I15"/>
    <mergeCell ref="A16:I16"/>
    <mergeCell ref="A17:I17"/>
    <mergeCell ref="A18:I18"/>
    <mergeCell ref="A31:I31"/>
    <mergeCell ref="A20:I20"/>
    <mergeCell ref="A21:I21"/>
    <mergeCell ref="A22:I22"/>
    <mergeCell ref="A23:I23"/>
    <mergeCell ref="A24:I24"/>
    <mergeCell ref="A25:I25"/>
    <mergeCell ref="A26:I26"/>
    <mergeCell ref="A27:I27"/>
    <mergeCell ref="A28:I28"/>
    <mergeCell ref="A29:I29"/>
    <mergeCell ref="A30:I30"/>
    <mergeCell ref="A43:I43"/>
    <mergeCell ref="A32:I32"/>
    <mergeCell ref="A33:I33"/>
    <mergeCell ref="A34:I34"/>
    <mergeCell ref="A35:I35"/>
    <mergeCell ref="A36:I36"/>
    <mergeCell ref="A37:I37"/>
    <mergeCell ref="A38:I38"/>
    <mergeCell ref="A39:I39"/>
    <mergeCell ref="A40:I40"/>
    <mergeCell ref="A41:I41"/>
    <mergeCell ref="A42:I42"/>
    <mergeCell ref="A50:I50"/>
    <mergeCell ref="A51:I51"/>
    <mergeCell ref="A52:I52"/>
    <mergeCell ref="A44:I44"/>
    <mergeCell ref="A45:I45"/>
    <mergeCell ref="A46:I46"/>
    <mergeCell ref="A47:I47"/>
    <mergeCell ref="A48:I48"/>
    <mergeCell ref="A49:I49"/>
  </mergeCell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64">
    <pageSetUpPr fitToPage="1"/>
  </sheetPr>
  <dimension ref="A1:I31"/>
  <sheetViews>
    <sheetView showGridLines="0" workbookViewId="0">
      <selection activeCell="A8" sqref="A8:I31"/>
    </sheetView>
  </sheetViews>
  <sheetFormatPr baseColWidth="10" defaultRowHeight="14.5"/>
  <cols>
    <col min="2" max="2" width="21.1796875" customWidth="1"/>
    <col min="3" max="3" width="12.453125" customWidth="1"/>
    <col min="4" max="4" width="8.1796875" customWidth="1"/>
    <col min="5" max="5" width="14.81640625" customWidth="1"/>
    <col min="6" max="6" width="10.453125" customWidth="1"/>
    <col min="7" max="7" width="6.81640625" customWidth="1"/>
  </cols>
  <sheetData>
    <row r="1" spans="1:9" ht="12.75" customHeight="1">
      <c r="A1" s="1134" t="s">
        <v>183</v>
      </c>
      <c r="B1" s="1134"/>
      <c r="C1" s="1134"/>
      <c r="D1" s="1134"/>
      <c r="E1" s="1134"/>
      <c r="F1" s="1134"/>
      <c r="G1" s="1134"/>
      <c r="H1" s="1134"/>
      <c r="I1" s="1134"/>
    </row>
    <row r="2" spans="1:9" ht="23.25" customHeight="1">
      <c r="A2" s="40"/>
      <c r="B2" s="40"/>
      <c r="C2" s="40"/>
      <c r="D2" s="40"/>
      <c r="E2" s="40"/>
      <c r="F2" s="40"/>
      <c r="G2" s="29"/>
      <c r="H2" s="1957" t="s">
        <v>1468</v>
      </c>
      <c r="I2" s="1958"/>
    </row>
    <row r="3" spans="1:9" s="132" customFormat="1" ht="15" customHeight="1">
      <c r="A3" s="7" t="s">
        <v>26</v>
      </c>
      <c r="B3" s="7"/>
      <c r="C3" s="1221">
        <f>'NOTE 31'!C3</f>
        <v>0</v>
      </c>
      <c r="D3" s="1221"/>
      <c r="E3" s="1221"/>
      <c r="F3" s="1221"/>
      <c r="G3" s="1221"/>
      <c r="H3" s="1221"/>
    </row>
    <row r="4" spans="1:9" s="132" customFormat="1" ht="15" customHeight="1">
      <c r="A4" s="7" t="s">
        <v>27</v>
      </c>
      <c r="B4" s="1158">
        <f>'NOTE 31'!B4</f>
        <v>0</v>
      </c>
      <c r="C4" s="1158"/>
      <c r="D4" s="1158"/>
      <c r="E4" s="1158"/>
      <c r="F4" s="1158"/>
      <c r="G4" s="1158"/>
      <c r="H4" s="61" t="s">
        <v>28</v>
      </c>
      <c r="I4" s="365">
        <f>'NOTE 31'!K4</f>
        <v>0</v>
      </c>
    </row>
    <row r="5" spans="1:9" s="132" customFormat="1" ht="15" customHeight="1">
      <c r="A5" s="7" t="s">
        <v>2021</v>
      </c>
      <c r="B5" s="7"/>
      <c r="C5" s="1221">
        <f>'NOTE 31'!C5</f>
        <v>0</v>
      </c>
      <c r="D5" s="1221"/>
      <c r="E5" s="43" t="s">
        <v>30</v>
      </c>
      <c r="F5" s="119">
        <f>'NOTE 31'!H5</f>
        <v>0</v>
      </c>
      <c r="H5" s="61" t="s">
        <v>31</v>
      </c>
      <c r="I5" s="44">
        <f>'NOTE 31'!K5</f>
        <v>0</v>
      </c>
    </row>
    <row r="6" spans="1:9" s="132" customFormat="1" ht="15" customHeight="1">
      <c r="A6" s="268" t="s">
        <v>2024</v>
      </c>
      <c r="B6" s="7"/>
      <c r="C6" s="1461">
        <f>'NOTE 31'!C6</f>
        <v>0</v>
      </c>
      <c r="D6" s="1461"/>
      <c r="E6" s="262"/>
      <c r="F6" s="44"/>
      <c r="G6" s="263"/>
      <c r="H6" s="44"/>
      <c r="I6" s="267"/>
    </row>
    <row r="7" spans="1:9" ht="35.15" customHeight="1" thickBot="1">
      <c r="A7" s="1169" t="s">
        <v>2335</v>
      </c>
      <c r="B7" s="1169"/>
      <c r="C7" s="1169"/>
      <c r="D7" s="1169"/>
      <c r="E7" s="1169"/>
      <c r="F7" s="1169"/>
      <c r="G7" s="1169"/>
      <c r="H7" s="1169"/>
      <c r="I7" s="1169"/>
    </row>
    <row r="8" spans="1:9">
      <c r="A8" s="972" t="s">
        <v>1626</v>
      </c>
      <c r="B8" s="973"/>
      <c r="C8" s="974"/>
      <c r="D8" s="973"/>
      <c r="E8" s="973"/>
      <c r="F8" s="973"/>
      <c r="G8" s="973"/>
      <c r="H8" s="973"/>
      <c r="I8" s="975"/>
    </row>
    <row r="9" spans="1:9">
      <c r="A9" s="976"/>
      <c r="B9" s="358"/>
      <c r="C9" s="358"/>
      <c r="D9" s="358"/>
      <c r="E9" s="358"/>
      <c r="F9" s="358"/>
      <c r="G9" s="358"/>
      <c r="H9" s="358"/>
      <c r="I9" s="977"/>
    </row>
    <row r="10" spans="1:9">
      <c r="A10" s="978" t="s">
        <v>1627</v>
      </c>
      <c r="B10" s="358"/>
      <c r="C10" s="358"/>
      <c r="D10" s="1955"/>
      <c r="E10" s="1955"/>
      <c r="F10" s="1955"/>
      <c r="G10" s="1955"/>
      <c r="H10" s="1955"/>
      <c r="I10" s="1956"/>
    </row>
    <row r="11" spans="1:9">
      <c r="A11" s="979"/>
      <c r="B11" s="359"/>
      <c r="C11" s="359"/>
      <c r="D11" s="359"/>
      <c r="E11" s="359"/>
      <c r="F11" s="359"/>
      <c r="G11" s="359"/>
      <c r="H11" s="359"/>
      <c r="I11" s="980"/>
    </row>
    <row r="12" spans="1:9" s="1" customFormat="1" ht="19.5" customHeight="1">
      <c r="A12" s="981" t="s">
        <v>1469</v>
      </c>
      <c r="B12" s="360"/>
      <c r="C12" s="360"/>
      <c r="D12" s="360"/>
      <c r="E12" s="360"/>
      <c r="F12" s="360"/>
      <c r="G12" s="360"/>
      <c r="H12" s="360"/>
      <c r="I12" s="982"/>
    </row>
    <row r="13" spans="1:9">
      <c r="A13" s="983" t="s">
        <v>1470</v>
      </c>
      <c r="B13" s="361"/>
      <c r="C13" s="361"/>
      <c r="D13" s="361"/>
      <c r="E13" s="361"/>
      <c r="F13" s="361"/>
      <c r="G13" s="361"/>
      <c r="H13" s="361"/>
      <c r="I13" s="984"/>
    </row>
    <row r="14" spans="1:9">
      <c r="A14" s="985" t="s">
        <v>1471</v>
      </c>
      <c r="B14" s="357"/>
      <c r="C14" s="357"/>
      <c r="D14" s="357"/>
      <c r="E14" s="357"/>
      <c r="F14" s="357"/>
      <c r="G14" s="357"/>
      <c r="H14" s="357"/>
      <c r="I14" s="986"/>
    </row>
    <row r="15" spans="1:9" ht="54" customHeight="1">
      <c r="A15" s="1952"/>
      <c r="B15" s="1953"/>
      <c r="C15" s="1953"/>
      <c r="D15" s="1953"/>
      <c r="E15" s="1953"/>
      <c r="F15" s="1953"/>
      <c r="G15" s="1953"/>
      <c r="H15" s="1953"/>
      <c r="I15" s="1954"/>
    </row>
    <row r="16" spans="1:9">
      <c r="A16" s="1949" t="s">
        <v>1472</v>
      </c>
      <c r="B16" s="1950"/>
      <c r="C16" s="1950"/>
      <c r="D16" s="1950"/>
      <c r="E16" s="1950"/>
      <c r="F16" s="1950"/>
      <c r="G16" s="1950"/>
      <c r="H16" s="1950"/>
      <c r="I16" s="1951"/>
    </row>
    <row r="17" spans="1:9">
      <c r="A17" s="987" t="s">
        <v>1473</v>
      </c>
      <c r="B17" s="357"/>
      <c r="C17" s="357"/>
      <c r="D17" s="357"/>
      <c r="E17" s="357"/>
      <c r="F17" s="357"/>
      <c r="G17" s="357"/>
      <c r="H17" s="357"/>
      <c r="I17" s="986"/>
    </row>
    <row r="18" spans="1:9" ht="54" customHeight="1">
      <c r="A18" s="1946"/>
      <c r="B18" s="1947"/>
      <c r="C18" s="1947"/>
      <c r="D18" s="1947"/>
      <c r="E18" s="1947"/>
      <c r="F18" s="1947"/>
      <c r="G18" s="1947"/>
      <c r="H18" s="1947"/>
      <c r="I18" s="1948"/>
    </row>
    <row r="19" spans="1:9" s="1" customFormat="1" ht="19.5" customHeight="1">
      <c r="A19" s="981" t="s">
        <v>1474</v>
      </c>
      <c r="B19" s="360"/>
      <c r="C19" s="360"/>
      <c r="D19" s="360"/>
      <c r="E19" s="360"/>
      <c r="F19" s="360"/>
      <c r="G19" s="360"/>
      <c r="H19" s="360"/>
      <c r="I19" s="982"/>
    </row>
    <row r="20" spans="1:9">
      <c r="A20" s="983"/>
      <c r="B20" s="361"/>
      <c r="C20" s="361"/>
      <c r="D20" s="361"/>
      <c r="E20" s="361"/>
      <c r="F20" s="361"/>
      <c r="G20" s="361"/>
      <c r="H20" s="361"/>
      <c r="I20" s="984"/>
    </row>
    <row r="21" spans="1:9">
      <c r="A21" s="985" t="s">
        <v>1471</v>
      </c>
      <c r="B21" s="357"/>
      <c r="C21" s="357"/>
      <c r="D21" s="357"/>
      <c r="E21" s="357"/>
      <c r="F21" s="357"/>
      <c r="G21" s="357"/>
      <c r="H21" s="357"/>
      <c r="I21" s="986"/>
    </row>
    <row r="22" spans="1:9" ht="54" customHeight="1">
      <c r="A22" s="1946"/>
      <c r="B22" s="1947"/>
      <c r="C22" s="1947"/>
      <c r="D22" s="1947"/>
      <c r="E22" s="1947"/>
      <c r="F22" s="1947"/>
      <c r="G22" s="1947"/>
      <c r="H22" s="1947"/>
      <c r="I22" s="1948"/>
    </row>
    <row r="23" spans="1:9">
      <c r="A23" s="987" t="s">
        <v>1475</v>
      </c>
      <c r="B23" s="357"/>
      <c r="C23" s="357"/>
      <c r="D23" s="357"/>
      <c r="E23" s="357"/>
      <c r="F23" s="357"/>
      <c r="G23" s="357"/>
      <c r="H23" s="357"/>
      <c r="I23" s="986"/>
    </row>
    <row r="24" spans="1:9" ht="54" customHeight="1">
      <c r="A24" s="1946"/>
      <c r="B24" s="1947"/>
      <c r="C24" s="1947"/>
      <c r="D24" s="1947"/>
      <c r="E24" s="1947"/>
      <c r="F24" s="1947"/>
      <c r="G24" s="1947"/>
      <c r="H24" s="1947"/>
      <c r="I24" s="1948"/>
    </row>
    <row r="25" spans="1:9" s="1" customFormat="1" ht="19.5" customHeight="1">
      <c r="A25" s="981" t="s">
        <v>1476</v>
      </c>
      <c r="B25" s="360"/>
      <c r="C25" s="360"/>
      <c r="D25" s="360"/>
      <c r="E25" s="360"/>
      <c r="F25" s="360"/>
      <c r="G25" s="360"/>
      <c r="H25" s="360"/>
      <c r="I25" s="982"/>
    </row>
    <row r="26" spans="1:9">
      <c r="A26" s="983"/>
      <c r="B26" s="361"/>
      <c r="C26" s="361"/>
      <c r="D26" s="361"/>
      <c r="E26" s="361"/>
      <c r="F26" s="361"/>
      <c r="G26" s="361"/>
      <c r="H26" s="361"/>
      <c r="I26" s="984"/>
    </row>
    <row r="27" spans="1:9">
      <c r="A27" s="985" t="s">
        <v>1471</v>
      </c>
      <c r="B27" s="357"/>
      <c r="C27" s="357"/>
      <c r="D27" s="357"/>
      <c r="E27" s="357"/>
      <c r="F27" s="357"/>
      <c r="G27" s="357"/>
      <c r="H27" s="357"/>
      <c r="I27" s="986"/>
    </row>
    <row r="28" spans="1:9" ht="54" customHeight="1">
      <c r="A28" s="1946"/>
      <c r="B28" s="1947"/>
      <c r="C28" s="1947"/>
      <c r="D28" s="1947"/>
      <c r="E28" s="1947"/>
      <c r="F28" s="1947"/>
      <c r="G28" s="1947"/>
      <c r="H28" s="1947"/>
      <c r="I28" s="1948"/>
    </row>
    <row r="29" spans="1:9">
      <c r="A29" s="1949" t="s">
        <v>1477</v>
      </c>
      <c r="B29" s="1950"/>
      <c r="C29" s="1950"/>
      <c r="D29" s="1950"/>
      <c r="E29" s="1950"/>
      <c r="F29" s="1950"/>
      <c r="G29" s="1950"/>
      <c r="H29" s="1950"/>
      <c r="I29" s="1951"/>
    </row>
    <row r="30" spans="1:9">
      <c r="A30" s="1949" t="s">
        <v>1478</v>
      </c>
      <c r="B30" s="1950"/>
      <c r="C30" s="1950"/>
      <c r="D30" s="1950"/>
      <c r="E30" s="1950"/>
      <c r="F30" s="1950"/>
      <c r="G30" s="1950"/>
      <c r="H30" s="1950"/>
      <c r="I30" s="1951"/>
    </row>
    <row r="31" spans="1:9">
      <c r="A31" s="1354"/>
      <c r="B31" s="1354"/>
      <c r="C31" s="1354"/>
      <c r="D31" s="1354"/>
      <c r="E31" s="1354"/>
      <c r="F31" s="1354"/>
      <c r="G31" s="1354"/>
      <c r="H31" s="1354"/>
      <c r="I31" s="1354"/>
    </row>
  </sheetData>
  <mergeCells count="17">
    <mergeCell ref="A15:I15"/>
    <mergeCell ref="A18:I18"/>
    <mergeCell ref="A24:I24"/>
    <mergeCell ref="A1:I1"/>
    <mergeCell ref="B4:G4"/>
    <mergeCell ref="C6:D6"/>
    <mergeCell ref="A7:I7"/>
    <mergeCell ref="D10:I10"/>
    <mergeCell ref="C5:D5"/>
    <mergeCell ref="C3:H3"/>
    <mergeCell ref="H2:I2"/>
    <mergeCell ref="A31:I31"/>
    <mergeCell ref="A28:I28"/>
    <mergeCell ref="A16:I16"/>
    <mergeCell ref="A22:I22"/>
    <mergeCell ref="A29:I29"/>
    <mergeCell ref="A30:I30"/>
  </mergeCell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65">
    <pageSetUpPr fitToPage="1"/>
  </sheetPr>
  <dimension ref="A1:I47"/>
  <sheetViews>
    <sheetView showGridLines="0" topLeftCell="A21" workbookViewId="0">
      <selection activeCell="K12" sqref="K12"/>
    </sheetView>
  </sheetViews>
  <sheetFormatPr baseColWidth="10" defaultRowHeight="14.5"/>
  <cols>
    <col min="2" max="2" width="17.1796875" customWidth="1"/>
    <col min="3" max="3" width="8.453125" customWidth="1"/>
    <col min="4" max="4" width="9.1796875" customWidth="1"/>
    <col min="5" max="5" width="16.54296875" customWidth="1"/>
    <col min="7" max="7" width="6" customWidth="1"/>
  </cols>
  <sheetData>
    <row r="1" spans="1:9" ht="12.75" customHeight="1">
      <c r="A1" s="1134" t="s">
        <v>183</v>
      </c>
      <c r="B1" s="1134"/>
      <c r="C1" s="1134"/>
      <c r="D1" s="1134"/>
      <c r="E1" s="1134"/>
      <c r="F1" s="1134"/>
      <c r="G1" s="1134"/>
      <c r="H1" s="1134"/>
      <c r="I1" s="1134"/>
    </row>
    <row r="2" spans="1:9" ht="24.75" customHeight="1">
      <c r="A2" s="40"/>
      <c r="B2" s="40"/>
      <c r="C2" s="40"/>
      <c r="D2" s="40"/>
      <c r="E2" s="40"/>
      <c r="F2" s="40"/>
      <c r="G2" s="29"/>
      <c r="H2" s="1957" t="s">
        <v>1479</v>
      </c>
      <c r="I2" s="1958"/>
    </row>
    <row r="3" spans="1:9" s="132" customFormat="1" ht="15" customHeight="1">
      <c r="A3" s="7" t="s">
        <v>26</v>
      </c>
      <c r="B3" s="7"/>
      <c r="C3" s="1221">
        <f>'NOTE 31'!C3</f>
        <v>0</v>
      </c>
      <c r="D3" s="1221"/>
      <c r="E3" s="1221"/>
      <c r="F3" s="1221"/>
      <c r="G3" s="1221"/>
      <c r="H3" s="1221"/>
    </row>
    <row r="4" spans="1:9" s="132" customFormat="1" ht="15" customHeight="1">
      <c r="A4" s="7" t="s">
        <v>27</v>
      </c>
      <c r="B4" s="1221">
        <f>'NOTE 31'!B4</f>
        <v>0</v>
      </c>
      <c r="C4" s="1221"/>
      <c r="D4" s="1221"/>
      <c r="E4" s="1221"/>
      <c r="H4" s="61" t="s">
        <v>28</v>
      </c>
      <c r="I4" s="365">
        <f>'NOTE 31'!K4</f>
        <v>0</v>
      </c>
    </row>
    <row r="5" spans="1:9" s="132" customFormat="1" ht="15" customHeight="1">
      <c r="A5" s="7" t="s">
        <v>2021</v>
      </c>
      <c r="B5" s="7"/>
      <c r="C5" s="1223">
        <f>'NOTE 31'!C5</f>
        <v>0</v>
      </c>
      <c r="D5" s="1223"/>
      <c r="E5" s="43" t="s">
        <v>30</v>
      </c>
      <c r="F5" s="119">
        <f>'NOTE 31'!H5</f>
        <v>0</v>
      </c>
      <c r="H5" s="61" t="s">
        <v>31</v>
      </c>
      <c r="I5" s="44">
        <f>'NOTE 31'!K5</f>
        <v>0</v>
      </c>
    </row>
    <row r="6" spans="1:9" s="132" customFormat="1" ht="15" customHeight="1">
      <c r="A6" s="268" t="s">
        <v>2024</v>
      </c>
      <c r="B6" s="7"/>
      <c r="C6" s="1461">
        <f>'NOTE 31'!C6</f>
        <v>0</v>
      </c>
      <c r="D6" s="1461"/>
      <c r="E6" s="262"/>
      <c r="F6" s="44"/>
      <c r="G6" s="263"/>
      <c r="H6" s="44"/>
      <c r="I6" s="267"/>
    </row>
    <row r="7" spans="1:9" ht="43.5" customHeight="1">
      <c r="A7" s="1212" t="s">
        <v>2336</v>
      </c>
      <c r="B7" s="1212"/>
      <c r="C7" s="1212"/>
      <c r="D7" s="1212"/>
      <c r="E7" s="1212"/>
      <c r="F7" s="1212"/>
      <c r="G7" s="1212"/>
      <c r="H7" s="1212"/>
      <c r="I7" s="1212"/>
    </row>
    <row r="8" spans="1:9" ht="15" thickBot="1"/>
    <row r="9" spans="1:9" s="1" customFormat="1">
      <c r="A9" s="1962" t="s">
        <v>1480</v>
      </c>
      <c r="B9" s="1963"/>
      <c r="C9" s="1963"/>
      <c r="D9" s="1963"/>
      <c r="E9" s="1963"/>
      <c r="F9" s="1963"/>
      <c r="G9" s="1963"/>
      <c r="H9" s="1963"/>
      <c r="I9" s="1964"/>
    </row>
    <row r="10" spans="1:9">
      <c r="A10" s="784"/>
      <c r="B10" s="8"/>
      <c r="C10" s="8"/>
      <c r="D10" s="8"/>
      <c r="E10" s="8"/>
      <c r="F10" s="8"/>
      <c r="G10" s="8"/>
      <c r="H10" s="8"/>
      <c r="I10" s="988"/>
    </row>
    <row r="11" spans="1:9">
      <c r="A11" s="1965" t="s">
        <v>1481</v>
      </c>
      <c r="B11" s="1966"/>
      <c r="C11" s="1966"/>
      <c r="D11" s="1966"/>
      <c r="E11" s="1966"/>
      <c r="F11" s="1966"/>
      <c r="G11" s="1966"/>
      <c r="H11" s="1966"/>
      <c r="I11" s="1967"/>
    </row>
    <row r="12" spans="1:9">
      <c r="A12" s="985" t="s">
        <v>1471</v>
      </c>
      <c r="B12" s="357"/>
      <c r="C12" s="357"/>
      <c r="D12" s="357"/>
      <c r="E12" s="357"/>
      <c r="F12" s="357"/>
      <c r="G12" s="357"/>
      <c r="H12" s="357"/>
      <c r="I12" s="986"/>
    </row>
    <row r="13" spans="1:9">
      <c r="A13" s="987" t="s">
        <v>1482</v>
      </c>
      <c r="B13" s="357"/>
      <c r="C13" s="357"/>
      <c r="D13" s="357"/>
      <c r="E13" s="357"/>
      <c r="F13" s="357"/>
      <c r="G13" s="357"/>
      <c r="H13" s="357"/>
      <c r="I13" s="986"/>
    </row>
    <row r="14" spans="1:9">
      <c r="A14" s="987" t="s">
        <v>1658</v>
      </c>
      <c r="B14" s="357"/>
      <c r="C14" s="357"/>
      <c r="D14" s="357"/>
      <c r="E14" s="357"/>
      <c r="F14" s="357"/>
      <c r="G14" s="357"/>
      <c r="H14" s="357"/>
      <c r="I14" s="986"/>
    </row>
    <row r="15" spans="1:9">
      <c r="A15" s="987"/>
      <c r="B15" s="357"/>
      <c r="C15" s="357"/>
      <c r="D15" s="357"/>
      <c r="E15" s="357"/>
      <c r="F15" s="357"/>
      <c r="G15" s="357"/>
      <c r="H15" s="357"/>
      <c r="I15" s="986"/>
    </row>
    <row r="16" spans="1:9">
      <c r="A16" s="987" t="s">
        <v>1483</v>
      </c>
      <c r="B16" s="357"/>
      <c r="C16" s="357"/>
      <c r="D16" s="357"/>
      <c r="E16" s="357"/>
      <c r="F16" s="357"/>
      <c r="G16" s="357"/>
      <c r="H16" s="357"/>
      <c r="I16" s="986"/>
    </row>
    <row r="17" spans="1:9">
      <c r="A17" s="987" t="s">
        <v>1657</v>
      </c>
      <c r="B17" s="357"/>
      <c r="C17" s="357"/>
      <c r="D17" s="357"/>
      <c r="E17" s="357"/>
      <c r="F17" s="357"/>
      <c r="G17" s="357"/>
      <c r="H17" s="357"/>
      <c r="I17" s="986"/>
    </row>
    <row r="18" spans="1:9">
      <c r="A18" s="987"/>
      <c r="B18" s="357"/>
      <c r="C18" s="357"/>
      <c r="D18" s="357"/>
      <c r="E18" s="357"/>
      <c r="F18" s="357"/>
      <c r="G18" s="357"/>
      <c r="H18" s="357"/>
      <c r="I18" s="986"/>
    </row>
    <row r="19" spans="1:9">
      <c r="A19" s="1949" t="s">
        <v>1484</v>
      </c>
      <c r="B19" s="1950"/>
      <c r="C19" s="1950"/>
      <c r="D19" s="1950"/>
      <c r="E19" s="1950"/>
      <c r="F19" s="1950"/>
      <c r="G19" s="1950"/>
      <c r="H19" s="1950"/>
      <c r="I19" s="1951"/>
    </row>
    <row r="20" spans="1:9">
      <c r="A20" s="987" t="s">
        <v>1485</v>
      </c>
      <c r="B20" s="357"/>
      <c r="C20" s="357"/>
      <c r="D20" s="357"/>
      <c r="E20" s="357"/>
      <c r="F20" s="357"/>
      <c r="G20" s="357"/>
      <c r="H20" s="357"/>
      <c r="I20" s="986"/>
    </row>
    <row r="21" spans="1:9">
      <c r="A21" s="987"/>
      <c r="B21" s="357"/>
      <c r="C21" s="357"/>
      <c r="D21" s="357"/>
      <c r="E21" s="357"/>
      <c r="F21" s="357"/>
      <c r="G21" s="357"/>
      <c r="H21" s="357"/>
      <c r="I21" s="986"/>
    </row>
    <row r="22" spans="1:9">
      <c r="A22" s="989" t="s">
        <v>1486</v>
      </c>
      <c r="B22" s="357"/>
      <c r="C22" s="357"/>
      <c r="D22" s="357"/>
      <c r="E22" s="357"/>
      <c r="F22" s="357"/>
      <c r="G22" s="357"/>
      <c r="H22" s="357"/>
      <c r="I22" s="986"/>
    </row>
    <row r="23" spans="1:9">
      <c r="A23" s="985" t="s">
        <v>1471</v>
      </c>
      <c r="B23" s="357"/>
      <c r="C23" s="357"/>
      <c r="D23" s="357"/>
      <c r="E23" s="357"/>
      <c r="F23" s="357"/>
      <c r="G23" s="357"/>
      <c r="H23" s="357"/>
      <c r="I23" s="986"/>
    </row>
    <row r="24" spans="1:9">
      <c r="A24" s="987"/>
      <c r="B24" s="357"/>
      <c r="C24" s="357"/>
      <c r="D24" s="357"/>
      <c r="E24" s="357"/>
      <c r="F24" s="357"/>
      <c r="G24" s="357"/>
      <c r="H24" s="357"/>
      <c r="I24" s="986"/>
    </row>
    <row r="25" spans="1:9">
      <c r="A25" s="987" t="s">
        <v>1487</v>
      </c>
      <c r="B25" s="357"/>
      <c r="C25" s="357"/>
      <c r="D25" s="357"/>
      <c r="E25" s="357"/>
      <c r="F25" s="357"/>
      <c r="G25" s="357"/>
      <c r="H25" s="357"/>
      <c r="I25" s="986"/>
    </row>
    <row r="26" spans="1:9">
      <c r="A26" s="987"/>
      <c r="B26" s="357"/>
      <c r="C26" s="357"/>
      <c r="D26" s="357"/>
      <c r="E26" s="357"/>
      <c r="F26" s="357"/>
      <c r="G26" s="357"/>
      <c r="H26" s="357"/>
      <c r="I26" s="986"/>
    </row>
    <row r="27" spans="1:9">
      <c r="A27" s="987" t="s">
        <v>1488</v>
      </c>
      <c r="B27" s="357"/>
      <c r="C27" s="357"/>
      <c r="D27" s="357"/>
      <c r="E27" s="357"/>
      <c r="F27" s="357"/>
      <c r="G27" s="357"/>
      <c r="H27" s="357"/>
      <c r="I27" s="986"/>
    </row>
    <row r="28" spans="1:9">
      <c r="A28" s="987" t="s">
        <v>1656</v>
      </c>
      <c r="B28" s="357"/>
      <c r="C28" s="357"/>
      <c r="D28" s="357"/>
      <c r="E28" s="357"/>
      <c r="F28" s="357"/>
      <c r="G28" s="357"/>
      <c r="H28" s="357"/>
      <c r="I28" s="986"/>
    </row>
    <row r="29" spans="1:9">
      <c r="A29" s="987"/>
      <c r="B29" s="357"/>
      <c r="C29" s="357"/>
      <c r="D29" s="357"/>
      <c r="E29" s="357"/>
      <c r="F29" s="357"/>
      <c r="G29" s="357"/>
      <c r="H29" s="357"/>
      <c r="I29" s="986"/>
    </row>
    <row r="30" spans="1:9">
      <c r="A30" s="987" t="s">
        <v>1489</v>
      </c>
      <c r="B30" s="357"/>
      <c r="C30" s="357"/>
      <c r="D30" s="357"/>
      <c r="E30" s="357"/>
      <c r="F30" s="357"/>
      <c r="G30" s="357"/>
      <c r="H30" s="357"/>
      <c r="I30" s="986"/>
    </row>
    <row r="31" spans="1:9">
      <c r="A31" s="987" t="s">
        <v>1655</v>
      </c>
      <c r="B31" s="357"/>
      <c r="C31" s="357"/>
      <c r="D31" s="357"/>
      <c r="E31" s="357"/>
      <c r="F31" s="357"/>
      <c r="G31" s="357"/>
      <c r="H31" s="357"/>
      <c r="I31" s="986"/>
    </row>
    <row r="32" spans="1:9">
      <c r="A32" s="987"/>
      <c r="B32" s="357"/>
      <c r="C32" s="357"/>
      <c r="D32" s="357"/>
      <c r="E32" s="357"/>
      <c r="F32" s="357"/>
      <c r="G32" s="357"/>
      <c r="H32" s="357"/>
      <c r="I32" s="986"/>
    </row>
    <row r="33" spans="1:9">
      <c r="A33" s="1949" t="s">
        <v>1696</v>
      </c>
      <c r="B33" s="1950"/>
      <c r="C33" s="1950"/>
      <c r="D33" s="1950"/>
      <c r="E33" s="1950"/>
      <c r="F33" s="1950"/>
      <c r="G33" s="1950"/>
      <c r="H33" s="1950"/>
      <c r="I33" s="1951"/>
    </row>
    <row r="34" spans="1:9">
      <c r="A34" s="987" t="s">
        <v>1697</v>
      </c>
      <c r="B34" s="357"/>
      <c r="C34" s="357"/>
      <c r="D34" s="357"/>
      <c r="E34" s="357"/>
      <c r="F34" s="357"/>
      <c r="G34" s="357"/>
      <c r="H34" s="357"/>
      <c r="I34" s="986"/>
    </row>
    <row r="35" spans="1:9">
      <c r="A35" s="987" t="s">
        <v>1698</v>
      </c>
      <c r="B35" s="357"/>
      <c r="C35" s="357"/>
      <c r="D35" s="357"/>
      <c r="E35" s="357"/>
      <c r="F35" s="357"/>
      <c r="G35" s="357"/>
      <c r="H35" s="357"/>
      <c r="I35" s="986"/>
    </row>
    <row r="36" spans="1:9">
      <c r="A36" s="784"/>
      <c r="B36" s="8"/>
      <c r="C36" s="8"/>
      <c r="D36" s="8"/>
      <c r="E36" s="8"/>
      <c r="F36" s="8"/>
      <c r="G36" s="8"/>
      <c r="H36" s="8"/>
      <c r="I36" s="988"/>
    </row>
    <row r="37" spans="1:9" s="1" customFormat="1">
      <c r="A37" s="1959" t="s">
        <v>1490</v>
      </c>
      <c r="B37" s="1960"/>
      <c r="C37" s="1960"/>
      <c r="D37" s="1960"/>
      <c r="E37" s="1960"/>
      <c r="F37" s="1960"/>
      <c r="G37" s="1960"/>
      <c r="H37" s="1960"/>
      <c r="I37" s="1961"/>
    </row>
    <row r="38" spans="1:9">
      <c r="A38" s="784"/>
      <c r="B38" s="8"/>
      <c r="C38" s="8"/>
      <c r="D38" s="8"/>
      <c r="E38" s="8"/>
      <c r="F38" s="8"/>
      <c r="G38" s="8"/>
      <c r="H38" s="8"/>
      <c r="I38" s="988"/>
    </row>
    <row r="39" spans="1:9">
      <c r="A39" s="987" t="s">
        <v>1652</v>
      </c>
      <c r="B39" s="8"/>
      <c r="C39" s="8"/>
      <c r="D39" s="8"/>
      <c r="E39" s="8"/>
      <c r="F39" s="8"/>
      <c r="G39" s="8"/>
      <c r="H39" s="8"/>
      <c r="I39" s="988"/>
    </row>
    <row r="40" spans="1:9">
      <c r="A40" s="784"/>
      <c r="B40" s="8"/>
      <c r="C40" s="8"/>
      <c r="D40" s="8"/>
      <c r="E40" s="8"/>
      <c r="F40" s="8"/>
      <c r="G40" s="8"/>
      <c r="H40" s="8"/>
      <c r="I40" s="988"/>
    </row>
    <row r="41" spans="1:9" s="1" customFormat="1">
      <c r="A41" s="1959" t="s">
        <v>1491</v>
      </c>
      <c r="B41" s="1960"/>
      <c r="C41" s="1960"/>
      <c r="D41" s="1960"/>
      <c r="E41" s="1960"/>
      <c r="F41" s="1960"/>
      <c r="G41" s="1960"/>
      <c r="H41" s="1960"/>
      <c r="I41" s="1961"/>
    </row>
    <row r="42" spans="1:9">
      <c r="A42" s="985" t="s">
        <v>1492</v>
      </c>
      <c r="B42" s="357"/>
      <c r="C42" s="357"/>
      <c r="D42" s="357"/>
      <c r="E42" s="357"/>
      <c r="F42" s="357"/>
      <c r="G42" s="357"/>
      <c r="H42" s="357"/>
      <c r="I42" s="986"/>
    </row>
    <row r="43" spans="1:9">
      <c r="A43" s="1949" t="s">
        <v>1493</v>
      </c>
      <c r="B43" s="1950"/>
      <c r="C43" s="1950"/>
      <c r="D43" s="1950"/>
      <c r="E43" s="1950"/>
      <c r="F43" s="1950"/>
      <c r="G43" s="1950"/>
      <c r="H43" s="1950"/>
      <c r="I43" s="1951"/>
    </row>
    <row r="44" spans="1:9">
      <c r="A44" s="987" t="s">
        <v>1654</v>
      </c>
      <c r="B44" s="357"/>
      <c r="C44" s="357"/>
      <c r="D44" s="357"/>
      <c r="E44" s="357"/>
      <c r="F44" s="357"/>
      <c r="G44" s="357"/>
      <c r="H44" s="357"/>
      <c r="I44" s="986"/>
    </row>
    <row r="45" spans="1:9">
      <c r="A45" s="1949" t="s">
        <v>1494</v>
      </c>
      <c r="B45" s="1950"/>
      <c r="C45" s="1950"/>
      <c r="D45" s="1950"/>
      <c r="E45" s="1950"/>
      <c r="F45" s="1950"/>
      <c r="G45" s="1950"/>
      <c r="H45" s="1950"/>
      <c r="I45" s="1951"/>
    </row>
    <row r="46" spans="1:9">
      <c r="A46" s="987" t="s">
        <v>1653</v>
      </c>
      <c r="B46" s="357"/>
      <c r="C46" s="357"/>
      <c r="D46" s="357"/>
      <c r="E46" s="357"/>
      <c r="F46" s="357"/>
      <c r="G46" s="357"/>
      <c r="H46" s="357"/>
      <c r="I46" s="986"/>
    </row>
    <row r="47" spans="1:9" ht="15" thickBot="1">
      <c r="A47" s="990"/>
      <c r="B47" s="991"/>
      <c r="C47" s="991"/>
      <c r="D47" s="991"/>
      <c r="E47" s="991"/>
      <c r="F47" s="991"/>
      <c r="G47" s="991"/>
      <c r="H47" s="991"/>
      <c r="I47" s="992"/>
    </row>
  </sheetData>
  <mergeCells count="15">
    <mergeCell ref="C6:D6"/>
    <mergeCell ref="H2:I2"/>
    <mergeCell ref="A7:I7"/>
    <mergeCell ref="A1:I1"/>
    <mergeCell ref="C5:D5"/>
    <mergeCell ref="C3:H3"/>
    <mergeCell ref="B4:E4"/>
    <mergeCell ref="A41:I41"/>
    <mergeCell ref="A43:I43"/>
    <mergeCell ref="A45:I45"/>
    <mergeCell ref="A9:I9"/>
    <mergeCell ref="A11:I11"/>
    <mergeCell ref="A19:I19"/>
    <mergeCell ref="A33:I33"/>
    <mergeCell ref="A37:I37"/>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84">
    <pageSetUpPr fitToPage="1"/>
  </sheetPr>
  <dimension ref="B1:M53"/>
  <sheetViews>
    <sheetView showGridLines="0" topLeftCell="A16" workbookViewId="0">
      <selection activeCell="E26" sqref="E26:J29"/>
    </sheetView>
  </sheetViews>
  <sheetFormatPr baseColWidth="10" defaultRowHeight="14.5"/>
  <cols>
    <col min="1" max="1" width="1.453125" customWidth="1"/>
    <col min="2" max="2" width="0.81640625" customWidth="1"/>
    <col min="3" max="3" width="1.453125" customWidth="1"/>
    <col min="4" max="4" width="8.54296875" customWidth="1"/>
    <col min="10" max="10" width="8.54296875" customWidth="1"/>
    <col min="12" max="12" width="1.453125" customWidth="1"/>
    <col min="13" max="13" width="0.81640625" customWidth="1"/>
  </cols>
  <sheetData>
    <row r="1" spans="2:13" ht="7.5" customHeight="1" thickBot="1"/>
    <row r="2" spans="2:13" ht="3" customHeight="1">
      <c r="B2" s="11"/>
      <c r="C2" s="12"/>
      <c r="D2" s="12"/>
      <c r="E2" s="12"/>
      <c r="F2" s="12"/>
      <c r="G2" s="12"/>
      <c r="H2" s="12"/>
      <c r="I2" s="12"/>
      <c r="J2" s="12"/>
      <c r="K2" s="12"/>
      <c r="L2" s="12"/>
      <c r="M2" s="13"/>
    </row>
    <row r="3" spans="2:13">
      <c r="B3" s="14"/>
      <c r="M3" s="15"/>
    </row>
    <row r="4" spans="2:13" ht="15.5">
      <c r="B4" s="14"/>
      <c r="D4" s="156"/>
      <c r="E4" s="156"/>
      <c r="F4" s="156"/>
      <c r="G4" s="156"/>
      <c r="H4" s="156"/>
      <c r="I4" s="156"/>
      <c r="J4" s="156"/>
      <c r="K4" s="156"/>
      <c r="M4" s="15"/>
    </row>
    <row r="5" spans="2:13">
      <c r="B5" s="14"/>
      <c r="M5" s="15"/>
    </row>
    <row r="6" spans="2:13" ht="15.5">
      <c r="B6" s="14"/>
      <c r="D6" s="156"/>
      <c r="E6" s="156"/>
      <c r="F6" s="156"/>
      <c r="G6" s="156"/>
      <c r="H6" s="156"/>
      <c r="I6" s="156"/>
      <c r="J6" s="156"/>
      <c r="K6" s="156"/>
      <c r="M6" s="15"/>
    </row>
    <row r="7" spans="2:13">
      <c r="B7" s="14"/>
      <c r="M7" s="15"/>
    </row>
    <row r="8" spans="2:13" ht="15.5">
      <c r="B8" s="14"/>
      <c r="D8" s="156"/>
      <c r="E8" s="156"/>
      <c r="F8" s="156"/>
      <c r="G8" s="156"/>
      <c r="H8" s="156"/>
      <c r="I8" s="156"/>
      <c r="J8" s="156"/>
      <c r="K8" s="156"/>
      <c r="M8" s="15"/>
    </row>
    <row r="9" spans="2:13">
      <c r="B9" s="14"/>
      <c r="M9" s="15"/>
    </row>
    <row r="10" spans="2:13">
      <c r="B10" s="14"/>
      <c r="M10" s="15"/>
    </row>
    <row r="11" spans="2:13">
      <c r="B11" s="14"/>
      <c r="M11" s="15"/>
    </row>
    <row r="12" spans="2:13">
      <c r="B12" s="14"/>
      <c r="M12" s="15"/>
    </row>
    <row r="13" spans="2:13">
      <c r="B13" s="14"/>
      <c r="M13" s="15"/>
    </row>
    <row r="14" spans="2:13">
      <c r="B14" s="14"/>
      <c r="M14" s="15"/>
    </row>
    <row r="15" spans="2:13">
      <c r="B15" s="14"/>
      <c r="M15" s="15"/>
    </row>
    <row r="16" spans="2:13">
      <c r="B16" s="14"/>
      <c r="M16" s="15"/>
    </row>
    <row r="17" spans="2:13">
      <c r="B17" s="14"/>
      <c r="M17" s="15"/>
    </row>
    <row r="18" spans="2:13">
      <c r="B18" s="14"/>
      <c r="M18" s="15"/>
    </row>
    <row r="19" spans="2:13">
      <c r="B19" s="14"/>
      <c r="M19" s="15"/>
    </row>
    <row r="20" spans="2:13">
      <c r="B20" s="14"/>
      <c r="M20" s="15"/>
    </row>
    <row r="21" spans="2:13">
      <c r="B21" s="14"/>
      <c r="M21" s="15"/>
    </row>
    <row r="22" spans="2:13">
      <c r="B22" s="14"/>
      <c r="M22" s="15"/>
    </row>
    <row r="23" spans="2:13">
      <c r="B23" s="14"/>
      <c r="M23" s="15"/>
    </row>
    <row r="24" spans="2:13">
      <c r="B24" s="14"/>
      <c r="M24" s="15"/>
    </row>
    <row r="25" spans="2:13">
      <c r="B25" s="14"/>
      <c r="M25" s="15"/>
    </row>
    <row r="26" spans="2:13">
      <c r="B26" s="14"/>
      <c r="E26" s="1968" t="s">
        <v>2341</v>
      </c>
      <c r="F26" s="1969"/>
      <c r="G26" s="1969"/>
      <c r="H26" s="1969"/>
      <c r="I26" s="1969"/>
      <c r="J26" s="1969"/>
      <c r="M26" s="15"/>
    </row>
    <row r="27" spans="2:13">
      <c r="B27" s="14"/>
      <c r="E27" s="1969"/>
      <c r="F27" s="1969"/>
      <c r="G27" s="1969"/>
      <c r="H27" s="1969"/>
      <c r="I27" s="1969"/>
      <c r="J27" s="1969"/>
      <c r="M27" s="15"/>
    </row>
    <row r="28" spans="2:13">
      <c r="B28" s="14"/>
      <c r="E28" s="1969"/>
      <c r="F28" s="1969"/>
      <c r="G28" s="1969"/>
      <c r="H28" s="1969"/>
      <c r="I28" s="1969"/>
      <c r="J28" s="1969"/>
      <c r="M28" s="15"/>
    </row>
    <row r="29" spans="2:13">
      <c r="B29" s="14"/>
      <c r="E29" s="1969"/>
      <c r="F29" s="1969"/>
      <c r="G29" s="1969"/>
      <c r="H29" s="1969"/>
      <c r="I29" s="1969"/>
      <c r="J29" s="1969"/>
      <c r="M29" s="15"/>
    </row>
    <row r="30" spans="2:13">
      <c r="B30" s="14"/>
      <c r="M30" s="15"/>
    </row>
    <row r="31" spans="2:13" ht="18.5">
      <c r="B31" s="14"/>
      <c r="E31" s="157"/>
      <c r="F31" s="157"/>
      <c r="G31" s="157"/>
      <c r="H31" s="157"/>
      <c r="I31" s="157"/>
      <c r="J31" s="157"/>
      <c r="M31" s="15"/>
    </row>
    <row r="32" spans="2:13">
      <c r="B32" s="14"/>
      <c r="M32" s="15"/>
    </row>
    <row r="33" spans="2:13">
      <c r="B33" s="14"/>
      <c r="M33" s="15"/>
    </row>
    <row r="34" spans="2:13">
      <c r="B34" s="14"/>
      <c r="M34" s="15"/>
    </row>
    <row r="35" spans="2:13">
      <c r="B35" s="14"/>
      <c r="M35" s="15"/>
    </row>
    <row r="36" spans="2:13">
      <c r="B36" s="14"/>
      <c r="M36" s="15"/>
    </row>
    <row r="37" spans="2:13">
      <c r="B37" s="14"/>
      <c r="M37" s="15"/>
    </row>
    <row r="38" spans="2:13">
      <c r="B38" s="14"/>
      <c r="M38" s="15"/>
    </row>
    <row r="39" spans="2:13">
      <c r="B39" s="14"/>
      <c r="M39" s="15"/>
    </row>
    <row r="40" spans="2:13">
      <c r="B40" s="14"/>
      <c r="M40" s="15"/>
    </row>
    <row r="41" spans="2:13">
      <c r="B41" s="14"/>
      <c r="M41" s="15"/>
    </row>
    <row r="42" spans="2:13">
      <c r="B42" s="14"/>
      <c r="M42" s="15"/>
    </row>
    <row r="43" spans="2:13">
      <c r="B43" s="14"/>
      <c r="M43" s="15"/>
    </row>
    <row r="44" spans="2:13">
      <c r="B44" s="14"/>
      <c r="M44" s="15"/>
    </row>
    <row r="45" spans="2:13">
      <c r="B45" s="14"/>
      <c r="M45" s="15"/>
    </row>
    <row r="46" spans="2:13">
      <c r="B46" s="14"/>
      <c r="M46" s="15"/>
    </row>
    <row r="47" spans="2:13">
      <c r="B47" s="14"/>
      <c r="M47" s="15"/>
    </row>
    <row r="48" spans="2:13">
      <c r="B48" s="14"/>
      <c r="M48" s="15"/>
    </row>
    <row r="49" spans="2:13">
      <c r="B49" s="14"/>
      <c r="M49" s="15"/>
    </row>
    <row r="50" spans="2:13">
      <c r="B50" s="14"/>
      <c r="M50" s="15"/>
    </row>
    <row r="51" spans="2:13">
      <c r="B51" s="14"/>
      <c r="M51" s="15"/>
    </row>
    <row r="52" spans="2:13">
      <c r="B52" s="14"/>
      <c r="M52" s="15"/>
    </row>
    <row r="53" spans="2:13" ht="3.75" customHeight="1" thickBot="1">
      <c r="B53" s="16"/>
      <c r="C53" s="17"/>
      <c r="D53" s="17"/>
      <c r="E53" s="17"/>
      <c r="F53" s="17"/>
      <c r="G53" s="17"/>
      <c r="H53" s="17"/>
      <c r="I53" s="17"/>
      <c r="J53" s="17"/>
      <c r="K53" s="17"/>
      <c r="L53" s="17"/>
      <c r="M53" s="18"/>
    </row>
  </sheetData>
  <mergeCells count="1">
    <mergeCell ref="E26:J29"/>
  </mergeCells>
  <printOptions horizontalCentered="1" verticalCentered="1"/>
  <pageMargins left="0.31496062992125984" right="0.31496062992125984" top="0.35433070866141736" bottom="0.35433070866141736"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85"/>
  <dimension ref="A1:H137"/>
  <sheetViews>
    <sheetView showGridLines="0" zoomScale="160" zoomScaleNormal="160" workbookViewId="0">
      <selection activeCell="A16" sqref="A16:F16"/>
    </sheetView>
  </sheetViews>
  <sheetFormatPr baseColWidth="10" defaultColWidth="11.453125" defaultRowHeight="10"/>
  <cols>
    <col min="1" max="1" width="12.453125" style="25" customWidth="1"/>
    <col min="2" max="2" width="14.81640625" style="25" customWidth="1"/>
    <col min="3" max="3" width="11.453125" style="25"/>
    <col min="4" max="4" width="15" style="25" customWidth="1"/>
    <col min="5" max="5" width="12.54296875" style="25" customWidth="1"/>
    <col min="6" max="6" width="10.453125" style="25" customWidth="1"/>
    <col min="7" max="7" width="13.54296875" style="25" customWidth="1"/>
    <col min="8" max="8" width="6.453125" style="25" customWidth="1"/>
    <col min="9" max="16384" width="11.453125" style="25"/>
  </cols>
  <sheetData>
    <row r="1" spans="1:8" ht="26.15" customHeight="1">
      <c r="A1" s="1999" t="s">
        <v>2338</v>
      </c>
      <c r="B1" s="1999"/>
      <c r="C1" s="723"/>
      <c r="D1" s="723" t="s">
        <v>1137</v>
      </c>
      <c r="E1" s="723"/>
      <c r="F1" s="724"/>
      <c r="G1" s="1992" t="s">
        <v>1141</v>
      </c>
      <c r="H1" s="1993"/>
    </row>
    <row r="2" spans="1:8" ht="15" customHeight="1">
      <c r="A2" s="160" t="s">
        <v>26</v>
      </c>
      <c r="B2" s="161"/>
      <c r="C2" s="1994"/>
      <c r="D2" s="1994"/>
      <c r="E2" s="1994"/>
      <c r="F2" s="1994"/>
      <c r="G2" s="1994"/>
      <c r="H2" s="1995"/>
    </row>
    <row r="3" spans="1:8" ht="15" customHeight="1">
      <c r="A3" s="33" t="s">
        <v>27</v>
      </c>
      <c r="B3" s="1945"/>
      <c r="C3" s="1945"/>
      <c r="D3" s="1945"/>
      <c r="E3" s="1945"/>
      <c r="F3" s="114" t="s">
        <v>28</v>
      </c>
      <c r="G3" s="1996"/>
      <c r="H3" s="1997"/>
    </row>
    <row r="4" spans="1:8" ht="15" customHeight="1">
      <c r="A4" s="7" t="s">
        <v>2021</v>
      </c>
      <c r="B4" s="2"/>
      <c r="C4" s="1945"/>
      <c r="D4" s="1945"/>
      <c r="E4" s="30" t="s">
        <v>30</v>
      </c>
      <c r="F4" s="366"/>
      <c r="G4" s="114" t="s">
        <v>31</v>
      </c>
      <c r="H4" s="162"/>
    </row>
    <row r="5" spans="1:8" s="2" customFormat="1" ht="17.25" customHeight="1" thickBot="1">
      <c r="A5" s="268" t="s">
        <v>2024</v>
      </c>
      <c r="C5" s="1998"/>
      <c r="D5" s="1998"/>
      <c r="H5" s="163"/>
    </row>
    <row r="6" spans="1:8" s="2" customFormat="1" ht="16" customHeight="1">
      <c r="A6" s="993" t="s">
        <v>97</v>
      </c>
      <c r="B6" s="1990" t="s">
        <v>98</v>
      </c>
      <c r="C6" s="1990"/>
      <c r="D6" s="1990"/>
      <c r="E6" s="1990"/>
      <c r="F6" s="1990"/>
      <c r="G6" s="1990"/>
      <c r="H6" s="1991"/>
    </row>
    <row r="7" spans="1:8" ht="125.15" customHeight="1">
      <c r="A7" s="1975"/>
      <c r="B7" s="1976"/>
      <c r="C7" s="1976"/>
      <c r="D7" s="1976"/>
      <c r="E7" s="1976"/>
      <c r="F7" s="1976"/>
      <c r="G7" s="1976"/>
      <c r="H7" s="1977"/>
    </row>
    <row r="8" spans="1:8" s="2" customFormat="1" ht="16" customHeight="1">
      <c r="A8" s="994" t="s">
        <v>101</v>
      </c>
      <c r="B8" s="1988" t="s">
        <v>1700</v>
      </c>
      <c r="C8" s="1988"/>
      <c r="D8" s="1988"/>
      <c r="E8" s="1988"/>
      <c r="F8" s="1988"/>
      <c r="G8" s="1988"/>
      <c r="H8" s="1989"/>
    </row>
    <row r="9" spans="1:8" ht="125.15" customHeight="1">
      <c r="A9" s="1975"/>
      <c r="B9" s="1976"/>
      <c r="C9" s="1976"/>
      <c r="D9" s="1976"/>
      <c r="E9" s="1976"/>
      <c r="F9" s="1976"/>
      <c r="G9" s="1976"/>
      <c r="H9" s="1977"/>
    </row>
    <row r="10" spans="1:8" s="2" customFormat="1" ht="16" customHeight="1">
      <c r="A10" s="994" t="s">
        <v>102</v>
      </c>
      <c r="B10" s="1988" t="s">
        <v>1701</v>
      </c>
      <c r="C10" s="1988"/>
      <c r="D10" s="1988"/>
      <c r="E10" s="1988"/>
      <c r="F10" s="1988"/>
      <c r="G10" s="1988"/>
      <c r="H10" s="1989"/>
    </row>
    <row r="11" spans="1:8" ht="125.15" customHeight="1">
      <c r="A11" s="1975"/>
      <c r="B11" s="1976"/>
      <c r="C11" s="1976"/>
      <c r="D11" s="1976"/>
      <c r="E11" s="1976"/>
      <c r="F11" s="1976"/>
      <c r="G11" s="1976"/>
      <c r="H11" s="1977"/>
    </row>
    <row r="12" spans="1:8" s="2" customFormat="1" ht="16" customHeight="1">
      <c r="A12" s="994" t="s">
        <v>103</v>
      </c>
      <c r="B12" s="1988" t="s">
        <v>1702</v>
      </c>
      <c r="C12" s="1988"/>
      <c r="D12" s="1988"/>
      <c r="E12" s="1988"/>
      <c r="F12" s="1988"/>
      <c r="G12" s="1988"/>
      <c r="H12" s="1989"/>
    </row>
    <row r="13" spans="1:8" ht="125.15" customHeight="1">
      <c r="A13" s="1975"/>
      <c r="B13" s="1976"/>
      <c r="C13" s="1976"/>
      <c r="D13" s="1976"/>
      <c r="E13" s="1976"/>
      <c r="F13" s="1976"/>
      <c r="G13" s="1976"/>
      <c r="H13" s="1977"/>
    </row>
    <row r="14" spans="1:8" ht="16" customHeight="1">
      <c r="A14" s="994" t="s">
        <v>105</v>
      </c>
      <c r="B14" s="1981" t="s">
        <v>1703</v>
      </c>
      <c r="C14" s="1981"/>
      <c r="D14" s="1981"/>
      <c r="E14" s="1981"/>
      <c r="F14" s="1981"/>
      <c r="G14" s="1981"/>
      <c r="H14" s="1982"/>
    </row>
    <row r="15" spans="1:8" ht="125.15" customHeight="1" thickBot="1">
      <c r="A15" s="1978"/>
      <c r="B15" s="1979"/>
      <c r="C15" s="1979"/>
      <c r="D15" s="1979"/>
      <c r="E15" s="1979"/>
      <c r="F15" s="1979"/>
      <c r="G15" s="1979"/>
      <c r="H15" s="1980"/>
    </row>
    <row r="16" spans="1:8" ht="26.15" customHeight="1" thickBot="1">
      <c r="A16" s="1697" t="s">
        <v>1137</v>
      </c>
      <c r="B16" s="1698"/>
      <c r="C16" s="1698"/>
      <c r="D16" s="1698"/>
      <c r="E16" s="1698"/>
      <c r="F16" s="1699"/>
      <c r="G16" s="1284" t="s">
        <v>1142</v>
      </c>
      <c r="H16" s="1983"/>
    </row>
    <row r="17" spans="1:8" ht="15" customHeight="1">
      <c r="A17" s="33" t="s">
        <v>26</v>
      </c>
      <c r="B17" s="2"/>
      <c r="C17" s="1985">
        <f>C2</f>
        <v>0</v>
      </c>
      <c r="D17" s="1985"/>
      <c r="E17" s="1985"/>
      <c r="F17" s="1985"/>
      <c r="G17" s="1986"/>
      <c r="H17" s="1987"/>
    </row>
    <row r="18" spans="1:8" ht="15" customHeight="1">
      <c r="A18" s="33" t="s">
        <v>27</v>
      </c>
      <c r="B18" s="1985">
        <f>B3</f>
        <v>0</v>
      </c>
      <c r="C18" s="1985"/>
      <c r="D18" s="1985"/>
      <c r="E18" s="1985"/>
      <c r="F18" s="114" t="s">
        <v>28</v>
      </c>
      <c r="G18" s="2000">
        <f>G3</f>
        <v>0</v>
      </c>
      <c r="H18" s="2001"/>
    </row>
    <row r="19" spans="1:8" ht="15" customHeight="1">
      <c r="A19" s="7" t="s">
        <v>2021</v>
      </c>
      <c r="B19" s="2"/>
      <c r="C19" s="1985">
        <f>C4</f>
        <v>0</v>
      </c>
      <c r="D19" s="1985"/>
      <c r="E19" s="30" t="s">
        <v>30</v>
      </c>
      <c r="F19" s="419">
        <f>F4</f>
        <v>0</v>
      </c>
      <c r="G19" s="114" t="s">
        <v>31</v>
      </c>
      <c r="H19" s="420">
        <f>H4</f>
        <v>0</v>
      </c>
    </row>
    <row r="20" spans="1:8" s="2" customFormat="1" ht="17.25" customHeight="1">
      <c r="A20" s="268" t="s">
        <v>2024</v>
      </c>
      <c r="B20" s="417"/>
      <c r="C20" s="2010">
        <f>C5</f>
        <v>0</v>
      </c>
      <c r="D20" s="2010"/>
      <c r="E20" s="417"/>
      <c r="F20" s="417"/>
      <c r="G20" s="417"/>
      <c r="H20" s="418"/>
    </row>
    <row r="21" spans="1:8" ht="16" customHeight="1">
      <c r="A21" s="159" t="s">
        <v>110</v>
      </c>
      <c r="B21" s="1981" t="s">
        <v>111</v>
      </c>
      <c r="C21" s="1981"/>
      <c r="D21" s="1981"/>
      <c r="E21" s="1981"/>
      <c r="F21" s="1981"/>
      <c r="G21" s="1981"/>
      <c r="H21" s="2008"/>
    </row>
    <row r="22" spans="1:8" ht="125.15" customHeight="1">
      <c r="A22" s="1976"/>
      <c r="B22" s="1976"/>
      <c r="C22" s="1976"/>
      <c r="D22" s="1976"/>
      <c r="E22" s="1976"/>
      <c r="F22" s="1976"/>
      <c r="G22" s="1976"/>
      <c r="H22" s="1976"/>
    </row>
    <row r="23" spans="1:8" ht="16" customHeight="1">
      <c r="A23" s="159" t="s">
        <v>112</v>
      </c>
      <c r="B23" s="1984" t="s">
        <v>1704</v>
      </c>
      <c r="C23" s="1971"/>
      <c r="D23" s="1971"/>
      <c r="E23" s="1971"/>
      <c r="F23" s="1971"/>
      <c r="G23" s="1971"/>
      <c r="H23" s="1972"/>
    </row>
    <row r="24" spans="1:8" ht="13" customHeight="1">
      <c r="A24" s="2002" t="s">
        <v>113</v>
      </c>
      <c r="B24" s="2003"/>
      <c r="C24" s="2003"/>
      <c r="D24" s="2003"/>
      <c r="E24" s="2003"/>
      <c r="F24" s="2003"/>
      <c r="G24" s="2003"/>
      <c r="H24" s="2004"/>
    </row>
    <row r="25" spans="1:8" ht="125.15" customHeight="1">
      <c r="A25" s="2009"/>
      <c r="B25" s="2009"/>
      <c r="C25" s="2009"/>
      <c r="D25" s="2009"/>
      <c r="E25" s="2009"/>
      <c r="F25" s="2009"/>
      <c r="G25" s="2009"/>
      <c r="H25" s="2009"/>
    </row>
    <row r="26" spans="1:8" ht="13" customHeight="1">
      <c r="A26" s="2005" t="s">
        <v>1705</v>
      </c>
      <c r="B26" s="2006"/>
      <c r="C26" s="2006"/>
      <c r="D26" s="2006"/>
      <c r="E26" s="2006"/>
      <c r="F26" s="2006"/>
      <c r="G26" s="2006"/>
      <c r="H26" s="2007"/>
    </row>
    <row r="27" spans="1:8" ht="125.15" customHeight="1">
      <c r="A27" s="1973"/>
      <c r="B27" s="1973"/>
      <c r="C27" s="1973"/>
      <c r="D27" s="1973"/>
      <c r="E27" s="1973"/>
      <c r="F27" s="1973"/>
      <c r="G27" s="1973"/>
      <c r="H27" s="1973"/>
    </row>
    <row r="28" spans="1:8" ht="16" customHeight="1">
      <c r="A28" s="159" t="s">
        <v>114</v>
      </c>
      <c r="B28" s="1971" t="s">
        <v>1706</v>
      </c>
      <c r="C28" s="1971"/>
      <c r="D28" s="1971"/>
      <c r="E28" s="1971"/>
      <c r="F28" s="1971"/>
      <c r="G28" s="1971"/>
      <c r="H28" s="1972"/>
    </row>
    <row r="29" spans="1:8" ht="125.15" customHeight="1">
      <c r="A29" s="1973"/>
      <c r="B29" s="1973"/>
      <c r="C29" s="1973"/>
      <c r="D29" s="1973"/>
      <c r="E29" s="1973"/>
      <c r="F29" s="1973"/>
      <c r="G29" s="1973"/>
      <c r="H29" s="1973"/>
    </row>
    <row r="30" spans="1:8" ht="16" customHeight="1">
      <c r="A30" s="159" t="s">
        <v>116</v>
      </c>
      <c r="B30" s="1971" t="s">
        <v>566</v>
      </c>
      <c r="C30" s="1971"/>
      <c r="D30" s="1971"/>
      <c r="E30" s="1971"/>
      <c r="F30" s="1971"/>
      <c r="G30" s="1971"/>
      <c r="H30" s="1972"/>
    </row>
    <row r="31" spans="1:8" ht="125.15" customHeight="1">
      <c r="A31" s="1973"/>
      <c r="B31" s="1973"/>
      <c r="C31" s="1973"/>
      <c r="D31" s="1973"/>
      <c r="E31" s="1973"/>
      <c r="F31" s="1973"/>
      <c r="G31" s="1973"/>
      <c r="H31" s="1973"/>
    </row>
    <row r="32" spans="1:8" ht="26.15" customHeight="1">
      <c r="A32" s="2011" t="s">
        <v>1137</v>
      </c>
      <c r="B32" s="2012"/>
      <c r="C32" s="2012"/>
      <c r="D32" s="2012"/>
      <c r="E32" s="2012"/>
      <c r="F32" s="2013"/>
      <c r="G32" s="1992" t="s">
        <v>1143</v>
      </c>
      <c r="H32" s="1993"/>
    </row>
    <row r="33" spans="1:8" ht="15" customHeight="1">
      <c r="A33" s="160" t="s">
        <v>26</v>
      </c>
      <c r="B33" s="161"/>
      <c r="C33" s="1994">
        <f>C17</f>
        <v>0</v>
      </c>
      <c r="D33" s="1994"/>
      <c r="E33" s="1994"/>
      <c r="F33" s="1994"/>
      <c r="G33" s="1994"/>
      <c r="H33" s="1995"/>
    </row>
    <row r="34" spans="1:8" ht="15" customHeight="1">
      <c r="A34" s="33" t="s">
        <v>27</v>
      </c>
      <c r="B34" s="1945">
        <f>B18</f>
        <v>0</v>
      </c>
      <c r="C34" s="1945"/>
      <c r="D34" s="1945"/>
      <c r="E34" s="1945"/>
      <c r="F34" s="114" t="s">
        <v>28</v>
      </c>
      <c r="G34" s="1996">
        <f>G18</f>
        <v>0</v>
      </c>
      <c r="H34" s="1997"/>
    </row>
    <row r="35" spans="1:8" ht="15" customHeight="1">
      <c r="A35" s="7" t="s">
        <v>2021</v>
      </c>
      <c r="B35" s="2"/>
      <c r="C35" s="1945">
        <f>C19</f>
        <v>0</v>
      </c>
      <c r="D35" s="1945"/>
      <c r="E35" s="30" t="s">
        <v>30</v>
      </c>
      <c r="F35" s="371">
        <f>F19</f>
        <v>0</v>
      </c>
      <c r="G35" s="114" t="s">
        <v>31</v>
      </c>
      <c r="H35" s="162">
        <f>H19</f>
        <v>0</v>
      </c>
    </row>
    <row r="36" spans="1:8" ht="17.25" customHeight="1">
      <c r="A36" s="268" t="s">
        <v>2024</v>
      </c>
      <c r="B36" s="417"/>
      <c r="C36" s="1970">
        <f>C20</f>
        <v>0</v>
      </c>
      <c r="D36" s="1970"/>
      <c r="E36" s="2"/>
      <c r="F36" s="2"/>
      <c r="G36" s="2"/>
      <c r="H36" s="163"/>
    </row>
    <row r="37" spans="1:8" ht="16" customHeight="1">
      <c r="A37" s="159" t="s">
        <v>117</v>
      </c>
      <c r="B37" s="1971" t="s">
        <v>118</v>
      </c>
      <c r="C37" s="1971"/>
      <c r="D37" s="1971"/>
      <c r="E37" s="1971"/>
      <c r="F37" s="1971"/>
      <c r="G37" s="1971"/>
      <c r="H37" s="1972"/>
    </row>
    <row r="38" spans="1:8" ht="136.5" customHeight="1">
      <c r="A38" s="1973"/>
      <c r="B38" s="1973"/>
      <c r="C38" s="1973"/>
      <c r="D38" s="1973"/>
      <c r="E38" s="1973"/>
      <c r="F38" s="1973"/>
      <c r="G38" s="1973"/>
      <c r="H38" s="1973"/>
    </row>
    <row r="39" spans="1:8" ht="16" customHeight="1">
      <c r="A39" s="159" t="s">
        <v>119</v>
      </c>
      <c r="B39" s="1971" t="s">
        <v>120</v>
      </c>
      <c r="C39" s="1971"/>
      <c r="D39" s="1971"/>
      <c r="E39" s="1971"/>
      <c r="F39" s="1971"/>
      <c r="G39" s="1971"/>
      <c r="H39" s="1972"/>
    </row>
    <row r="40" spans="1:8" ht="136.5" customHeight="1">
      <c r="A40" s="1973"/>
      <c r="B40" s="1973"/>
      <c r="C40" s="1973"/>
      <c r="D40" s="1973"/>
      <c r="E40" s="1973"/>
      <c r="F40" s="1973"/>
      <c r="G40" s="1973"/>
      <c r="H40" s="1973"/>
    </row>
    <row r="41" spans="1:8" ht="16" customHeight="1">
      <c r="A41" s="159" t="s">
        <v>121</v>
      </c>
      <c r="B41" s="1971" t="s">
        <v>122</v>
      </c>
      <c r="C41" s="1971"/>
      <c r="D41" s="1971"/>
      <c r="E41" s="1971"/>
      <c r="F41" s="1971"/>
      <c r="G41" s="1971"/>
      <c r="H41" s="1972"/>
    </row>
    <row r="42" spans="1:8" ht="136.5" customHeight="1">
      <c r="A42" s="1973"/>
      <c r="B42" s="1973"/>
      <c r="C42" s="1973"/>
      <c r="D42" s="1973"/>
      <c r="E42" s="1973"/>
      <c r="F42" s="1973"/>
      <c r="G42" s="1973"/>
      <c r="H42" s="1973"/>
    </row>
    <row r="43" spans="1:8" ht="16" customHeight="1">
      <c r="A43" s="159" t="s">
        <v>123</v>
      </c>
      <c r="B43" s="1971" t="s">
        <v>124</v>
      </c>
      <c r="C43" s="1971"/>
      <c r="D43" s="1971"/>
      <c r="E43" s="1971"/>
      <c r="F43" s="1971"/>
      <c r="G43" s="1971"/>
      <c r="H43" s="1972"/>
    </row>
    <row r="44" spans="1:8" ht="136.5" customHeight="1">
      <c r="A44" s="1973"/>
      <c r="B44" s="1973"/>
      <c r="C44" s="1973"/>
      <c r="D44" s="1973"/>
      <c r="E44" s="1973"/>
      <c r="F44" s="1973"/>
      <c r="G44" s="1973"/>
      <c r="H44" s="1973"/>
    </row>
    <row r="45" spans="1:8" ht="26.15" customHeight="1">
      <c r="A45" s="2011" t="s">
        <v>1137</v>
      </c>
      <c r="B45" s="2012"/>
      <c r="C45" s="2012"/>
      <c r="D45" s="2012"/>
      <c r="E45" s="2012"/>
      <c r="F45" s="2013"/>
      <c r="G45" s="1992" t="s">
        <v>1144</v>
      </c>
      <c r="H45" s="1993"/>
    </row>
    <row r="46" spans="1:8" ht="15" customHeight="1">
      <c r="A46" s="160" t="s">
        <v>26</v>
      </c>
      <c r="B46" s="161"/>
      <c r="C46" s="1994">
        <f>C33</f>
        <v>0</v>
      </c>
      <c r="D46" s="1994"/>
      <c r="E46" s="1994"/>
      <c r="F46" s="1994"/>
      <c r="G46" s="1994"/>
      <c r="H46" s="1995"/>
    </row>
    <row r="47" spans="1:8" ht="15" customHeight="1">
      <c r="A47" s="33" t="s">
        <v>27</v>
      </c>
      <c r="B47" s="1945">
        <f>B34</f>
        <v>0</v>
      </c>
      <c r="C47" s="1945"/>
      <c r="D47" s="1945"/>
      <c r="E47" s="1945"/>
      <c r="F47" s="114" t="s">
        <v>28</v>
      </c>
      <c r="G47" s="1996">
        <f>G34</f>
        <v>0</v>
      </c>
      <c r="H47" s="1997"/>
    </row>
    <row r="48" spans="1:8" ht="15" customHeight="1">
      <c r="A48" s="33" t="s">
        <v>1428</v>
      </c>
      <c r="B48" s="2"/>
      <c r="C48" s="1945">
        <f>C35</f>
        <v>0</v>
      </c>
      <c r="D48" s="1945"/>
      <c r="E48" s="30" t="s">
        <v>30</v>
      </c>
      <c r="F48" s="366">
        <f>F35</f>
        <v>0</v>
      </c>
      <c r="G48" s="114" t="s">
        <v>31</v>
      </c>
      <c r="H48" s="162">
        <f>H35</f>
        <v>0</v>
      </c>
    </row>
    <row r="49" spans="1:8" ht="17.25" customHeight="1">
      <c r="A49" s="33" t="s">
        <v>1429</v>
      </c>
      <c r="B49" s="2"/>
      <c r="C49" s="1970">
        <f>C36</f>
        <v>0</v>
      </c>
      <c r="D49" s="1970"/>
      <c r="E49" s="2"/>
      <c r="F49" s="2"/>
      <c r="G49" s="2"/>
      <c r="H49" s="163"/>
    </row>
    <row r="50" spans="1:8" ht="16" customHeight="1">
      <c r="A50" s="159" t="s">
        <v>125</v>
      </c>
      <c r="B50" s="1971" t="s">
        <v>1707</v>
      </c>
      <c r="C50" s="1971"/>
      <c r="D50" s="1971"/>
      <c r="E50" s="1971"/>
      <c r="F50" s="1971"/>
      <c r="G50" s="1971"/>
      <c r="H50" s="1972"/>
    </row>
    <row r="51" spans="1:8" ht="13" customHeight="1">
      <c r="A51" s="425" t="s">
        <v>126</v>
      </c>
      <c r="B51" s="385"/>
      <c r="C51" s="2"/>
      <c r="D51" s="2"/>
      <c r="E51" s="2"/>
      <c r="F51" s="2"/>
      <c r="G51" s="2"/>
      <c r="H51" s="163"/>
    </row>
    <row r="52" spans="1:8" ht="115.5" customHeight="1">
      <c r="A52" s="2009"/>
      <c r="B52" s="2009"/>
      <c r="C52" s="2009"/>
      <c r="D52" s="2009"/>
      <c r="E52" s="2009"/>
      <c r="F52" s="2009"/>
      <c r="G52" s="2009"/>
      <c r="H52" s="2009"/>
    </row>
    <row r="53" spans="1:8" ht="12.75" customHeight="1">
      <c r="A53" s="425" t="s">
        <v>632</v>
      </c>
      <c r="B53" s="158"/>
      <c r="C53" s="158"/>
      <c r="D53" s="158"/>
      <c r="E53" s="158"/>
      <c r="F53" s="158"/>
      <c r="G53" s="158"/>
      <c r="H53" s="426"/>
    </row>
    <row r="54" spans="1:8" ht="115.5" customHeight="1">
      <c r="A54" s="1973"/>
      <c r="B54" s="1973"/>
      <c r="C54" s="1973"/>
      <c r="D54" s="1973"/>
      <c r="E54" s="1973"/>
      <c r="F54" s="1973"/>
      <c r="G54" s="1973"/>
      <c r="H54" s="1973"/>
    </row>
    <row r="55" spans="1:8" ht="16" customHeight="1">
      <c r="A55" s="159" t="s">
        <v>127</v>
      </c>
      <c r="B55" s="1971" t="s">
        <v>1708</v>
      </c>
      <c r="C55" s="1971"/>
      <c r="D55" s="1971"/>
      <c r="E55" s="1971"/>
      <c r="F55" s="1971"/>
      <c r="G55" s="1971"/>
      <c r="H55" s="1972"/>
    </row>
    <row r="56" spans="1:8" ht="125.15" customHeight="1">
      <c r="A56" s="1973"/>
      <c r="B56" s="1973"/>
      <c r="C56" s="1973"/>
      <c r="D56" s="1973"/>
      <c r="E56" s="1973"/>
      <c r="F56" s="1973"/>
      <c r="G56" s="1973"/>
      <c r="H56" s="1973"/>
    </row>
    <row r="57" spans="1:8" ht="16" customHeight="1">
      <c r="A57" s="159" t="s">
        <v>129</v>
      </c>
      <c r="B57" s="1971" t="s">
        <v>130</v>
      </c>
      <c r="C57" s="1971"/>
      <c r="D57" s="1971"/>
      <c r="E57" s="1971"/>
      <c r="F57" s="1971"/>
      <c r="G57" s="1971"/>
      <c r="H57" s="1972"/>
    </row>
    <row r="58" spans="1:8" ht="125.15" customHeight="1">
      <c r="A58" s="1973"/>
      <c r="B58" s="1973"/>
      <c r="C58" s="1973"/>
      <c r="D58" s="1973"/>
      <c r="E58" s="1973"/>
      <c r="F58" s="1973"/>
      <c r="G58" s="1973"/>
      <c r="H58" s="1973"/>
    </row>
    <row r="59" spans="1:8" ht="16" customHeight="1">
      <c r="A59" s="159" t="s">
        <v>131</v>
      </c>
      <c r="B59" s="1971" t="s">
        <v>1709</v>
      </c>
      <c r="C59" s="1971"/>
      <c r="D59" s="1971"/>
      <c r="E59" s="1971"/>
      <c r="F59" s="1971"/>
      <c r="G59" s="1971"/>
      <c r="H59" s="1972"/>
    </row>
    <row r="60" spans="1:8" ht="125.15" customHeight="1">
      <c r="A60" s="1973"/>
      <c r="B60" s="1973"/>
      <c r="C60" s="1973"/>
      <c r="D60" s="1973"/>
      <c r="E60" s="1973"/>
      <c r="F60" s="1973"/>
      <c r="G60" s="1973"/>
      <c r="H60" s="1973"/>
    </row>
    <row r="61" spans="1:8" ht="26.15" customHeight="1">
      <c r="A61" s="2011" t="s">
        <v>1137</v>
      </c>
      <c r="B61" s="2012"/>
      <c r="C61" s="2012"/>
      <c r="D61" s="2012"/>
      <c r="E61" s="2012"/>
      <c r="F61" s="2013"/>
      <c r="G61" s="1992" t="s">
        <v>1145</v>
      </c>
      <c r="H61" s="1993"/>
    </row>
    <row r="62" spans="1:8" ht="15" customHeight="1">
      <c r="A62" s="160" t="s">
        <v>26</v>
      </c>
      <c r="B62" s="161"/>
      <c r="C62" s="1994">
        <f>C46</f>
        <v>0</v>
      </c>
      <c r="D62" s="1994"/>
      <c r="E62" s="1994"/>
      <c r="F62" s="1994"/>
      <c r="G62" s="1994"/>
      <c r="H62" s="1995"/>
    </row>
    <row r="63" spans="1:8" ht="15" customHeight="1">
      <c r="A63" s="33" t="s">
        <v>27</v>
      </c>
      <c r="B63" s="1945">
        <f>B47</f>
        <v>0</v>
      </c>
      <c r="C63" s="1945"/>
      <c r="D63" s="1945"/>
      <c r="E63" s="1945"/>
      <c r="F63" s="114" t="s">
        <v>28</v>
      </c>
      <c r="G63" s="1996">
        <f>G47</f>
        <v>0</v>
      </c>
      <c r="H63" s="1997"/>
    </row>
    <row r="64" spans="1:8" ht="15" customHeight="1">
      <c r="A64" s="7" t="s">
        <v>2021</v>
      </c>
      <c r="B64" s="2"/>
      <c r="C64" s="1945">
        <f>C48</f>
        <v>0</v>
      </c>
      <c r="D64" s="1945"/>
      <c r="E64" s="30" t="s">
        <v>30</v>
      </c>
      <c r="F64" s="366">
        <f>F48</f>
        <v>0</v>
      </c>
      <c r="G64" s="114" t="s">
        <v>31</v>
      </c>
      <c r="H64" s="162">
        <f>H48</f>
        <v>0</v>
      </c>
    </row>
    <row r="65" spans="1:8" s="424" customFormat="1" ht="17.25" customHeight="1">
      <c r="A65" s="268" t="s">
        <v>2024</v>
      </c>
      <c r="B65" s="417"/>
      <c r="C65" s="1970">
        <f>C49</f>
        <v>0</v>
      </c>
      <c r="D65" s="1970"/>
      <c r="E65" s="421"/>
      <c r="F65" s="422"/>
      <c r="G65" s="421"/>
      <c r="H65" s="423"/>
    </row>
    <row r="66" spans="1:8" ht="15" customHeight="1">
      <c r="A66" s="159" t="s">
        <v>133</v>
      </c>
      <c r="B66" s="1971" t="s">
        <v>134</v>
      </c>
      <c r="C66" s="1971"/>
      <c r="D66" s="1971"/>
      <c r="E66" s="1971"/>
      <c r="F66" s="1971"/>
      <c r="G66" s="1971"/>
      <c r="H66" s="1972"/>
    </row>
    <row r="67" spans="1:8" ht="120" customHeight="1">
      <c r="A67" s="1973"/>
      <c r="B67" s="1973"/>
      <c r="C67" s="1973"/>
      <c r="D67" s="1973"/>
      <c r="E67" s="1973"/>
      <c r="F67" s="1973"/>
      <c r="G67" s="1973"/>
      <c r="H67" s="1973"/>
    </row>
    <row r="68" spans="1:8" ht="16" customHeight="1">
      <c r="A68" s="159" t="s">
        <v>135</v>
      </c>
      <c r="B68" s="1971" t="s">
        <v>136</v>
      </c>
      <c r="C68" s="1971"/>
      <c r="D68" s="1971"/>
      <c r="E68" s="1971"/>
      <c r="F68" s="1971"/>
      <c r="G68" s="1971"/>
      <c r="H68" s="1972"/>
    </row>
    <row r="69" spans="1:8" ht="119.25" customHeight="1">
      <c r="A69" s="1973"/>
      <c r="B69" s="1973"/>
      <c r="C69" s="1973"/>
      <c r="D69" s="1973"/>
      <c r="E69" s="1973"/>
      <c r="F69" s="1973"/>
      <c r="G69" s="1973"/>
      <c r="H69" s="1973"/>
    </row>
    <row r="70" spans="1:8" ht="16" customHeight="1">
      <c r="A70" s="159" t="s">
        <v>137</v>
      </c>
      <c r="B70" s="1971" t="s">
        <v>1710</v>
      </c>
      <c r="C70" s="1971"/>
      <c r="D70" s="1971"/>
      <c r="E70" s="1971"/>
      <c r="F70" s="1971"/>
      <c r="G70" s="1971"/>
      <c r="H70" s="1972"/>
    </row>
    <row r="71" spans="1:8" ht="13" customHeight="1">
      <c r="A71" s="425" t="s">
        <v>700</v>
      </c>
      <c r="B71" s="2"/>
      <c r="C71" s="2"/>
      <c r="D71" s="2"/>
      <c r="E71" s="2"/>
      <c r="F71" s="2"/>
      <c r="G71" s="2"/>
      <c r="H71" s="163"/>
    </row>
    <row r="72" spans="1:8" ht="119.25" customHeight="1">
      <c r="A72" s="2009"/>
      <c r="B72" s="2009"/>
      <c r="C72" s="2009"/>
      <c r="D72" s="2009"/>
      <c r="E72" s="2009"/>
      <c r="F72" s="2009"/>
      <c r="G72" s="2009"/>
      <c r="H72" s="2009"/>
    </row>
    <row r="73" spans="1:8" ht="13" customHeight="1">
      <c r="A73" s="425" t="s">
        <v>1138</v>
      </c>
      <c r="B73" s="2"/>
      <c r="C73" s="2"/>
      <c r="D73" s="2"/>
      <c r="E73" s="2"/>
      <c r="F73" s="2"/>
      <c r="G73" s="2"/>
      <c r="H73" s="163"/>
    </row>
    <row r="74" spans="1:8" ht="119.25" customHeight="1">
      <c r="A74" s="2009"/>
      <c r="B74" s="2009"/>
      <c r="C74" s="2009"/>
      <c r="D74" s="2009"/>
      <c r="E74" s="2009"/>
      <c r="F74" s="2009"/>
      <c r="G74" s="2009"/>
      <c r="H74" s="2009"/>
    </row>
    <row r="75" spans="1:8" ht="13" customHeight="1">
      <c r="A75" s="425" t="s">
        <v>1139</v>
      </c>
      <c r="B75" s="2"/>
      <c r="C75" s="2"/>
      <c r="D75" s="2"/>
      <c r="E75" s="2"/>
      <c r="F75" s="2"/>
      <c r="G75" s="2"/>
      <c r="H75" s="163"/>
    </row>
    <row r="76" spans="1:8" ht="119.25" customHeight="1">
      <c r="A76" s="1973"/>
      <c r="B76" s="1973"/>
      <c r="C76" s="1973"/>
      <c r="D76" s="1973"/>
      <c r="E76" s="1973"/>
      <c r="F76" s="1973"/>
      <c r="G76" s="1973"/>
      <c r="H76" s="1973"/>
    </row>
    <row r="77" spans="1:8" ht="26.15" customHeight="1">
      <c r="A77" s="2011" t="s">
        <v>1137</v>
      </c>
      <c r="B77" s="2012"/>
      <c r="C77" s="2012"/>
      <c r="D77" s="2012"/>
      <c r="E77" s="2012"/>
      <c r="F77" s="2013"/>
      <c r="G77" s="1909" t="s">
        <v>1146</v>
      </c>
      <c r="H77" s="2014"/>
    </row>
    <row r="78" spans="1:8" ht="15" customHeight="1">
      <c r="A78" s="160" t="s">
        <v>26</v>
      </c>
      <c r="B78" s="161"/>
      <c r="C78" s="1994">
        <f>C62</f>
        <v>0</v>
      </c>
      <c r="D78" s="1994"/>
      <c r="E78" s="1994"/>
      <c r="F78" s="1994"/>
      <c r="G78" s="1994"/>
      <c r="H78" s="1995"/>
    </row>
    <row r="79" spans="1:8" ht="15" customHeight="1">
      <c r="A79" s="33" t="s">
        <v>27</v>
      </c>
      <c r="B79" s="1945">
        <f>B63</f>
        <v>0</v>
      </c>
      <c r="C79" s="1945"/>
      <c r="D79" s="1945"/>
      <c r="E79" s="1945"/>
      <c r="F79" s="114" t="s">
        <v>28</v>
      </c>
      <c r="G79" s="1996">
        <f>G63</f>
        <v>0</v>
      </c>
      <c r="H79" s="1997"/>
    </row>
    <row r="80" spans="1:8" ht="15" customHeight="1">
      <c r="A80" s="7" t="s">
        <v>2021</v>
      </c>
      <c r="B80" s="2"/>
      <c r="C80" s="1945">
        <f>C64</f>
        <v>0</v>
      </c>
      <c r="D80" s="1945"/>
      <c r="E80" s="30" t="s">
        <v>30</v>
      </c>
      <c r="F80" s="366">
        <f>F64</f>
        <v>0</v>
      </c>
      <c r="G80" s="114" t="s">
        <v>31</v>
      </c>
      <c r="H80" s="162">
        <f>H64</f>
        <v>0</v>
      </c>
    </row>
    <row r="81" spans="1:8" s="2" customFormat="1" ht="17.25" customHeight="1">
      <c r="A81" s="268" t="s">
        <v>2024</v>
      </c>
      <c r="B81" s="417"/>
      <c r="C81" s="1998">
        <f>C65</f>
        <v>0</v>
      </c>
      <c r="D81" s="1998"/>
      <c r="E81" s="421"/>
      <c r="F81" s="421"/>
      <c r="G81" s="421"/>
      <c r="H81" s="421"/>
    </row>
    <row r="82" spans="1:8" ht="16" customHeight="1">
      <c r="A82" s="159" t="s">
        <v>138</v>
      </c>
      <c r="B82" s="1971" t="s">
        <v>1711</v>
      </c>
      <c r="C82" s="1971"/>
      <c r="D82" s="1971"/>
      <c r="E82" s="1971"/>
      <c r="F82" s="1971"/>
      <c r="G82" s="1971"/>
      <c r="H82" s="1972"/>
    </row>
    <row r="83" spans="1:8" ht="13" customHeight="1">
      <c r="A83" s="427" t="s">
        <v>721</v>
      </c>
      <c r="B83" s="161"/>
      <c r="C83" s="161"/>
      <c r="D83" s="161"/>
      <c r="E83" s="161"/>
      <c r="F83" s="161"/>
      <c r="G83" s="161"/>
      <c r="H83" s="188"/>
    </row>
    <row r="84" spans="1:8" ht="119.25" customHeight="1">
      <c r="A84" s="1973"/>
      <c r="B84" s="1973"/>
      <c r="C84" s="1973"/>
      <c r="D84" s="1973"/>
      <c r="E84" s="1973"/>
      <c r="F84" s="1973"/>
      <c r="G84" s="1973"/>
      <c r="H84" s="1973"/>
    </row>
    <row r="85" spans="1:8" ht="13" customHeight="1">
      <c r="A85" s="425" t="s">
        <v>1140</v>
      </c>
      <c r="B85" s="2"/>
      <c r="C85" s="2"/>
      <c r="D85" s="2"/>
      <c r="E85" s="2"/>
      <c r="F85" s="2"/>
      <c r="G85" s="2"/>
      <c r="H85" s="163"/>
    </row>
    <row r="86" spans="1:8" ht="125.15" customHeight="1">
      <c r="A86" s="1973"/>
      <c r="B86" s="1973"/>
      <c r="C86" s="1973"/>
      <c r="D86" s="1973"/>
      <c r="E86" s="1973"/>
      <c r="F86" s="1973"/>
      <c r="G86" s="1973"/>
      <c r="H86" s="1973"/>
    </row>
    <row r="87" spans="1:8" ht="16" customHeight="1">
      <c r="A87" s="159" t="s">
        <v>139</v>
      </c>
      <c r="B87" s="1971" t="s">
        <v>140</v>
      </c>
      <c r="C87" s="1971"/>
      <c r="D87" s="1971"/>
      <c r="E87" s="1971"/>
      <c r="F87" s="1971"/>
      <c r="G87" s="1971"/>
      <c r="H87" s="1972"/>
    </row>
    <row r="88" spans="1:8" ht="125.15" customHeight="1">
      <c r="A88" s="1973"/>
      <c r="B88" s="1973"/>
      <c r="C88" s="1973"/>
      <c r="D88" s="1973"/>
      <c r="E88" s="1973"/>
      <c r="F88" s="1973"/>
      <c r="G88" s="1973"/>
      <c r="H88" s="1973"/>
    </row>
    <row r="89" spans="1:8" ht="16" customHeight="1">
      <c r="A89" s="159" t="s">
        <v>141</v>
      </c>
      <c r="B89" s="1971" t="s">
        <v>142</v>
      </c>
      <c r="C89" s="1971"/>
      <c r="D89" s="1971"/>
      <c r="E89" s="1971"/>
      <c r="F89" s="1971"/>
      <c r="G89" s="1971"/>
      <c r="H89" s="1972"/>
    </row>
    <row r="90" spans="1:8" ht="125.15" customHeight="1">
      <c r="A90" s="1973"/>
      <c r="B90" s="1973"/>
      <c r="C90" s="1973"/>
      <c r="D90" s="1973"/>
      <c r="E90" s="1973"/>
      <c r="F90" s="1973"/>
      <c r="G90" s="1973"/>
      <c r="H90" s="1973"/>
    </row>
    <row r="91" spans="1:8" ht="16" customHeight="1">
      <c r="A91" s="159" t="s">
        <v>143</v>
      </c>
      <c r="B91" s="1971" t="s">
        <v>144</v>
      </c>
      <c r="C91" s="1971"/>
      <c r="D91" s="1971"/>
      <c r="E91" s="1971"/>
      <c r="F91" s="1971"/>
      <c r="G91" s="1971"/>
      <c r="H91" s="1972"/>
    </row>
    <row r="92" spans="1:8" ht="125.15" customHeight="1">
      <c r="A92" s="1976"/>
      <c r="B92" s="1976"/>
      <c r="C92" s="1976"/>
      <c r="D92" s="1976"/>
      <c r="E92" s="1976"/>
      <c r="F92" s="1976"/>
      <c r="G92" s="1976"/>
      <c r="H92" s="1976"/>
    </row>
    <row r="93" spans="1:8" ht="26.15" customHeight="1">
      <c r="A93" s="2011" t="s">
        <v>1137</v>
      </c>
      <c r="B93" s="2012"/>
      <c r="C93" s="2012"/>
      <c r="D93" s="2012"/>
      <c r="E93" s="2012"/>
      <c r="F93" s="2013"/>
      <c r="G93" s="1992" t="s">
        <v>1147</v>
      </c>
      <c r="H93" s="1993"/>
    </row>
    <row r="94" spans="1:8" ht="15" customHeight="1">
      <c r="A94" s="160" t="s">
        <v>26</v>
      </c>
      <c r="B94" s="161"/>
      <c r="C94" s="1994">
        <f>C78</f>
        <v>0</v>
      </c>
      <c r="D94" s="1994"/>
      <c r="E94" s="1994"/>
      <c r="F94" s="1994"/>
      <c r="G94" s="1994"/>
      <c r="H94" s="1995"/>
    </row>
    <row r="95" spans="1:8" ht="15" customHeight="1">
      <c r="A95" s="33" t="s">
        <v>27</v>
      </c>
      <c r="B95" s="1945">
        <f>B79</f>
        <v>0</v>
      </c>
      <c r="C95" s="1945"/>
      <c r="D95" s="1945"/>
      <c r="E95" s="1945"/>
      <c r="F95" s="114" t="s">
        <v>28</v>
      </c>
      <c r="G95" s="1996">
        <f>G79</f>
        <v>0</v>
      </c>
      <c r="H95" s="1997"/>
    </row>
    <row r="96" spans="1:8" ht="14.25" customHeight="1">
      <c r="A96" s="7" t="s">
        <v>2021</v>
      </c>
      <c r="B96" s="2"/>
      <c r="C96" s="1945">
        <f>C80</f>
        <v>0</v>
      </c>
      <c r="D96" s="1945"/>
      <c r="E96" s="30" t="s">
        <v>30</v>
      </c>
      <c r="F96" s="366">
        <f>F80</f>
        <v>0</v>
      </c>
      <c r="G96" s="114" t="s">
        <v>31</v>
      </c>
      <c r="H96" s="162">
        <f>H80</f>
        <v>0</v>
      </c>
    </row>
    <row r="97" spans="1:8" s="2" customFormat="1" ht="17.25" customHeight="1">
      <c r="A97" s="268" t="s">
        <v>2024</v>
      </c>
      <c r="B97" s="417"/>
      <c r="C97" s="1970">
        <f>C81</f>
        <v>0</v>
      </c>
      <c r="D97" s="1970"/>
      <c r="E97" s="421"/>
      <c r="F97" s="421"/>
      <c r="G97" s="421"/>
      <c r="H97" s="421"/>
    </row>
    <row r="98" spans="1:8" ht="16" customHeight="1">
      <c r="A98" s="159" t="s">
        <v>145</v>
      </c>
      <c r="B98" s="1971" t="s">
        <v>146</v>
      </c>
      <c r="C98" s="1971"/>
      <c r="D98" s="1971"/>
      <c r="E98" s="1971"/>
      <c r="F98" s="1971"/>
      <c r="G98" s="1971"/>
      <c r="H98" s="1972"/>
    </row>
    <row r="99" spans="1:8" ht="125.15" customHeight="1">
      <c r="A99" s="1973"/>
      <c r="B99" s="1973"/>
      <c r="C99" s="1973"/>
      <c r="D99" s="1973"/>
      <c r="E99" s="1973"/>
      <c r="F99" s="1973"/>
      <c r="G99" s="1973"/>
      <c r="H99" s="1973"/>
    </row>
    <row r="100" spans="1:8" ht="16" customHeight="1">
      <c r="A100" s="159" t="s">
        <v>147</v>
      </c>
      <c r="B100" s="1971" t="s">
        <v>148</v>
      </c>
      <c r="C100" s="1971"/>
      <c r="D100" s="1971"/>
      <c r="E100" s="1971"/>
      <c r="F100" s="1971"/>
      <c r="G100" s="1971"/>
      <c r="H100" s="1972"/>
    </row>
    <row r="101" spans="1:8" ht="125.15" customHeight="1">
      <c r="A101" s="1973"/>
      <c r="B101" s="1973"/>
      <c r="C101" s="1973"/>
      <c r="D101" s="1973"/>
      <c r="E101" s="1973"/>
      <c r="F101" s="1973"/>
      <c r="G101" s="1973"/>
      <c r="H101" s="1973"/>
    </row>
    <row r="102" spans="1:8" ht="16" customHeight="1">
      <c r="A102" s="159" t="s">
        <v>149</v>
      </c>
      <c r="B102" s="1971" t="s">
        <v>150</v>
      </c>
      <c r="C102" s="1971"/>
      <c r="D102" s="1971"/>
      <c r="E102" s="1971"/>
      <c r="F102" s="1971"/>
      <c r="G102" s="1971"/>
      <c r="H102" s="1972"/>
    </row>
    <row r="103" spans="1:8" ht="125.15" customHeight="1">
      <c r="A103" s="1973"/>
      <c r="B103" s="1973"/>
      <c r="C103" s="1973"/>
      <c r="D103" s="1973"/>
      <c r="E103" s="1973"/>
      <c r="F103" s="1973"/>
      <c r="G103" s="1973"/>
      <c r="H103" s="1973"/>
    </row>
    <row r="104" spans="1:8" ht="16" customHeight="1">
      <c r="A104" s="159" t="s">
        <v>151</v>
      </c>
      <c r="B104" s="1971" t="s">
        <v>152</v>
      </c>
      <c r="C104" s="1971"/>
      <c r="D104" s="1971"/>
      <c r="E104" s="1971"/>
      <c r="F104" s="1971"/>
      <c r="G104" s="1971"/>
      <c r="H104" s="1972"/>
    </row>
    <row r="105" spans="1:8" ht="125.15" customHeight="1">
      <c r="A105" s="1973"/>
      <c r="B105" s="1973"/>
      <c r="C105" s="1973"/>
      <c r="D105" s="1973"/>
      <c r="E105" s="1973"/>
      <c r="F105" s="1973"/>
      <c r="G105" s="1973"/>
      <c r="H105" s="1973"/>
    </row>
    <row r="106" spans="1:8" ht="16" customHeight="1">
      <c r="A106" s="159" t="s">
        <v>153</v>
      </c>
      <c r="B106" s="1971" t="s">
        <v>154</v>
      </c>
      <c r="C106" s="1971"/>
      <c r="D106" s="1971"/>
      <c r="E106" s="1971"/>
      <c r="F106" s="1971"/>
      <c r="G106" s="1971"/>
      <c r="H106" s="1972"/>
    </row>
    <row r="107" spans="1:8" ht="125.15" customHeight="1">
      <c r="A107" s="1973"/>
      <c r="B107" s="1973"/>
      <c r="C107" s="1973"/>
      <c r="D107" s="1973"/>
      <c r="E107" s="1973"/>
      <c r="F107" s="1973"/>
      <c r="G107" s="1973"/>
      <c r="H107" s="1973"/>
    </row>
    <row r="108" spans="1:8" ht="26.15" customHeight="1">
      <c r="A108" s="2011" t="s">
        <v>1137</v>
      </c>
      <c r="B108" s="2012"/>
      <c r="C108" s="2012"/>
      <c r="D108" s="2012"/>
      <c r="E108" s="2012"/>
      <c r="F108" s="2013"/>
      <c r="G108" s="1992" t="s">
        <v>1148</v>
      </c>
      <c r="H108" s="1993"/>
    </row>
    <row r="109" spans="1:8" ht="15" customHeight="1">
      <c r="A109" s="160" t="s">
        <v>26</v>
      </c>
      <c r="B109" s="161"/>
      <c r="C109" s="1994">
        <f>C94</f>
        <v>0</v>
      </c>
      <c r="D109" s="1994"/>
      <c r="E109" s="1994"/>
      <c r="F109" s="1994"/>
      <c r="G109" s="1994"/>
      <c r="H109" s="1995"/>
    </row>
    <row r="110" spans="1:8" ht="15" customHeight="1">
      <c r="A110" s="33" t="s">
        <v>27</v>
      </c>
      <c r="B110" s="1945">
        <f>B95</f>
        <v>0</v>
      </c>
      <c r="C110" s="1945"/>
      <c r="D110" s="1945"/>
      <c r="E110" s="1945"/>
      <c r="F110" s="114" t="s">
        <v>28</v>
      </c>
      <c r="G110" s="1996">
        <f>G95</f>
        <v>0</v>
      </c>
      <c r="H110" s="1997"/>
    </row>
    <row r="111" spans="1:8" ht="15" customHeight="1">
      <c r="A111" s="7" t="s">
        <v>2021</v>
      </c>
      <c r="B111" s="2"/>
      <c r="C111" s="1945">
        <f>C96</f>
        <v>0</v>
      </c>
      <c r="D111" s="1945"/>
      <c r="E111" s="30" t="s">
        <v>30</v>
      </c>
      <c r="F111" s="366">
        <f>F96</f>
        <v>0</v>
      </c>
      <c r="G111" s="114" t="s">
        <v>31</v>
      </c>
      <c r="H111" s="162">
        <f>H96</f>
        <v>0</v>
      </c>
    </row>
    <row r="112" spans="1:8" ht="17.25" customHeight="1">
      <c r="A112" s="268" t="s">
        <v>2024</v>
      </c>
      <c r="B112" s="417"/>
      <c r="C112" s="1970">
        <f>C97</f>
        <v>0</v>
      </c>
      <c r="D112" s="1970"/>
      <c r="E112" s="30"/>
      <c r="F112" s="371"/>
      <c r="G112" s="114"/>
      <c r="H112" s="416"/>
    </row>
    <row r="113" spans="1:8" ht="15" customHeight="1">
      <c r="A113" s="159" t="s">
        <v>155</v>
      </c>
      <c r="B113" s="1971" t="s">
        <v>156</v>
      </c>
      <c r="C113" s="1971"/>
      <c r="D113" s="1971"/>
      <c r="E113" s="1971"/>
      <c r="F113" s="1971"/>
      <c r="G113" s="1971"/>
      <c r="H113" s="1972"/>
    </row>
    <row r="114" spans="1:8" ht="125.15" customHeight="1">
      <c r="A114" s="1973"/>
      <c r="B114" s="1973"/>
      <c r="C114" s="1973"/>
      <c r="D114" s="1973"/>
      <c r="E114" s="1973"/>
      <c r="F114" s="1973"/>
      <c r="G114" s="1973"/>
      <c r="H114" s="1973"/>
    </row>
    <row r="115" spans="1:8" ht="16" customHeight="1">
      <c r="A115" s="159" t="s">
        <v>157</v>
      </c>
      <c r="B115" s="1971" t="s">
        <v>158</v>
      </c>
      <c r="C115" s="1971"/>
      <c r="D115" s="1971"/>
      <c r="E115" s="1971"/>
      <c r="F115" s="1971"/>
      <c r="G115" s="1971"/>
      <c r="H115" s="1972"/>
    </row>
    <row r="116" spans="1:8" ht="125.15" customHeight="1">
      <c r="A116" s="1973"/>
      <c r="B116" s="1973"/>
      <c r="C116" s="1973"/>
      <c r="D116" s="1973"/>
      <c r="E116" s="1973"/>
      <c r="F116" s="1973"/>
      <c r="G116" s="1973"/>
      <c r="H116" s="1973"/>
    </row>
    <row r="117" spans="1:8" ht="16" customHeight="1">
      <c r="A117" s="159" t="s">
        <v>159</v>
      </c>
      <c r="B117" s="1971" t="s">
        <v>160</v>
      </c>
      <c r="C117" s="1971"/>
      <c r="D117" s="1971"/>
      <c r="E117" s="1971"/>
      <c r="F117" s="1971"/>
      <c r="G117" s="1971"/>
      <c r="H117" s="1972"/>
    </row>
    <row r="118" spans="1:8" ht="125.15" customHeight="1">
      <c r="A118" s="1973"/>
      <c r="B118" s="1973"/>
      <c r="C118" s="1973"/>
      <c r="D118" s="1973"/>
      <c r="E118" s="1973"/>
      <c r="F118" s="1973"/>
      <c r="G118" s="1973"/>
      <c r="H118" s="1973"/>
    </row>
    <row r="119" spans="1:8" ht="16" customHeight="1">
      <c r="A119" s="159" t="s">
        <v>161</v>
      </c>
      <c r="B119" s="1971" t="s">
        <v>162</v>
      </c>
      <c r="C119" s="1971"/>
      <c r="D119" s="1971"/>
      <c r="E119" s="1971"/>
      <c r="F119" s="1971"/>
      <c r="G119" s="1971"/>
      <c r="H119" s="1972"/>
    </row>
    <row r="120" spans="1:8" ht="125.15" customHeight="1">
      <c r="A120" s="1973"/>
      <c r="B120" s="1973"/>
      <c r="C120" s="1973"/>
      <c r="D120" s="1973"/>
      <c r="E120" s="1973"/>
      <c r="F120" s="1973"/>
      <c r="G120" s="1973"/>
      <c r="H120" s="1973"/>
    </row>
    <row r="121" spans="1:8" ht="16" customHeight="1">
      <c r="A121" s="159" t="s">
        <v>163</v>
      </c>
      <c r="B121" s="1971" t="s">
        <v>164</v>
      </c>
      <c r="C121" s="1971"/>
      <c r="D121" s="1971"/>
      <c r="E121" s="1971"/>
      <c r="F121" s="1971"/>
      <c r="G121" s="1971"/>
      <c r="H121" s="1972"/>
    </row>
    <row r="122" spans="1:8" ht="123.75" customHeight="1">
      <c r="A122" s="1973"/>
      <c r="B122" s="1973"/>
      <c r="C122" s="1973"/>
      <c r="D122" s="1973"/>
      <c r="E122" s="1973"/>
      <c r="F122" s="1973"/>
      <c r="G122" s="1973"/>
      <c r="H122" s="1973"/>
    </row>
    <row r="123" spans="1:8" ht="26.15" customHeight="1">
      <c r="A123" s="2011" t="s">
        <v>1137</v>
      </c>
      <c r="B123" s="2012"/>
      <c r="C123" s="2012"/>
      <c r="D123" s="2012"/>
      <c r="E123" s="2012"/>
      <c r="F123" s="2013"/>
      <c r="G123" s="1992" t="s">
        <v>1149</v>
      </c>
      <c r="H123" s="1993"/>
    </row>
    <row r="124" spans="1:8" ht="15" customHeight="1">
      <c r="A124" s="160" t="s">
        <v>26</v>
      </c>
      <c r="B124" s="161"/>
      <c r="C124" s="1994">
        <f>C109</f>
        <v>0</v>
      </c>
      <c r="D124" s="1994"/>
      <c r="E124" s="1994"/>
      <c r="F124" s="1994"/>
      <c r="G124" s="1994"/>
      <c r="H124" s="1995"/>
    </row>
    <row r="125" spans="1:8" ht="15" customHeight="1">
      <c r="A125" s="33" t="s">
        <v>27</v>
      </c>
      <c r="B125" s="1945">
        <f>B110</f>
        <v>0</v>
      </c>
      <c r="C125" s="1945"/>
      <c r="D125" s="1945"/>
      <c r="E125" s="1945"/>
      <c r="F125" s="114" t="s">
        <v>28</v>
      </c>
      <c r="G125" s="1996">
        <f>G110</f>
        <v>0</v>
      </c>
      <c r="H125" s="1997"/>
    </row>
    <row r="126" spans="1:8" ht="15" customHeight="1">
      <c r="A126" s="7" t="s">
        <v>2021</v>
      </c>
      <c r="B126" s="2"/>
      <c r="C126" s="1945">
        <f>C111</f>
        <v>0</v>
      </c>
      <c r="D126" s="1945"/>
      <c r="E126" s="30" t="s">
        <v>30</v>
      </c>
      <c r="F126" s="366">
        <f>F111</f>
        <v>0</v>
      </c>
      <c r="G126" s="114" t="s">
        <v>31</v>
      </c>
      <c r="H126" s="162">
        <f>H111</f>
        <v>0</v>
      </c>
    </row>
    <row r="127" spans="1:8" ht="17.25" customHeight="1">
      <c r="A127" s="268" t="s">
        <v>2024</v>
      </c>
      <c r="B127" s="417"/>
      <c r="C127" s="1970">
        <f>C112</f>
        <v>0</v>
      </c>
      <c r="D127" s="1970"/>
      <c r="E127" s="30"/>
      <c r="F127" s="371"/>
      <c r="G127" s="114"/>
      <c r="H127" s="416"/>
    </row>
    <row r="128" spans="1:8" ht="15" customHeight="1">
      <c r="A128" s="159" t="s">
        <v>1457</v>
      </c>
      <c r="B128" s="1971" t="s">
        <v>165</v>
      </c>
      <c r="C128" s="1971"/>
      <c r="D128" s="1971"/>
      <c r="E128" s="1971"/>
      <c r="F128" s="1971"/>
      <c r="G128" s="1971"/>
      <c r="H128" s="1972"/>
    </row>
    <row r="129" spans="1:8" ht="130" customHeight="1">
      <c r="A129" s="1973"/>
      <c r="B129" s="1973"/>
      <c r="C129" s="1973"/>
      <c r="D129" s="1973"/>
      <c r="E129" s="1973"/>
      <c r="F129" s="1973"/>
      <c r="G129" s="1973"/>
      <c r="H129" s="1973"/>
    </row>
    <row r="130" spans="1:8" ht="16" customHeight="1">
      <c r="A130" s="159" t="s">
        <v>1458</v>
      </c>
      <c r="B130" s="1971" t="s">
        <v>1459</v>
      </c>
      <c r="C130" s="1971"/>
      <c r="D130" s="1971"/>
      <c r="E130" s="1971"/>
      <c r="F130" s="1971"/>
      <c r="G130" s="1971"/>
      <c r="H130" s="1972"/>
    </row>
    <row r="131" spans="1:8" ht="130" customHeight="1">
      <c r="A131" s="1973"/>
      <c r="B131" s="1973"/>
      <c r="C131" s="1973"/>
      <c r="D131" s="1973"/>
      <c r="E131" s="1973"/>
      <c r="F131" s="1973"/>
      <c r="G131" s="1973"/>
      <c r="H131" s="1973"/>
    </row>
    <row r="132" spans="1:8" ht="16" customHeight="1">
      <c r="A132" s="159" t="s">
        <v>1460</v>
      </c>
      <c r="B132" s="1971" t="s">
        <v>1461</v>
      </c>
      <c r="C132" s="1971"/>
      <c r="D132" s="1971"/>
      <c r="E132" s="1971"/>
      <c r="F132" s="1971"/>
      <c r="G132" s="1971"/>
      <c r="H132" s="1972"/>
    </row>
    <row r="133" spans="1:8" ht="130" customHeight="1">
      <c r="A133" s="1973"/>
      <c r="B133" s="1973"/>
      <c r="C133" s="1973"/>
      <c r="D133" s="1973"/>
      <c r="E133" s="1973"/>
      <c r="F133" s="1973"/>
      <c r="G133" s="1973"/>
      <c r="H133" s="1973"/>
    </row>
    <row r="134" spans="1:8" ht="13" customHeight="1">
      <c r="A134" s="159" t="s">
        <v>166</v>
      </c>
      <c r="B134" s="1971" t="s">
        <v>167</v>
      </c>
      <c r="C134" s="1971"/>
      <c r="D134" s="1971"/>
      <c r="E134" s="1971"/>
      <c r="F134" s="1971"/>
      <c r="G134" s="1971"/>
      <c r="H134" s="1972"/>
    </row>
    <row r="135" spans="1:8" ht="130" customHeight="1">
      <c r="A135" s="1973"/>
      <c r="B135" s="1973"/>
      <c r="C135" s="1973"/>
      <c r="D135" s="1973"/>
      <c r="E135" s="1973"/>
      <c r="F135" s="1973"/>
      <c r="G135" s="1973"/>
      <c r="H135" s="1973"/>
    </row>
    <row r="136" spans="1:8" ht="13" customHeight="1">
      <c r="A136" s="159" t="s">
        <v>168</v>
      </c>
      <c r="B136" s="1971" t="s">
        <v>169</v>
      </c>
      <c r="C136" s="1971"/>
      <c r="D136" s="1971"/>
      <c r="E136" s="1971"/>
      <c r="F136" s="1971"/>
      <c r="G136" s="1971"/>
      <c r="H136" s="1972"/>
    </row>
    <row r="137" spans="1:8">
      <c r="A137" s="1974"/>
      <c r="B137" s="1974"/>
      <c r="C137" s="1974"/>
      <c r="D137" s="1974"/>
      <c r="E137" s="1974"/>
      <c r="F137" s="1974"/>
      <c r="G137" s="1974"/>
      <c r="H137" s="1974"/>
    </row>
  </sheetData>
  <mergeCells count="148">
    <mergeCell ref="B104:H104"/>
    <mergeCell ref="B106:H106"/>
    <mergeCell ref="A101:H101"/>
    <mergeCell ref="A103:H103"/>
    <mergeCell ref="A105:H105"/>
    <mergeCell ref="C96:D96"/>
    <mergeCell ref="B100:H100"/>
    <mergeCell ref="A133:H133"/>
    <mergeCell ref="B125:E125"/>
    <mergeCell ref="G125:H125"/>
    <mergeCell ref="C126:D126"/>
    <mergeCell ref="B130:H130"/>
    <mergeCell ref="B132:H132"/>
    <mergeCell ref="A131:H131"/>
    <mergeCell ref="A122:H122"/>
    <mergeCell ref="B128:H128"/>
    <mergeCell ref="A129:H129"/>
    <mergeCell ref="A123:F123"/>
    <mergeCell ref="G123:H123"/>
    <mergeCell ref="C124:H124"/>
    <mergeCell ref="A107:H107"/>
    <mergeCell ref="B115:H115"/>
    <mergeCell ref="B117:H117"/>
    <mergeCell ref="B119:H119"/>
    <mergeCell ref="B121:H121"/>
    <mergeCell ref="A116:H116"/>
    <mergeCell ref="A118:H118"/>
    <mergeCell ref="A120:H120"/>
    <mergeCell ref="B113:H113"/>
    <mergeCell ref="A114:H114"/>
    <mergeCell ref="C111:D111"/>
    <mergeCell ref="A108:F108"/>
    <mergeCell ref="G108:H108"/>
    <mergeCell ref="C109:H109"/>
    <mergeCell ref="B110:E110"/>
    <mergeCell ref="G110:H110"/>
    <mergeCell ref="B102:H102"/>
    <mergeCell ref="A90:H90"/>
    <mergeCell ref="B91:H91"/>
    <mergeCell ref="B98:H98"/>
    <mergeCell ref="A92:H92"/>
    <mergeCell ref="A99:H99"/>
    <mergeCell ref="A93:F93"/>
    <mergeCell ref="A77:F77"/>
    <mergeCell ref="G77:H77"/>
    <mergeCell ref="C78:H78"/>
    <mergeCell ref="B79:E79"/>
    <mergeCell ref="G79:H79"/>
    <mergeCell ref="C80:D80"/>
    <mergeCell ref="A86:H86"/>
    <mergeCell ref="B87:H87"/>
    <mergeCell ref="A88:H88"/>
    <mergeCell ref="B89:H89"/>
    <mergeCell ref="B82:H82"/>
    <mergeCell ref="A84:H84"/>
    <mergeCell ref="C94:H94"/>
    <mergeCell ref="B95:E95"/>
    <mergeCell ref="G95:H95"/>
    <mergeCell ref="G93:H93"/>
    <mergeCell ref="C81:D81"/>
    <mergeCell ref="B68:H68"/>
    <mergeCell ref="B70:H70"/>
    <mergeCell ref="A69:H69"/>
    <mergeCell ref="A72:H72"/>
    <mergeCell ref="A74:H74"/>
    <mergeCell ref="A76:H76"/>
    <mergeCell ref="A61:F61"/>
    <mergeCell ref="G61:H61"/>
    <mergeCell ref="C62:H62"/>
    <mergeCell ref="B63:E63"/>
    <mergeCell ref="G63:H63"/>
    <mergeCell ref="C64:D64"/>
    <mergeCell ref="B66:H66"/>
    <mergeCell ref="A67:H67"/>
    <mergeCell ref="C65:D65"/>
    <mergeCell ref="A56:H56"/>
    <mergeCell ref="A58:H58"/>
    <mergeCell ref="A60:H60"/>
    <mergeCell ref="B55:H55"/>
    <mergeCell ref="B57:H57"/>
    <mergeCell ref="B59:H59"/>
    <mergeCell ref="A52:H52"/>
    <mergeCell ref="B50:H50"/>
    <mergeCell ref="B47:E47"/>
    <mergeCell ref="G47:H47"/>
    <mergeCell ref="C48:D48"/>
    <mergeCell ref="A45:F45"/>
    <mergeCell ref="G45:H45"/>
    <mergeCell ref="C46:H46"/>
    <mergeCell ref="A54:H54"/>
    <mergeCell ref="A42:H42"/>
    <mergeCell ref="A44:H44"/>
    <mergeCell ref="A27:H27"/>
    <mergeCell ref="A32:F32"/>
    <mergeCell ref="G32:H32"/>
    <mergeCell ref="C33:H33"/>
    <mergeCell ref="B34:E34"/>
    <mergeCell ref="G34:H34"/>
    <mergeCell ref="B41:H41"/>
    <mergeCell ref="B43:H43"/>
    <mergeCell ref="C49:D49"/>
    <mergeCell ref="G18:H18"/>
    <mergeCell ref="C19:D19"/>
    <mergeCell ref="A24:H24"/>
    <mergeCell ref="A26:H26"/>
    <mergeCell ref="B21:H21"/>
    <mergeCell ref="A22:H22"/>
    <mergeCell ref="A25:H25"/>
    <mergeCell ref="C20:D20"/>
    <mergeCell ref="C36:D36"/>
    <mergeCell ref="B12:H12"/>
    <mergeCell ref="B6:H6"/>
    <mergeCell ref="B8:H8"/>
    <mergeCell ref="B10:H10"/>
    <mergeCell ref="G1:H1"/>
    <mergeCell ref="A7:H7"/>
    <mergeCell ref="A9:H9"/>
    <mergeCell ref="A11:H11"/>
    <mergeCell ref="C2:H2"/>
    <mergeCell ref="B3:E3"/>
    <mergeCell ref="G3:H3"/>
    <mergeCell ref="C4:D4"/>
    <mergeCell ref="C5:D5"/>
    <mergeCell ref="A1:B1"/>
    <mergeCell ref="C97:D97"/>
    <mergeCell ref="C112:D112"/>
    <mergeCell ref="C127:D127"/>
    <mergeCell ref="B134:H134"/>
    <mergeCell ref="A135:H135"/>
    <mergeCell ref="B136:H136"/>
    <mergeCell ref="A137:H137"/>
    <mergeCell ref="A13:H13"/>
    <mergeCell ref="A15:H15"/>
    <mergeCell ref="B14:H14"/>
    <mergeCell ref="A16:F16"/>
    <mergeCell ref="G16:H16"/>
    <mergeCell ref="A40:H40"/>
    <mergeCell ref="B30:H30"/>
    <mergeCell ref="B37:H37"/>
    <mergeCell ref="B39:H39"/>
    <mergeCell ref="A29:H29"/>
    <mergeCell ref="A31:H31"/>
    <mergeCell ref="A38:H38"/>
    <mergeCell ref="B28:H28"/>
    <mergeCell ref="C35:D35"/>
    <mergeCell ref="B23:H23"/>
    <mergeCell ref="C17:H17"/>
    <mergeCell ref="B18:E18"/>
  </mergeCell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67">
    <pageSetUpPr fitToPage="1"/>
  </sheetPr>
  <dimension ref="B1:J23"/>
  <sheetViews>
    <sheetView showGridLines="0" topLeftCell="A17" zoomScale="80" zoomScaleNormal="80" workbookViewId="0">
      <selection activeCell="E23" sqref="E23:J23"/>
    </sheetView>
  </sheetViews>
  <sheetFormatPr baseColWidth="10" defaultRowHeight="14.5"/>
  <cols>
    <col min="1" max="2" width="0.81640625" customWidth="1"/>
    <col min="3" max="12" width="10" customWidth="1"/>
    <col min="13" max="13" width="0.81640625" customWidth="1"/>
  </cols>
  <sheetData>
    <row r="1" spans="2:10" ht="9" customHeight="1" thickBot="1"/>
    <row r="2" spans="2:10" ht="4.5" customHeight="1">
      <c r="B2" s="11"/>
      <c r="C2" s="12"/>
      <c r="D2" s="12"/>
      <c r="E2" s="12"/>
      <c r="F2" s="12"/>
      <c r="G2" s="12"/>
      <c r="H2" s="12"/>
      <c r="I2" s="12"/>
      <c r="J2" s="12"/>
    </row>
    <row r="3" spans="2:10">
      <c r="B3" s="14"/>
      <c r="C3" s="246"/>
      <c r="D3" s="247"/>
      <c r="E3" s="247"/>
      <c r="F3" s="247"/>
      <c r="G3" s="247"/>
      <c r="H3" s="247"/>
      <c r="I3" s="247"/>
      <c r="J3" s="247"/>
    </row>
    <row r="4" spans="2:10" ht="15.5">
      <c r="B4" s="14"/>
      <c r="C4" s="249"/>
      <c r="D4" s="156"/>
      <c r="E4" s="156"/>
      <c r="F4" s="156"/>
      <c r="G4" s="156"/>
      <c r="H4" s="156"/>
      <c r="I4" s="156"/>
      <c r="J4" s="156"/>
    </row>
    <row r="5" spans="2:10">
      <c r="B5" s="14"/>
      <c r="C5" s="249"/>
    </row>
    <row r="6" spans="2:10" ht="15.75" customHeight="1">
      <c r="B6" s="14"/>
      <c r="C6" s="249"/>
      <c r="D6" s="320"/>
      <c r="E6" s="320"/>
      <c r="F6" s="320"/>
      <c r="G6" s="320"/>
      <c r="H6" s="320"/>
      <c r="I6" s="320"/>
      <c r="J6" s="320"/>
    </row>
    <row r="7" spans="2:10">
      <c r="B7" s="14"/>
      <c r="C7" s="249"/>
    </row>
    <row r="8" spans="2:10" ht="15.5">
      <c r="B8" s="14"/>
      <c r="C8" s="249"/>
      <c r="D8" s="156"/>
      <c r="E8" s="156"/>
      <c r="F8" s="156"/>
      <c r="G8" s="156"/>
      <c r="H8" s="156"/>
      <c r="I8" s="156"/>
      <c r="J8" s="156"/>
    </row>
    <row r="9" spans="2:10">
      <c r="B9" s="14"/>
      <c r="C9" s="249"/>
    </row>
    <row r="10" spans="2:10">
      <c r="B10" s="14"/>
      <c r="C10" s="249"/>
    </row>
    <row r="11" spans="2:10">
      <c r="B11" s="14"/>
      <c r="C11" s="249"/>
    </row>
    <row r="12" spans="2:10">
      <c r="B12" s="14"/>
      <c r="C12" s="249"/>
    </row>
    <row r="13" spans="2:10">
      <c r="B13" s="14"/>
      <c r="C13" s="249"/>
    </row>
    <row r="14" spans="2:10">
      <c r="B14" s="14"/>
      <c r="C14" s="249"/>
    </row>
    <row r="15" spans="2:10">
      <c r="B15" s="14"/>
      <c r="C15" s="249"/>
    </row>
    <row r="16" spans="2:10">
      <c r="B16" s="14"/>
      <c r="C16" s="249"/>
    </row>
    <row r="17" spans="2:10">
      <c r="B17" s="14"/>
      <c r="C17" s="249"/>
    </row>
    <row r="18" spans="2:10">
      <c r="B18" s="14"/>
      <c r="C18" s="249"/>
    </row>
    <row r="19" spans="2:10">
      <c r="B19" s="14"/>
      <c r="C19" s="249"/>
    </row>
    <row r="20" spans="2:10">
      <c r="B20" s="14"/>
      <c r="C20" s="249"/>
    </row>
    <row r="21" spans="2:10">
      <c r="B21" s="14"/>
      <c r="C21" s="249"/>
    </row>
    <row r="22" spans="2:10">
      <c r="B22" s="14"/>
      <c r="C22" s="249"/>
    </row>
    <row r="23" spans="2:10" ht="66.75" customHeight="1">
      <c r="B23" s="14"/>
      <c r="C23" s="249"/>
      <c r="E23" s="2015" t="s">
        <v>1628</v>
      </c>
      <c r="F23" s="2016"/>
      <c r="G23" s="2016"/>
      <c r="H23" s="2016"/>
      <c r="I23" s="2016"/>
      <c r="J23" s="2016"/>
    </row>
  </sheetData>
  <mergeCells count="1">
    <mergeCell ref="E23:J23"/>
  </mergeCells>
  <printOptions horizontalCentered="1" verticalCentered="1"/>
  <pageMargins left="0.51181102362204722" right="0.51181102362204722" top="0.35433070866141736" bottom="0.35433070866141736" header="0.31496062992125984" footer="0.31496062992125984"/>
  <pageSetup paperSize="9" scale="90"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Feuil68">
    <pageSetUpPr fitToPage="1"/>
  </sheetPr>
  <dimension ref="A1:J37"/>
  <sheetViews>
    <sheetView showGridLines="0" topLeftCell="A23" zoomScale="180" zoomScaleNormal="180" workbookViewId="0">
      <selection activeCell="J35" sqref="J35"/>
    </sheetView>
  </sheetViews>
  <sheetFormatPr baseColWidth="10" defaultRowHeight="14.5"/>
  <cols>
    <col min="1" max="1" width="17.54296875" customWidth="1"/>
    <col min="2" max="2" width="14.54296875" customWidth="1"/>
    <col min="3" max="3" width="8.54296875" customWidth="1"/>
    <col min="4" max="4" width="9" customWidth="1"/>
    <col min="5" max="5" width="15.54296875" customWidth="1"/>
    <col min="6" max="6" width="6.453125" customWidth="1"/>
    <col min="7" max="7" width="2.54296875" customWidth="1"/>
    <col min="8" max="8" width="3.54296875" hidden="1" customWidth="1"/>
    <col min="9" max="10" width="8.1796875" customWidth="1"/>
  </cols>
  <sheetData>
    <row r="1" spans="1:10">
      <c r="A1" s="1134" t="s">
        <v>183</v>
      </c>
      <c r="B1" s="1134"/>
      <c r="C1" s="1134"/>
      <c r="D1" s="1134"/>
      <c r="E1" s="1134"/>
      <c r="F1" s="1134"/>
      <c r="G1" s="1134"/>
      <c r="H1" s="1134"/>
      <c r="I1" s="1134"/>
      <c r="J1" s="1134"/>
    </row>
    <row r="2" spans="1:10" ht="22.5" customHeight="1">
      <c r="A2" s="25"/>
      <c r="B2" s="25"/>
      <c r="C2" s="25"/>
      <c r="D2" s="8"/>
      <c r="E2" s="8"/>
      <c r="F2" s="8"/>
      <c r="G2" s="41"/>
      <c r="H2" s="41"/>
      <c r="I2" s="2035" t="s">
        <v>2061</v>
      </c>
      <c r="J2" s="2036"/>
    </row>
    <row r="3" spans="1:10">
      <c r="A3" s="8" t="s">
        <v>26</v>
      </c>
      <c r="B3" s="8"/>
      <c r="C3" s="2037"/>
      <c r="D3" s="2037"/>
      <c r="E3" s="2037"/>
      <c r="F3" s="2037"/>
      <c r="G3" s="2037"/>
      <c r="H3" s="2037"/>
      <c r="I3" s="2037"/>
      <c r="J3" s="2037"/>
    </row>
    <row r="4" spans="1:10">
      <c r="A4" s="8" t="s">
        <v>27</v>
      </c>
      <c r="B4" s="1433"/>
      <c r="C4" s="1433"/>
      <c r="D4" s="1433"/>
      <c r="E4" s="1433"/>
      <c r="F4" s="1433"/>
      <c r="G4" s="1433"/>
      <c r="H4" s="378" t="s">
        <v>28</v>
      </c>
      <c r="I4" s="1436"/>
      <c r="J4" s="1436"/>
    </row>
    <row r="5" spans="1:10">
      <c r="A5" s="7" t="s">
        <v>2021</v>
      </c>
      <c r="B5" s="7"/>
      <c r="C5" s="1433"/>
      <c r="D5" s="1433"/>
      <c r="E5" s="41" t="s">
        <v>30</v>
      </c>
      <c r="F5" s="2038"/>
      <c r="G5" s="2038"/>
      <c r="H5" s="41" t="s">
        <v>31</v>
      </c>
      <c r="I5" s="1437"/>
      <c r="J5" s="1437"/>
    </row>
    <row r="6" spans="1:10">
      <c r="A6" s="268" t="s">
        <v>2024</v>
      </c>
      <c r="B6" s="7"/>
      <c r="C6" s="2039"/>
      <c r="D6" s="2039"/>
      <c r="E6" s="379"/>
      <c r="F6" s="380"/>
      <c r="G6" s="380"/>
      <c r="H6" s="379"/>
      <c r="I6" s="381"/>
      <c r="J6" s="381"/>
    </row>
    <row r="7" spans="1:10" ht="28.5" customHeight="1" thickBot="1">
      <c r="A7" s="1169" t="s">
        <v>1495</v>
      </c>
      <c r="B7" s="1169"/>
      <c r="C7" s="1169"/>
      <c r="D7" s="1169"/>
      <c r="E7" s="1169"/>
      <c r="F7" s="1169"/>
      <c r="G7" s="1169"/>
      <c r="H7" s="1169"/>
      <c r="I7" s="1169"/>
      <c r="J7" s="1169"/>
    </row>
    <row r="8" spans="1:10" ht="19.5" customHeight="1">
      <c r="A8" s="997" t="s">
        <v>2055</v>
      </c>
      <c r="B8" s="2040" t="s">
        <v>94</v>
      </c>
      <c r="C8" s="2041"/>
      <c r="D8" s="2041"/>
      <c r="E8" s="2041"/>
      <c r="F8" s="2041"/>
      <c r="G8" s="2041"/>
      <c r="H8" s="2042"/>
      <c r="I8" s="998" t="s">
        <v>95</v>
      </c>
      <c r="J8" s="999" t="s">
        <v>96</v>
      </c>
    </row>
    <row r="9" spans="1:10" ht="15.75" customHeight="1">
      <c r="A9" s="1000" t="s">
        <v>2041</v>
      </c>
      <c r="B9" s="2028" t="s">
        <v>2058</v>
      </c>
      <c r="C9" s="2028"/>
      <c r="D9" s="2028"/>
      <c r="E9" s="2028"/>
      <c r="F9" s="2028"/>
      <c r="G9" s="2028"/>
      <c r="H9" s="2029"/>
      <c r="I9" s="996"/>
      <c r="J9" s="1001"/>
    </row>
    <row r="10" spans="1:10" ht="13.5" customHeight="1">
      <c r="A10" s="1000" t="s">
        <v>2042</v>
      </c>
      <c r="B10" s="2028" t="s">
        <v>2059</v>
      </c>
      <c r="C10" s="2028"/>
      <c r="D10" s="2028"/>
      <c r="E10" s="2028"/>
      <c r="F10" s="2028"/>
      <c r="G10" s="2028"/>
      <c r="H10" s="2029"/>
      <c r="I10" s="996"/>
      <c r="J10" s="1001"/>
    </row>
    <row r="11" spans="1:10" ht="15.75" customHeight="1">
      <c r="A11" s="1000" t="s">
        <v>2043</v>
      </c>
      <c r="B11" s="2029" t="s">
        <v>2060</v>
      </c>
      <c r="C11" s="2030"/>
      <c r="D11" s="2030"/>
      <c r="E11" s="2030"/>
      <c r="F11" s="2030"/>
      <c r="G11" s="2030"/>
      <c r="H11" s="2030"/>
      <c r="I11" s="996"/>
      <c r="J11" s="1001"/>
    </row>
    <row r="12" spans="1:10" ht="15.75" customHeight="1">
      <c r="A12" s="1000" t="s">
        <v>2044</v>
      </c>
      <c r="B12" s="2029" t="s">
        <v>2027</v>
      </c>
      <c r="C12" s="2030"/>
      <c r="D12" s="2030"/>
      <c r="E12" s="2030"/>
      <c r="F12" s="2030"/>
      <c r="G12" s="2030"/>
      <c r="H12" s="2030"/>
      <c r="I12" s="996"/>
      <c r="J12" s="1001"/>
    </row>
    <row r="13" spans="1:10" s="4" customFormat="1" ht="14.25" customHeight="1">
      <c r="A13" s="1000" t="s">
        <v>2045</v>
      </c>
      <c r="B13" s="2028" t="s">
        <v>1496</v>
      </c>
      <c r="C13" s="2028"/>
      <c r="D13" s="2028"/>
      <c r="E13" s="2028"/>
      <c r="F13" s="2028"/>
      <c r="G13" s="2028"/>
      <c r="H13" s="2028"/>
      <c r="I13" s="995"/>
      <c r="J13" s="1002"/>
    </row>
    <row r="14" spans="1:10" s="4" customFormat="1" ht="14.25" customHeight="1">
      <c r="A14" s="1000" t="s">
        <v>2046</v>
      </c>
      <c r="B14" s="2028" t="s">
        <v>1066</v>
      </c>
      <c r="C14" s="2028"/>
      <c r="D14" s="2028"/>
      <c r="E14" s="2028"/>
      <c r="F14" s="2028"/>
      <c r="G14" s="2028"/>
      <c r="H14" s="2028"/>
      <c r="I14" s="235"/>
      <c r="J14" s="1002"/>
    </row>
    <row r="15" spans="1:10" s="4" customFormat="1" ht="14.25" customHeight="1">
      <c r="A15" s="1000" t="s">
        <v>2047</v>
      </c>
      <c r="B15" s="2028" t="s">
        <v>1074</v>
      </c>
      <c r="C15" s="2028"/>
      <c r="D15" s="2028"/>
      <c r="E15" s="2028"/>
      <c r="F15" s="2028"/>
      <c r="G15" s="2028"/>
      <c r="H15" s="2028"/>
      <c r="I15" s="235"/>
      <c r="J15" s="1002"/>
    </row>
    <row r="16" spans="1:10" s="4" customFormat="1" ht="14.25" customHeight="1">
      <c r="A16" s="1000" t="s">
        <v>2048</v>
      </c>
      <c r="B16" s="2028" t="s">
        <v>2038</v>
      </c>
      <c r="C16" s="2028"/>
      <c r="D16" s="2028"/>
      <c r="E16" s="2028"/>
      <c r="F16" s="2028"/>
      <c r="G16" s="2028"/>
      <c r="H16" s="2028"/>
      <c r="I16" s="235"/>
      <c r="J16" s="1002"/>
    </row>
    <row r="17" spans="1:10" s="4" customFormat="1" ht="14.25" customHeight="1">
      <c r="A17" s="1000" t="s">
        <v>2049</v>
      </c>
      <c r="B17" s="2028" t="s">
        <v>1092</v>
      </c>
      <c r="C17" s="2028"/>
      <c r="D17" s="2028"/>
      <c r="E17" s="2028"/>
      <c r="F17" s="2028"/>
      <c r="G17" s="2028"/>
      <c r="H17" s="2028"/>
      <c r="I17" s="235"/>
      <c r="J17" s="1002"/>
    </row>
    <row r="18" spans="1:10" s="4" customFormat="1" ht="14.25" customHeight="1">
      <c r="A18" s="1000" t="s">
        <v>2050</v>
      </c>
      <c r="B18" s="2029" t="s">
        <v>2037</v>
      </c>
      <c r="C18" s="2030"/>
      <c r="D18" s="2030"/>
      <c r="E18" s="2030"/>
      <c r="F18" s="2030"/>
      <c r="G18" s="2030"/>
      <c r="H18" s="2031"/>
      <c r="I18" s="235"/>
      <c r="J18" s="1002"/>
    </row>
    <row r="19" spans="1:10" s="4" customFormat="1" ht="9.75" customHeight="1">
      <c r="A19" s="1000" t="s">
        <v>2051</v>
      </c>
      <c r="B19" s="2029" t="s">
        <v>1497</v>
      </c>
      <c r="C19" s="2030"/>
      <c r="D19" s="2030"/>
      <c r="E19" s="2030"/>
      <c r="F19" s="2030"/>
      <c r="G19" s="2030"/>
      <c r="H19" s="2031"/>
      <c r="I19" s="235"/>
      <c r="J19" s="1002"/>
    </row>
    <row r="20" spans="1:10" s="4" customFormat="1" ht="16.5" customHeight="1">
      <c r="A20" s="1000" t="s">
        <v>2052</v>
      </c>
      <c r="B20" s="2032" t="s">
        <v>2087</v>
      </c>
      <c r="C20" s="2033"/>
      <c r="D20" s="2033"/>
      <c r="E20" s="2033"/>
      <c r="F20" s="2033"/>
      <c r="G20" s="2033"/>
      <c r="H20" s="2034"/>
      <c r="I20" s="235"/>
      <c r="J20" s="1002"/>
    </row>
    <row r="21" spans="1:10" s="4" customFormat="1" ht="25.4" customHeight="1">
      <c r="A21" s="1000" t="s">
        <v>2053</v>
      </c>
      <c r="B21" s="2032" t="s">
        <v>2086</v>
      </c>
      <c r="C21" s="2033"/>
      <c r="D21" s="2033"/>
      <c r="E21" s="2033"/>
      <c r="F21" s="2033"/>
      <c r="G21" s="2033"/>
      <c r="H21" s="2034"/>
      <c r="I21" s="235"/>
      <c r="J21" s="1002"/>
    </row>
    <row r="22" spans="1:10" s="4" customFormat="1" ht="25.4" customHeight="1">
      <c r="A22" s="1000" t="s">
        <v>2054</v>
      </c>
      <c r="B22" s="2021" t="s">
        <v>2039</v>
      </c>
      <c r="C22" s="2022"/>
      <c r="D22" s="2022"/>
      <c r="E22" s="2022"/>
      <c r="F22" s="2022"/>
      <c r="G22" s="2022"/>
      <c r="H22" s="2023"/>
      <c r="I22" s="235"/>
      <c r="J22" s="1002"/>
    </row>
    <row r="23" spans="1:10" s="4" customFormat="1" ht="25.4" customHeight="1">
      <c r="A23" s="1000" t="s">
        <v>2056</v>
      </c>
      <c r="B23" s="2021" t="s">
        <v>2040</v>
      </c>
      <c r="C23" s="2022"/>
      <c r="D23" s="2022"/>
      <c r="E23" s="2022"/>
      <c r="F23" s="2022"/>
      <c r="G23" s="2022"/>
      <c r="H23" s="2023"/>
      <c r="I23" s="235"/>
      <c r="J23" s="1002"/>
    </row>
    <row r="24" spans="1:10" s="4" customFormat="1" ht="25.4" customHeight="1">
      <c r="A24" s="1000" t="s">
        <v>2063</v>
      </c>
      <c r="B24" s="2021" t="s">
        <v>2057</v>
      </c>
      <c r="C24" s="2022"/>
      <c r="D24" s="2022"/>
      <c r="E24" s="2022"/>
      <c r="F24" s="2022"/>
      <c r="G24" s="2022"/>
      <c r="H24" s="2023"/>
      <c r="I24" s="235"/>
      <c r="J24" s="1002"/>
    </row>
    <row r="25" spans="1:10" s="4" customFormat="1" ht="14.25" customHeight="1">
      <c r="A25" s="1000" t="s">
        <v>2085</v>
      </c>
      <c r="B25" s="2021" t="s">
        <v>2096</v>
      </c>
      <c r="C25" s="2022"/>
      <c r="D25" s="2022"/>
      <c r="E25" s="2022"/>
      <c r="F25" s="2022"/>
      <c r="G25" s="2022"/>
      <c r="H25" s="2023"/>
      <c r="I25" s="235"/>
      <c r="J25" s="1002"/>
    </row>
    <row r="26" spans="1:10" s="4" customFormat="1" ht="15" customHeight="1">
      <c r="A26" s="1000" t="s">
        <v>2095</v>
      </c>
      <c r="B26" s="2021" t="s">
        <v>2097</v>
      </c>
      <c r="C26" s="2022"/>
      <c r="D26" s="2022"/>
      <c r="E26" s="2022"/>
      <c r="F26" s="2022"/>
      <c r="G26" s="2022"/>
      <c r="H26" s="2023"/>
      <c r="I26" s="235"/>
      <c r="J26" s="1002"/>
    </row>
    <row r="27" spans="1:10" s="4" customFormat="1" ht="16.5" customHeight="1">
      <c r="A27" s="1000" t="s">
        <v>2119</v>
      </c>
      <c r="B27" s="2027" t="s">
        <v>2113</v>
      </c>
      <c r="C27" s="2027"/>
      <c r="D27" s="2027"/>
      <c r="E27" s="2027"/>
      <c r="F27" s="2027"/>
      <c r="G27" s="2027"/>
      <c r="H27" s="2027"/>
      <c r="I27" s="235"/>
      <c r="J27" s="1002"/>
    </row>
    <row r="28" spans="1:10" s="4" customFormat="1" ht="14.25" customHeight="1">
      <c r="A28" s="1000" t="s">
        <v>2121</v>
      </c>
      <c r="B28" s="2027" t="s">
        <v>2120</v>
      </c>
      <c r="C28" s="2027"/>
      <c r="D28" s="2027"/>
      <c r="E28" s="2027"/>
      <c r="F28" s="2027"/>
      <c r="G28" s="2027"/>
      <c r="H28" s="2027"/>
      <c r="I28" s="235"/>
      <c r="J28" s="1002"/>
    </row>
    <row r="29" spans="1:10" s="4" customFormat="1" ht="14.25" customHeight="1">
      <c r="A29" s="2017" t="s">
        <v>2122</v>
      </c>
      <c r="B29" s="771" t="s">
        <v>2116</v>
      </c>
      <c r="C29" s="769"/>
      <c r="D29" s="769"/>
      <c r="E29" s="769"/>
      <c r="F29" s="769"/>
      <c r="G29" s="769"/>
      <c r="H29" s="770"/>
      <c r="I29" s="235"/>
      <c r="J29" s="1002"/>
    </row>
    <row r="30" spans="1:10" s="5" customFormat="1" ht="14.25" customHeight="1">
      <c r="A30" s="2018"/>
      <c r="B30" s="771" t="s">
        <v>2117</v>
      </c>
      <c r="C30" s="769"/>
      <c r="D30" s="769"/>
      <c r="E30" s="769"/>
      <c r="F30" s="769"/>
      <c r="G30" s="769"/>
      <c r="H30" s="770"/>
      <c r="I30" s="236"/>
      <c r="J30" s="1003"/>
    </row>
    <row r="31" spans="1:10" s="4" customFormat="1" ht="14.25" customHeight="1" thickBot="1">
      <c r="A31" s="2019"/>
      <c r="B31" s="2024" t="s">
        <v>2118</v>
      </c>
      <c r="C31" s="2025"/>
      <c r="D31" s="2025"/>
      <c r="E31" s="2025"/>
      <c r="F31" s="2025"/>
      <c r="G31" s="2025"/>
      <c r="H31" s="2026"/>
      <c r="I31" s="1004"/>
      <c r="J31" s="1005"/>
    </row>
    <row r="32" spans="1:10" ht="5.5" customHeight="1"/>
    <row r="33" spans="1:10" ht="3.75" customHeight="1"/>
    <row r="34" spans="1:10" s="6" customFormat="1" ht="10.5" customHeight="1">
      <c r="A34" s="2020" t="s">
        <v>181</v>
      </c>
      <c r="B34" s="2020"/>
      <c r="C34" s="2020"/>
      <c r="D34" s="2020"/>
      <c r="E34" s="2020"/>
      <c r="F34" s="2020"/>
      <c r="G34" s="2020"/>
      <c r="H34" s="2020"/>
      <c r="I34" s="2020"/>
      <c r="J34" s="2020"/>
    </row>
    <row r="35" spans="1:10" ht="9.75" customHeight="1">
      <c r="A35" s="657" t="s">
        <v>2030</v>
      </c>
      <c r="B35" s="6"/>
      <c r="C35" s="6"/>
      <c r="D35" s="6"/>
      <c r="E35" s="6"/>
      <c r="F35" s="6"/>
      <c r="G35" s="6"/>
      <c r="H35" s="6"/>
      <c r="I35" s="6"/>
      <c r="J35" s="6"/>
    </row>
    <row r="36" spans="1:10">
      <c r="A36" s="2020" t="s">
        <v>2029</v>
      </c>
      <c r="B36" s="2020"/>
      <c r="C36" s="2020"/>
      <c r="D36" s="2020"/>
      <c r="E36" s="2020"/>
      <c r="F36" s="2020"/>
      <c r="G36" s="2020"/>
      <c r="H36" s="2020"/>
      <c r="I36" s="2020"/>
      <c r="J36" s="2020"/>
    </row>
    <row r="37" spans="1:10">
      <c r="A37" s="42" t="s">
        <v>1498</v>
      </c>
      <c r="B37" s="6"/>
    </row>
  </sheetData>
  <mergeCells count="35">
    <mergeCell ref="B12:H12"/>
    <mergeCell ref="A1:J1"/>
    <mergeCell ref="I2:J2"/>
    <mergeCell ref="C3:J3"/>
    <mergeCell ref="B4:G4"/>
    <mergeCell ref="I4:J4"/>
    <mergeCell ref="C5:D5"/>
    <mergeCell ref="F5:G5"/>
    <mergeCell ref="I5:J5"/>
    <mergeCell ref="C6:D6"/>
    <mergeCell ref="A7:J7"/>
    <mergeCell ref="B8:H8"/>
    <mergeCell ref="B9:H9"/>
    <mergeCell ref="B11:H11"/>
    <mergeCell ref="B10:H10"/>
    <mergeCell ref="B18:H18"/>
    <mergeCell ref="B19:H19"/>
    <mergeCell ref="B28:H28"/>
    <mergeCell ref="B21:H21"/>
    <mergeCell ref="B20:H20"/>
    <mergeCell ref="B13:H13"/>
    <mergeCell ref="B14:H14"/>
    <mergeCell ref="B15:H15"/>
    <mergeCell ref="B16:H16"/>
    <mergeCell ref="B17:H17"/>
    <mergeCell ref="A29:A31"/>
    <mergeCell ref="A36:J36"/>
    <mergeCell ref="B22:H22"/>
    <mergeCell ref="B23:H23"/>
    <mergeCell ref="B31:H31"/>
    <mergeCell ref="A34:J34"/>
    <mergeCell ref="B24:H24"/>
    <mergeCell ref="B25:H25"/>
    <mergeCell ref="B26:H26"/>
    <mergeCell ref="B27:H27"/>
  </mergeCells>
  <printOptions horizontalCentered="1"/>
  <pageMargins left="0.51181102362204722" right="0.51181102362204722" top="0.35433070866141736" bottom="0.35433070866141736" header="0.31496062992125984" footer="0.31496062992125984"/>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275"/>
  <sheetViews>
    <sheetView showGridLines="0" topLeftCell="A2" zoomScale="140" zoomScaleNormal="140" workbookViewId="0">
      <selection activeCell="K216" sqref="K216"/>
    </sheetView>
  </sheetViews>
  <sheetFormatPr baseColWidth="10" defaultRowHeight="14.5"/>
  <cols>
    <col min="1" max="1" width="8.81640625" customWidth="1"/>
    <col min="2" max="2" width="16.453125" customWidth="1"/>
    <col min="3" max="6" width="10" customWidth="1"/>
    <col min="7" max="10" width="11.81640625" customWidth="1"/>
  </cols>
  <sheetData>
    <row r="1" spans="1:10">
      <c r="A1" s="2058" t="s">
        <v>1214</v>
      </c>
      <c r="B1" s="2059"/>
      <c r="C1" s="457"/>
      <c r="D1" s="1134" t="s">
        <v>21</v>
      </c>
      <c r="E1" s="1134"/>
      <c r="F1" s="1134"/>
      <c r="G1" s="2054"/>
      <c r="H1" s="2055" t="s">
        <v>2066</v>
      </c>
      <c r="I1" s="2056"/>
      <c r="J1" s="2057"/>
    </row>
    <row r="2" spans="1:10">
      <c r="A2" s="2" t="s">
        <v>26</v>
      </c>
      <c r="B2" s="385"/>
      <c r="C2" s="2044">
        <f>'Liste ETATS SUPPL DGI'!C3</f>
        <v>0</v>
      </c>
      <c r="D2" s="2044"/>
      <c r="E2" s="2044"/>
      <c r="F2" s="2044"/>
      <c r="G2" s="2044"/>
      <c r="H2" s="2044"/>
      <c r="I2" s="2044"/>
      <c r="J2" s="2044"/>
    </row>
    <row r="3" spans="1:10">
      <c r="A3" s="2" t="s">
        <v>27</v>
      </c>
      <c r="B3" s="2044">
        <f>'Liste ETATS SUPPL DGI'!B4</f>
        <v>0</v>
      </c>
      <c r="C3" s="2044"/>
      <c r="D3" s="2044"/>
      <c r="E3" s="2044"/>
      <c r="F3" s="2044"/>
      <c r="G3" s="2044"/>
      <c r="H3" s="2044"/>
      <c r="I3" s="114" t="s">
        <v>28</v>
      </c>
      <c r="J3" s="458">
        <f>'Liste ETATS SUPPL DGI'!I4</f>
        <v>0</v>
      </c>
    </row>
    <row r="4" spans="1:10">
      <c r="A4" s="7" t="s">
        <v>2021</v>
      </c>
      <c r="B4" s="7"/>
      <c r="C4" s="2044">
        <f>'Liste ETATS SUPPL DGI'!C5</f>
        <v>0</v>
      </c>
      <c r="D4" s="2044"/>
      <c r="E4" s="459"/>
      <c r="F4" s="459"/>
      <c r="G4" s="114" t="s">
        <v>30</v>
      </c>
      <c r="H4" s="460">
        <f>'Liste ETATS SUPPL DGI'!F5</f>
        <v>0</v>
      </c>
      <c r="I4" s="114" t="s">
        <v>31</v>
      </c>
      <c r="J4" s="458">
        <f>'Liste ETATS SUPPL DGI'!I5</f>
        <v>0</v>
      </c>
    </row>
    <row r="5" spans="1:10">
      <c r="A5" s="268" t="s">
        <v>2024</v>
      </c>
      <c r="B5" s="7"/>
      <c r="C5" s="2044">
        <f>'Liste ETATS SUPPL DGI'!C6</f>
        <v>0</v>
      </c>
      <c r="D5" s="2044"/>
      <c r="E5" s="2044"/>
      <c r="F5" s="2044"/>
      <c r="G5" s="461"/>
      <c r="H5" s="458"/>
      <c r="I5" s="459"/>
      <c r="J5" s="459"/>
    </row>
    <row r="6" spans="1:10" ht="5.25" customHeight="1">
      <c r="A6" s="7"/>
      <c r="B6" s="7"/>
      <c r="C6" s="244"/>
      <c r="D6" s="244"/>
      <c r="E6" s="61"/>
      <c r="F6" s="245"/>
      <c r="G6" s="61"/>
      <c r="H6" s="244"/>
      <c r="I6" s="48"/>
      <c r="J6" s="48"/>
    </row>
    <row r="7" spans="1:10">
      <c r="A7" s="2045" t="s">
        <v>2062</v>
      </c>
      <c r="B7" s="2046"/>
      <c r="C7" s="2046"/>
      <c r="D7" s="2046"/>
      <c r="E7" s="2046"/>
      <c r="F7" s="2046"/>
      <c r="G7" s="2046"/>
      <c r="H7" s="2046"/>
      <c r="I7" s="2046"/>
      <c r="J7" s="2047"/>
    </row>
    <row r="8" spans="1:10" ht="5.25" customHeight="1">
      <c r="A8" s="48"/>
      <c r="B8" s="48"/>
      <c r="C8" s="48"/>
      <c r="D8" s="48"/>
      <c r="E8" s="48"/>
      <c r="F8" s="48"/>
      <c r="G8" s="48"/>
      <c r="H8" s="48"/>
      <c r="I8" s="48"/>
      <c r="J8" s="48"/>
    </row>
    <row r="9" spans="1:10">
      <c r="A9" s="2048" t="s">
        <v>1166</v>
      </c>
      <c r="B9" s="2049"/>
      <c r="C9" s="2049"/>
      <c r="D9" s="2049"/>
      <c r="E9" s="2049"/>
      <c r="F9" s="2049"/>
      <c r="G9" s="2062" t="s">
        <v>591</v>
      </c>
      <c r="H9" s="2049" t="s">
        <v>1165</v>
      </c>
      <c r="I9" s="2048" t="s">
        <v>1629</v>
      </c>
      <c r="J9" s="2050"/>
    </row>
    <row r="10" spans="1:10">
      <c r="A10" s="2060"/>
      <c r="B10" s="2061"/>
      <c r="C10" s="2061"/>
      <c r="D10" s="2061"/>
      <c r="E10" s="2061"/>
      <c r="F10" s="2061"/>
      <c r="G10" s="2063"/>
      <c r="H10" s="2052"/>
      <c r="I10" s="462" t="s">
        <v>1630</v>
      </c>
      <c r="J10" s="463" t="s">
        <v>1631</v>
      </c>
    </row>
    <row r="11" spans="1:10" ht="13.4" customHeight="1">
      <c r="A11" s="464">
        <v>6011</v>
      </c>
      <c r="B11" s="465" t="s">
        <v>1167</v>
      </c>
      <c r="C11" s="466"/>
      <c r="D11" s="466"/>
      <c r="E11" s="466"/>
      <c r="F11" s="467"/>
      <c r="G11" s="468"/>
      <c r="H11" s="469"/>
      <c r="I11" s="470">
        <f t="shared" ref="I11:I24" si="0">G11-H11</f>
        <v>0</v>
      </c>
      <c r="J11" s="471" t="str">
        <f>IF(H11,(G11-H11)/H11,IF(ISBLANK(H11),"",IF(G11,IF( G11 &gt; 0,1,-1),"")))</f>
        <v/>
      </c>
    </row>
    <row r="12" spans="1:10" ht="13.4" customHeight="1">
      <c r="A12" s="472">
        <v>6012</v>
      </c>
      <c r="B12" s="473" t="s">
        <v>1168</v>
      </c>
      <c r="C12" s="2"/>
      <c r="D12" s="2"/>
      <c r="E12" s="2"/>
      <c r="F12" s="474"/>
      <c r="G12" s="475"/>
      <c r="H12" s="475"/>
      <c r="I12" s="476">
        <f t="shared" si="0"/>
        <v>0</v>
      </c>
      <c r="J12" s="477" t="str">
        <f t="shared" ref="J12:J73" si="1">IF(H12,(G12-H12)/H12,IF(ISBLANK(H12),"",IF(G12,IF( G12 &gt; 0,1,-1),"")))</f>
        <v/>
      </c>
    </row>
    <row r="13" spans="1:10" ht="13.4" customHeight="1">
      <c r="A13" s="472">
        <v>6013</v>
      </c>
      <c r="B13" s="473" t="s">
        <v>1169</v>
      </c>
      <c r="C13" s="2"/>
      <c r="D13" s="2"/>
      <c r="E13" s="2"/>
      <c r="F13" s="474"/>
      <c r="G13" s="475"/>
      <c r="H13" s="475"/>
      <c r="I13" s="476">
        <f t="shared" si="0"/>
        <v>0</v>
      </c>
      <c r="J13" s="477" t="str">
        <f t="shared" si="1"/>
        <v/>
      </c>
    </row>
    <row r="14" spans="1:10" ht="13.4" customHeight="1">
      <c r="A14" s="472">
        <v>6014</v>
      </c>
      <c r="B14" s="473" t="s">
        <v>1170</v>
      </c>
      <c r="C14" s="2"/>
      <c r="D14" s="2"/>
      <c r="E14" s="2"/>
      <c r="F14" s="474"/>
      <c r="G14" s="475"/>
      <c r="H14" s="475"/>
      <c r="I14" s="476">
        <f t="shared" si="0"/>
        <v>0</v>
      </c>
      <c r="J14" s="477" t="str">
        <f t="shared" si="1"/>
        <v/>
      </c>
    </row>
    <row r="15" spans="1:10" ht="13.4" customHeight="1">
      <c r="A15" s="472">
        <v>6015</v>
      </c>
      <c r="B15" s="473" t="s">
        <v>802</v>
      </c>
      <c r="C15" s="2"/>
      <c r="D15" s="2"/>
      <c r="E15" s="2"/>
      <c r="F15" s="474"/>
      <c r="G15" s="475"/>
      <c r="H15" s="475"/>
      <c r="I15" s="476">
        <f t="shared" si="0"/>
        <v>0</v>
      </c>
      <c r="J15" s="477" t="str">
        <f t="shared" si="1"/>
        <v/>
      </c>
    </row>
    <row r="16" spans="1:10" ht="13.4" customHeight="1" thickBot="1">
      <c r="A16" s="472">
        <v>6019</v>
      </c>
      <c r="B16" s="473" t="s">
        <v>1171</v>
      </c>
      <c r="C16" s="2"/>
      <c r="D16" s="2"/>
      <c r="E16" s="2"/>
      <c r="F16" s="474"/>
      <c r="G16" s="469"/>
      <c r="H16" s="469"/>
      <c r="I16" s="470">
        <f t="shared" si="0"/>
        <v>0</v>
      </c>
      <c r="J16" s="471" t="str">
        <f t="shared" si="1"/>
        <v/>
      </c>
    </row>
    <row r="17" spans="1:10" ht="13.4" customHeight="1" thickTop="1" thickBot="1">
      <c r="A17" s="478" t="s">
        <v>317</v>
      </c>
      <c r="B17" s="479"/>
      <c r="C17" s="388" t="s">
        <v>318</v>
      </c>
      <c r="D17" s="2"/>
      <c r="E17" s="2"/>
      <c r="F17" s="474"/>
      <c r="G17" s="480">
        <f>SUM(G11:G16)</f>
        <v>0</v>
      </c>
      <c r="H17" s="480">
        <f>SUM(H11:H16)</f>
        <v>0</v>
      </c>
      <c r="I17" s="480">
        <f t="shared" si="0"/>
        <v>0</v>
      </c>
      <c r="J17" s="520" t="str">
        <f t="shared" si="1"/>
        <v/>
      </c>
    </row>
    <row r="18" spans="1:10" ht="13.4" customHeight="1" thickTop="1" thickBot="1">
      <c r="A18" s="472">
        <v>6031</v>
      </c>
      <c r="B18" s="473" t="s">
        <v>1172</v>
      </c>
      <c r="C18" s="2"/>
      <c r="D18" s="2"/>
      <c r="E18" s="2"/>
      <c r="F18" s="474"/>
      <c r="G18" s="481"/>
      <c r="H18" s="481"/>
      <c r="I18" s="482">
        <f t="shared" si="0"/>
        <v>0</v>
      </c>
      <c r="J18" s="520" t="str">
        <f t="shared" si="1"/>
        <v/>
      </c>
    </row>
    <row r="19" spans="1:10" ht="13.4" customHeight="1" thickTop="1" thickBot="1">
      <c r="A19" s="478" t="s">
        <v>320</v>
      </c>
      <c r="B19" s="479"/>
      <c r="C19" s="388" t="s">
        <v>1211</v>
      </c>
      <c r="D19" s="2"/>
      <c r="E19" s="2"/>
      <c r="F19" s="474"/>
      <c r="G19" s="480">
        <f>G18</f>
        <v>0</v>
      </c>
      <c r="H19" s="480">
        <f>H18</f>
        <v>0</v>
      </c>
      <c r="I19" s="480">
        <f t="shared" si="0"/>
        <v>0</v>
      </c>
      <c r="J19" s="520" t="str">
        <f t="shared" si="1"/>
        <v/>
      </c>
    </row>
    <row r="20" spans="1:10" ht="13.4" customHeight="1" thickTop="1">
      <c r="A20" s="472">
        <v>6021</v>
      </c>
      <c r="B20" s="473" t="s">
        <v>1173</v>
      </c>
      <c r="C20" s="2"/>
      <c r="D20" s="2"/>
      <c r="E20" s="2"/>
      <c r="F20" s="474"/>
      <c r="G20" s="469"/>
      <c r="H20" s="469"/>
      <c r="I20" s="470">
        <f t="shared" si="0"/>
        <v>0</v>
      </c>
      <c r="J20" s="471" t="str">
        <f t="shared" si="1"/>
        <v/>
      </c>
    </row>
    <row r="21" spans="1:10" ht="13.4" customHeight="1">
      <c r="A21" s="472">
        <v>6022</v>
      </c>
      <c r="B21" s="473" t="s">
        <v>1174</v>
      </c>
      <c r="C21" s="2"/>
      <c r="D21" s="2"/>
      <c r="E21" s="2"/>
      <c r="F21" s="474"/>
      <c r="G21" s="475"/>
      <c r="H21" s="475"/>
      <c r="I21" s="476">
        <f t="shared" si="0"/>
        <v>0</v>
      </c>
      <c r="J21" s="477" t="str">
        <f t="shared" si="1"/>
        <v/>
      </c>
    </row>
    <row r="22" spans="1:10" ht="13.4" customHeight="1">
      <c r="A22" s="472">
        <v>6023</v>
      </c>
      <c r="B22" s="473" t="s">
        <v>1175</v>
      </c>
      <c r="C22" s="2"/>
      <c r="D22" s="2"/>
      <c r="E22" s="2"/>
      <c r="F22" s="474"/>
      <c r="G22" s="475"/>
      <c r="H22" s="475"/>
      <c r="I22" s="476">
        <f t="shared" si="0"/>
        <v>0</v>
      </c>
      <c r="J22" s="477" t="str">
        <f t="shared" si="1"/>
        <v/>
      </c>
    </row>
    <row r="23" spans="1:10" ht="13.4" customHeight="1">
      <c r="A23" s="472">
        <v>6024</v>
      </c>
      <c r="B23" s="473" t="s">
        <v>1176</v>
      </c>
      <c r="C23" s="2"/>
      <c r="D23" s="2"/>
      <c r="E23" s="2"/>
      <c r="F23" s="474"/>
      <c r="G23" s="475"/>
      <c r="H23" s="475"/>
      <c r="I23" s="476">
        <f t="shared" si="0"/>
        <v>0</v>
      </c>
      <c r="J23" s="477" t="str">
        <f t="shared" si="1"/>
        <v/>
      </c>
    </row>
    <row r="24" spans="1:10" ht="13.4" customHeight="1">
      <c r="A24" s="472">
        <v>6025</v>
      </c>
      <c r="B24" s="473" t="s">
        <v>802</v>
      </c>
      <c r="C24" s="2"/>
      <c r="D24" s="2"/>
      <c r="E24" s="2"/>
      <c r="F24" s="474"/>
      <c r="G24" s="475"/>
      <c r="H24" s="475"/>
      <c r="I24" s="476">
        <f t="shared" si="0"/>
        <v>0</v>
      </c>
      <c r="J24" s="477" t="str">
        <f t="shared" si="1"/>
        <v/>
      </c>
    </row>
    <row r="25" spans="1:10" ht="13.4" customHeight="1" thickBot="1">
      <c r="A25" s="472">
        <v>6029</v>
      </c>
      <c r="B25" s="473" t="s">
        <v>1171</v>
      </c>
      <c r="C25" s="2"/>
      <c r="D25" s="2"/>
      <c r="E25" s="2"/>
      <c r="F25" s="474"/>
      <c r="G25" s="469"/>
      <c r="H25" s="469"/>
      <c r="I25" s="470">
        <f>G25-H25</f>
        <v>0</v>
      </c>
      <c r="J25" s="471" t="str">
        <f t="shared" si="1"/>
        <v/>
      </c>
    </row>
    <row r="26" spans="1:10" ht="13.4" customHeight="1" thickTop="1" thickBot="1">
      <c r="A26" s="478" t="s">
        <v>346</v>
      </c>
      <c r="B26" s="479"/>
      <c r="C26" s="388" t="s">
        <v>347</v>
      </c>
      <c r="D26" s="2"/>
      <c r="E26" s="2"/>
      <c r="F26" s="474"/>
      <c r="G26" s="480">
        <f>SUM(G20:G25)</f>
        <v>0</v>
      </c>
      <c r="H26" s="480">
        <f>SUM(H20:H25)</f>
        <v>0</v>
      </c>
      <c r="I26" s="480">
        <f>G26-H26</f>
        <v>0</v>
      </c>
      <c r="J26" s="520" t="str">
        <f t="shared" si="1"/>
        <v/>
      </c>
    </row>
    <row r="27" spans="1:10" ht="13.4" customHeight="1" thickTop="1" thickBot="1">
      <c r="A27" s="472">
        <v>6032</v>
      </c>
      <c r="B27" s="473" t="s">
        <v>1177</v>
      </c>
      <c r="C27" s="2"/>
      <c r="D27" s="2"/>
      <c r="E27" s="2"/>
      <c r="F27" s="474"/>
      <c r="G27" s="481"/>
      <c r="H27" s="481"/>
      <c r="I27" s="482">
        <f>G27-H27</f>
        <v>0</v>
      </c>
      <c r="J27" s="520" t="str">
        <f t="shared" si="1"/>
        <v/>
      </c>
    </row>
    <row r="28" spans="1:10" ht="13.4" customHeight="1" thickTop="1" thickBot="1">
      <c r="A28" s="478" t="s">
        <v>348</v>
      </c>
      <c r="B28" s="479"/>
      <c r="C28" s="388" t="s">
        <v>1212</v>
      </c>
      <c r="D28" s="2"/>
      <c r="E28" s="2"/>
      <c r="F28" s="474"/>
      <c r="G28" s="480">
        <f>G27</f>
        <v>0</v>
      </c>
      <c r="H28" s="480">
        <f>H27</f>
        <v>0</v>
      </c>
      <c r="I28" s="480">
        <f>G28-H28</f>
        <v>0</v>
      </c>
      <c r="J28" s="520" t="str">
        <f t="shared" si="1"/>
        <v/>
      </c>
    </row>
    <row r="29" spans="1:10" ht="13.4" customHeight="1" thickTop="1">
      <c r="A29" s="472">
        <v>6041</v>
      </c>
      <c r="B29" s="473" t="s">
        <v>790</v>
      </c>
      <c r="C29" s="2"/>
      <c r="D29" s="2"/>
      <c r="E29" s="2"/>
      <c r="F29" s="474"/>
      <c r="G29" s="469"/>
      <c r="H29" s="469"/>
      <c r="I29" s="470">
        <f t="shared" ref="I29:I73" si="2">G29-H29</f>
        <v>0</v>
      </c>
      <c r="J29" s="471" t="str">
        <f t="shared" si="1"/>
        <v/>
      </c>
    </row>
    <row r="30" spans="1:10" ht="13.4" customHeight="1">
      <c r="A30" s="472">
        <v>6042</v>
      </c>
      <c r="B30" s="473" t="s">
        <v>791</v>
      </c>
      <c r="C30" s="2"/>
      <c r="D30" s="2"/>
      <c r="E30" s="2"/>
      <c r="F30" s="474"/>
      <c r="G30" s="475"/>
      <c r="H30" s="475"/>
      <c r="I30" s="476">
        <f t="shared" si="2"/>
        <v>0</v>
      </c>
      <c r="J30" s="477" t="str">
        <f t="shared" si="1"/>
        <v/>
      </c>
    </row>
    <row r="31" spans="1:10" ht="13.4" customHeight="1">
      <c r="A31" s="472">
        <v>6043</v>
      </c>
      <c r="B31" s="473" t="s">
        <v>792</v>
      </c>
      <c r="C31" s="2"/>
      <c r="D31" s="2"/>
      <c r="E31" s="2"/>
      <c r="F31" s="474"/>
      <c r="G31" s="475"/>
      <c r="H31" s="475"/>
      <c r="I31" s="476">
        <f t="shared" si="2"/>
        <v>0</v>
      </c>
      <c r="J31" s="477" t="str">
        <f t="shared" si="1"/>
        <v/>
      </c>
    </row>
    <row r="32" spans="1:10" ht="13.4" customHeight="1">
      <c r="A32" s="472">
        <v>6044</v>
      </c>
      <c r="B32" s="473" t="s">
        <v>1178</v>
      </c>
      <c r="C32" s="2"/>
      <c r="D32" s="2"/>
      <c r="E32" s="2"/>
      <c r="F32" s="474"/>
      <c r="G32" s="475"/>
      <c r="H32" s="475"/>
      <c r="I32" s="476">
        <f t="shared" si="2"/>
        <v>0</v>
      </c>
      <c r="J32" s="477" t="str">
        <f t="shared" si="1"/>
        <v/>
      </c>
    </row>
    <row r="33" spans="1:10" ht="13.4" customHeight="1">
      <c r="A33" s="472">
        <v>6045</v>
      </c>
      <c r="B33" s="473" t="s">
        <v>802</v>
      </c>
      <c r="C33" s="2"/>
      <c r="D33" s="2"/>
      <c r="E33" s="2"/>
      <c r="F33" s="474"/>
      <c r="G33" s="475"/>
      <c r="H33" s="475"/>
      <c r="I33" s="476">
        <f t="shared" si="2"/>
        <v>0</v>
      </c>
      <c r="J33" s="477" t="str">
        <f t="shared" si="1"/>
        <v/>
      </c>
    </row>
    <row r="34" spans="1:10" ht="13.4" customHeight="1">
      <c r="A34" s="472">
        <v>6046</v>
      </c>
      <c r="B34" s="473" t="s">
        <v>1179</v>
      </c>
      <c r="C34" s="2"/>
      <c r="D34" s="2"/>
      <c r="E34" s="2"/>
      <c r="F34" s="474"/>
      <c r="G34" s="475"/>
      <c r="H34" s="475"/>
      <c r="I34" s="476">
        <f t="shared" si="2"/>
        <v>0</v>
      </c>
      <c r="J34" s="477" t="str">
        <f t="shared" si="1"/>
        <v/>
      </c>
    </row>
    <row r="35" spans="1:10" ht="13.4" customHeight="1">
      <c r="A35" s="472">
        <v>6047</v>
      </c>
      <c r="B35" s="473" t="s">
        <v>1180</v>
      </c>
      <c r="C35" s="2"/>
      <c r="D35" s="2"/>
      <c r="E35" s="2"/>
      <c r="F35" s="474"/>
      <c r="G35" s="475"/>
      <c r="H35" s="475"/>
      <c r="I35" s="476">
        <f t="shared" si="2"/>
        <v>0</v>
      </c>
      <c r="J35" s="477" t="str">
        <f t="shared" si="1"/>
        <v/>
      </c>
    </row>
    <row r="36" spans="1:10" ht="13.4" customHeight="1">
      <c r="A36" s="472">
        <v>6049</v>
      </c>
      <c r="B36" s="473" t="s">
        <v>1171</v>
      </c>
      <c r="C36" s="2"/>
      <c r="D36" s="2"/>
      <c r="E36" s="2"/>
      <c r="F36" s="474"/>
      <c r="G36" s="475"/>
      <c r="H36" s="475"/>
      <c r="I36" s="476">
        <f t="shared" si="2"/>
        <v>0</v>
      </c>
      <c r="J36" s="477" t="str">
        <f t="shared" si="1"/>
        <v/>
      </c>
    </row>
    <row r="37" spans="1:10" ht="13.4" customHeight="1">
      <c r="A37" s="472">
        <v>6051</v>
      </c>
      <c r="B37" s="473" t="s">
        <v>1181</v>
      </c>
      <c r="C37" s="2"/>
      <c r="D37" s="2"/>
      <c r="E37" s="2"/>
      <c r="F37" s="474"/>
      <c r="G37" s="475"/>
      <c r="H37" s="475"/>
      <c r="I37" s="476">
        <f t="shared" si="2"/>
        <v>0</v>
      </c>
      <c r="J37" s="477" t="str">
        <f t="shared" si="1"/>
        <v/>
      </c>
    </row>
    <row r="38" spans="1:10" ht="13.4" customHeight="1">
      <c r="A38" s="472">
        <v>6052</v>
      </c>
      <c r="B38" s="473" t="s">
        <v>1182</v>
      </c>
      <c r="C38" s="2"/>
      <c r="D38" s="2"/>
      <c r="E38" s="2"/>
      <c r="F38" s="474"/>
      <c r="G38" s="475"/>
      <c r="H38" s="475"/>
      <c r="I38" s="476">
        <f t="shared" si="2"/>
        <v>0</v>
      </c>
      <c r="J38" s="477" t="str">
        <f t="shared" si="1"/>
        <v/>
      </c>
    </row>
    <row r="39" spans="1:10" ht="13.4" customHeight="1">
      <c r="A39" s="472">
        <v>6053</v>
      </c>
      <c r="B39" s="473" t="s">
        <v>1183</v>
      </c>
      <c r="C39" s="2"/>
      <c r="D39" s="2"/>
      <c r="E39" s="2"/>
      <c r="F39" s="474"/>
      <c r="G39" s="475"/>
      <c r="H39" s="475"/>
      <c r="I39" s="476">
        <f t="shared" si="2"/>
        <v>0</v>
      </c>
      <c r="J39" s="477" t="str">
        <f t="shared" si="1"/>
        <v/>
      </c>
    </row>
    <row r="40" spans="1:10" ht="13.4" customHeight="1">
      <c r="A40" s="472">
        <v>6054</v>
      </c>
      <c r="B40" s="473" t="s">
        <v>1184</v>
      </c>
      <c r="C40" s="2"/>
      <c r="D40" s="2"/>
      <c r="E40" s="2"/>
      <c r="F40" s="474"/>
      <c r="G40" s="475"/>
      <c r="H40" s="475"/>
      <c r="I40" s="476">
        <f t="shared" si="2"/>
        <v>0</v>
      </c>
      <c r="J40" s="477" t="str">
        <f t="shared" si="1"/>
        <v/>
      </c>
    </row>
    <row r="41" spans="1:10" ht="13.4" customHeight="1">
      <c r="A41" s="472">
        <v>6055</v>
      </c>
      <c r="B41" s="473" t="s">
        <v>1185</v>
      </c>
      <c r="C41" s="2"/>
      <c r="D41" s="2"/>
      <c r="E41" s="2"/>
      <c r="F41" s="474"/>
      <c r="G41" s="475"/>
      <c r="H41" s="475"/>
      <c r="I41" s="476">
        <f t="shared" si="2"/>
        <v>0</v>
      </c>
      <c r="J41" s="477" t="str">
        <f t="shared" si="1"/>
        <v/>
      </c>
    </row>
    <row r="42" spans="1:10" ht="13.4" customHeight="1">
      <c r="A42" s="472">
        <v>6056</v>
      </c>
      <c r="B42" s="473" t="s">
        <v>1186</v>
      </c>
      <c r="C42" s="2"/>
      <c r="D42" s="2"/>
      <c r="E42" s="2"/>
      <c r="F42" s="474"/>
      <c r="G42" s="475"/>
      <c r="H42" s="475"/>
      <c r="I42" s="476">
        <f t="shared" si="2"/>
        <v>0</v>
      </c>
      <c r="J42" s="477" t="str">
        <f t="shared" si="1"/>
        <v/>
      </c>
    </row>
    <row r="43" spans="1:10" ht="13.4" customHeight="1">
      <c r="A43" s="472">
        <v>6057</v>
      </c>
      <c r="B43" s="473" t="s">
        <v>1187</v>
      </c>
      <c r="C43" s="2"/>
      <c r="D43" s="2"/>
      <c r="E43" s="2"/>
      <c r="F43" s="474"/>
      <c r="G43" s="475"/>
      <c r="H43" s="475"/>
      <c r="I43" s="476">
        <f t="shared" si="2"/>
        <v>0</v>
      </c>
      <c r="J43" s="477" t="str">
        <f t="shared" si="1"/>
        <v/>
      </c>
    </row>
    <row r="44" spans="1:10" ht="13.4" customHeight="1">
      <c r="A44" s="472">
        <v>6058</v>
      </c>
      <c r="B44" s="473" t="s">
        <v>1188</v>
      </c>
      <c r="C44" s="2"/>
      <c r="D44" s="2"/>
      <c r="E44" s="2"/>
      <c r="F44" s="474"/>
      <c r="G44" s="475"/>
      <c r="H44" s="475"/>
      <c r="I44" s="476">
        <f t="shared" si="2"/>
        <v>0</v>
      </c>
      <c r="J44" s="477" t="str">
        <f t="shared" si="1"/>
        <v/>
      </c>
    </row>
    <row r="45" spans="1:10" ht="13.4" customHeight="1">
      <c r="A45" s="472">
        <v>6059</v>
      </c>
      <c r="B45" s="473" t="s">
        <v>1171</v>
      </c>
      <c r="C45" s="2"/>
      <c r="D45" s="2"/>
      <c r="E45" s="2"/>
      <c r="F45" s="474"/>
      <c r="G45" s="475"/>
      <c r="H45" s="475"/>
      <c r="I45" s="476">
        <f t="shared" si="2"/>
        <v>0</v>
      </c>
      <c r="J45" s="477" t="str">
        <f t="shared" si="1"/>
        <v/>
      </c>
    </row>
    <row r="46" spans="1:10" ht="13.4" customHeight="1">
      <c r="A46" s="472">
        <v>6081</v>
      </c>
      <c r="B46" s="473" t="s">
        <v>1189</v>
      </c>
      <c r="C46" s="2"/>
      <c r="D46" s="2"/>
      <c r="E46" s="2"/>
      <c r="F46" s="474"/>
      <c r="G46" s="475"/>
      <c r="H46" s="475"/>
      <c r="I46" s="476">
        <f t="shared" si="2"/>
        <v>0</v>
      </c>
      <c r="J46" s="477" t="str">
        <f t="shared" si="1"/>
        <v/>
      </c>
    </row>
    <row r="47" spans="1:10" ht="13.4" customHeight="1">
      <c r="A47" s="472">
        <v>6082</v>
      </c>
      <c r="B47" s="473" t="s">
        <v>1190</v>
      </c>
      <c r="C47" s="2"/>
      <c r="D47" s="2"/>
      <c r="E47" s="2"/>
      <c r="F47" s="474"/>
      <c r="G47" s="475"/>
      <c r="H47" s="475"/>
      <c r="I47" s="476">
        <f t="shared" si="2"/>
        <v>0</v>
      </c>
      <c r="J47" s="477" t="str">
        <f t="shared" si="1"/>
        <v/>
      </c>
    </row>
    <row r="48" spans="1:10" ht="13.4" customHeight="1">
      <c r="A48" s="472">
        <v>6083</v>
      </c>
      <c r="B48" s="473" t="s">
        <v>1191</v>
      </c>
      <c r="C48" s="2"/>
      <c r="D48" s="2"/>
      <c r="E48" s="2"/>
      <c r="F48" s="474"/>
      <c r="G48" s="475"/>
      <c r="H48" s="475"/>
      <c r="I48" s="476">
        <f t="shared" si="2"/>
        <v>0</v>
      </c>
      <c r="J48" s="477" t="str">
        <f t="shared" si="1"/>
        <v/>
      </c>
    </row>
    <row r="49" spans="1:10" ht="13.4" customHeight="1">
      <c r="A49" s="472">
        <v>6085</v>
      </c>
      <c r="B49" s="473" t="s">
        <v>802</v>
      </c>
      <c r="C49" s="2"/>
      <c r="D49" s="2"/>
      <c r="E49" s="2"/>
      <c r="F49" s="474"/>
      <c r="G49" s="475"/>
      <c r="H49" s="475"/>
      <c r="I49" s="476">
        <f t="shared" si="2"/>
        <v>0</v>
      </c>
      <c r="J49" s="477" t="str">
        <f t="shared" si="1"/>
        <v/>
      </c>
    </row>
    <row r="50" spans="1:10" ht="13.4" customHeight="1" thickBot="1">
      <c r="A50" s="472">
        <v>6089</v>
      </c>
      <c r="B50" s="473" t="s">
        <v>1171</v>
      </c>
      <c r="C50" s="2"/>
      <c r="D50" s="2"/>
      <c r="E50" s="2"/>
      <c r="F50" s="474"/>
      <c r="G50" s="469"/>
      <c r="H50" s="469"/>
      <c r="I50" s="470">
        <f t="shared" si="2"/>
        <v>0</v>
      </c>
      <c r="J50" s="471" t="str">
        <f t="shared" si="1"/>
        <v/>
      </c>
    </row>
    <row r="51" spans="1:10" ht="13.4" customHeight="1" thickTop="1" thickBot="1">
      <c r="A51" s="478" t="s">
        <v>350</v>
      </c>
      <c r="B51" s="479"/>
      <c r="C51" s="388" t="s">
        <v>351</v>
      </c>
      <c r="D51" s="2"/>
      <c r="E51" s="2"/>
      <c r="F51" s="474"/>
      <c r="G51" s="480">
        <f>SUM(G29:G50)</f>
        <v>0</v>
      </c>
      <c r="H51" s="480">
        <f>SUM(H29:H50)</f>
        <v>0</v>
      </c>
      <c r="I51" s="480">
        <f>G51-H51</f>
        <v>0</v>
      </c>
      <c r="J51" s="520" t="str">
        <f t="shared" si="1"/>
        <v/>
      </c>
    </row>
    <row r="52" spans="1:10" ht="13.4" customHeight="1" thickTop="1" thickBot="1">
      <c r="A52" s="472">
        <v>6033</v>
      </c>
      <c r="B52" s="473" t="s">
        <v>1192</v>
      </c>
      <c r="C52" s="2"/>
      <c r="D52" s="2"/>
      <c r="E52" s="2"/>
      <c r="F52" s="474"/>
      <c r="G52" s="481"/>
      <c r="H52" s="481"/>
      <c r="I52" s="482">
        <f t="shared" si="2"/>
        <v>0</v>
      </c>
      <c r="J52" s="520" t="str">
        <f t="shared" si="1"/>
        <v/>
      </c>
    </row>
    <row r="53" spans="1:10" ht="13.4" customHeight="1" thickTop="1" thickBot="1">
      <c r="A53" s="478" t="s">
        <v>352</v>
      </c>
      <c r="B53" s="479"/>
      <c r="C53" s="388" t="s">
        <v>1213</v>
      </c>
      <c r="D53" s="2"/>
      <c r="E53" s="2"/>
      <c r="F53" s="474"/>
      <c r="G53" s="480">
        <f>G52</f>
        <v>0</v>
      </c>
      <c r="H53" s="480">
        <f>H52</f>
        <v>0</v>
      </c>
      <c r="I53" s="480">
        <f>G53-H53</f>
        <v>0</v>
      </c>
      <c r="J53" s="520" t="str">
        <f t="shared" si="1"/>
        <v/>
      </c>
    </row>
    <row r="54" spans="1:10" ht="13.4" customHeight="1" thickTop="1">
      <c r="A54" s="472">
        <v>612</v>
      </c>
      <c r="B54" s="473" t="s">
        <v>804</v>
      </c>
      <c r="C54" s="2"/>
      <c r="D54" s="2"/>
      <c r="E54" s="2"/>
      <c r="F54" s="474"/>
      <c r="G54" s="469"/>
      <c r="H54" s="469"/>
      <c r="I54" s="470">
        <f t="shared" si="2"/>
        <v>0</v>
      </c>
      <c r="J54" s="471" t="str">
        <f t="shared" si="1"/>
        <v/>
      </c>
    </row>
    <row r="55" spans="1:10" ht="13.4" customHeight="1">
      <c r="A55" s="472">
        <v>613</v>
      </c>
      <c r="B55" s="473" t="s">
        <v>805</v>
      </c>
      <c r="C55" s="2"/>
      <c r="D55" s="2"/>
      <c r="E55" s="2"/>
      <c r="F55" s="474"/>
      <c r="G55" s="475"/>
      <c r="H55" s="475"/>
      <c r="I55" s="476">
        <f t="shared" si="2"/>
        <v>0</v>
      </c>
      <c r="J55" s="477" t="str">
        <f t="shared" si="1"/>
        <v/>
      </c>
    </row>
    <row r="56" spans="1:10" ht="13.4" customHeight="1">
      <c r="A56" s="472">
        <v>614</v>
      </c>
      <c r="B56" s="473" t="s">
        <v>1193</v>
      </c>
      <c r="C56" s="2"/>
      <c r="D56" s="2"/>
      <c r="E56" s="2"/>
      <c r="F56" s="474"/>
      <c r="G56" s="475"/>
      <c r="H56" s="475"/>
      <c r="I56" s="476">
        <f t="shared" si="2"/>
        <v>0</v>
      </c>
      <c r="J56" s="477" t="str">
        <f t="shared" si="1"/>
        <v/>
      </c>
    </row>
    <row r="57" spans="1:10" ht="13.4" customHeight="1">
      <c r="A57" s="472">
        <v>616</v>
      </c>
      <c r="B57" s="473" t="s">
        <v>807</v>
      </c>
      <c r="C57" s="2"/>
      <c r="D57" s="2"/>
      <c r="E57" s="2"/>
      <c r="F57" s="474"/>
      <c r="G57" s="475"/>
      <c r="H57" s="475"/>
      <c r="I57" s="476">
        <f t="shared" si="2"/>
        <v>0</v>
      </c>
      <c r="J57" s="477" t="str">
        <f t="shared" si="1"/>
        <v/>
      </c>
    </row>
    <row r="58" spans="1:10" ht="13.4" customHeight="1">
      <c r="A58" s="472">
        <v>6181</v>
      </c>
      <c r="B58" s="473" t="s">
        <v>1194</v>
      </c>
      <c r="C58" s="2"/>
      <c r="D58" s="2"/>
      <c r="E58" s="2"/>
      <c r="F58" s="474"/>
      <c r="G58" s="475"/>
      <c r="H58" s="475"/>
      <c r="I58" s="476">
        <f t="shared" si="2"/>
        <v>0</v>
      </c>
      <c r="J58" s="477" t="str">
        <f t="shared" si="1"/>
        <v/>
      </c>
    </row>
    <row r="59" spans="1:10" ht="13.4" customHeight="1">
      <c r="A59" s="472">
        <v>6182</v>
      </c>
      <c r="B59" s="473" t="s">
        <v>1195</v>
      </c>
      <c r="C59" s="2"/>
      <c r="D59" s="2"/>
      <c r="E59" s="2"/>
      <c r="F59" s="474"/>
      <c r="G59" s="475"/>
      <c r="H59" s="475"/>
      <c r="I59" s="476">
        <f t="shared" si="2"/>
        <v>0</v>
      </c>
      <c r="J59" s="477" t="str">
        <f t="shared" si="1"/>
        <v/>
      </c>
    </row>
    <row r="60" spans="1:10" ht="13.4" customHeight="1">
      <c r="A60" s="472">
        <v>6183</v>
      </c>
      <c r="B60" s="473" t="s">
        <v>1196</v>
      </c>
      <c r="C60" s="2"/>
      <c r="D60" s="2"/>
      <c r="E60" s="2"/>
      <c r="F60" s="474"/>
      <c r="G60" s="475"/>
      <c r="H60" s="475"/>
      <c r="I60" s="476">
        <f t="shared" si="2"/>
        <v>0</v>
      </c>
      <c r="J60" s="477" t="str">
        <f t="shared" si="1"/>
        <v/>
      </c>
    </row>
    <row r="61" spans="1:10" ht="13.4" customHeight="1" thickBot="1">
      <c r="A61" s="472">
        <v>619</v>
      </c>
      <c r="B61" s="473" t="s">
        <v>1171</v>
      </c>
      <c r="C61" s="164"/>
      <c r="D61" s="164"/>
      <c r="E61" s="164"/>
      <c r="F61" s="597"/>
      <c r="G61" s="598"/>
      <c r="H61" s="598"/>
      <c r="I61" s="599">
        <f t="shared" si="2"/>
        <v>0</v>
      </c>
      <c r="J61" s="477" t="str">
        <f t="shared" si="1"/>
        <v/>
      </c>
    </row>
    <row r="62" spans="1:10" ht="13.4" customHeight="1" thickTop="1" thickBot="1">
      <c r="A62" s="478" t="s">
        <v>354</v>
      </c>
      <c r="B62" s="479"/>
      <c r="C62" s="388" t="s">
        <v>355</v>
      </c>
      <c r="D62" s="2"/>
      <c r="E62" s="2"/>
      <c r="F62" s="474"/>
      <c r="G62" s="480">
        <f>SUM(G54:G60)</f>
        <v>0</v>
      </c>
      <c r="H62" s="480">
        <f>SUM(H54:H60)</f>
        <v>0</v>
      </c>
      <c r="I62" s="480">
        <f>G62-H62</f>
        <v>0</v>
      </c>
      <c r="J62" s="520" t="str">
        <f t="shared" si="1"/>
        <v/>
      </c>
    </row>
    <row r="63" spans="1:10" ht="13.4" customHeight="1" thickTop="1">
      <c r="A63" s="472">
        <v>621</v>
      </c>
      <c r="B63" s="473" t="s">
        <v>808</v>
      </c>
      <c r="C63" s="2"/>
      <c r="D63" s="2"/>
      <c r="E63" s="2"/>
      <c r="F63" s="474"/>
      <c r="G63" s="469"/>
      <c r="H63" s="469"/>
      <c r="I63" s="470">
        <f t="shared" si="2"/>
        <v>0</v>
      </c>
      <c r="J63" s="471" t="str">
        <f t="shared" si="1"/>
        <v/>
      </c>
    </row>
    <row r="64" spans="1:10" ht="13.4" customHeight="1">
      <c r="A64" s="472">
        <v>6221</v>
      </c>
      <c r="B64" s="473" t="s">
        <v>1197</v>
      </c>
      <c r="C64" s="2"/>
      <c r="D64" s="2"/>
      <c r="E64" s="2"/>
      <c r="F64" s="474"/>
      <c r="G64" s="475"/>
      <c r="H64" s="475"/>
      <c r="I64" s="476">
        <f t="shared" si="2"/>
        <v>0</v>
      </c>
      <c r="J64" s="477" t="str">
        <f t="shared" si="1"/>
        <v/>
      </c>
    </row>
    <row r="65" spans="1:10" ht="13.4" customHeight="1">
      <c r="A65" s="472">
        <v>6222</v>
      </c>
      <c r="B65" s="473" t="s">
        <v>1198</v>
      </c>
      <c r="C65" s="2"/>
      <c r="D65" s="2"/>
      <c r="E65" s="2"/>
      <c r="F65" s="474"/>
      <c r="G65" s="475"/>
      <c r="H65" s="475"/>
      <c r="I65" s="476">
        <f t="shared" si="2"/>
        <v>0</v>
      </c>
      <c r="J65" s="477" t="str">
        <f t="shared" si="1"/>
        <v/>
      </c>
    </row>
    <row r="66" spans="1:10" ht="13.4" customHeight="1">
      <c r="A66" s="472">
        <v>6223</v>
      </c>
      <c r="B66" s="473" t="s">
        <v>1199</v>
      </c>
      <c r="C66" s="2"/>
      <c r="D66" s="2"/>
      <c r="E66" s="2"/>
      <c r="F66" s="474"/>
      <c r="G66" s="475"/>
      <c r="H66" s="475"/>
      <c r="I66" s="476">
        <f t="shared" si="2"/>
        <v>0</v>
      </c>
      <c r="J66" s="477" t="str">
        <f t="shared" si="1"/>
        <v/>
      </c>
    </row>
    <row r="67" spans="1:10" ht="13.4" customHeight="1">
      <c r="A67" s="472">
        <v>6224</v>
      </c>
      <c r="B67" s="473" t="s">
        <v>1200</v>
      </c>
      <c r="C67" s="2"/>
      <c r="D67" s="2"/>
      <c r="E67" s="2"/>
      <c r="F67" s="474"/>
      <c r="G67" s="475"/>
      <c r="H67" s="475"/>
      <c r="I67" s="476">
        <f t="shared" si="2"/>
        <v>0</v>
      </c>
      <c r="J67" s="477" t="str">
        <f t="shared" si="1"/>
        <v/>
      </c>
    </row>
    <row r="68" spans="1:10" ht="13.4" customHeight="1">
      <c r="A68" s="472">
        <v>6225</v>
      </c>
      <c r="B68" s="473" t="s">
        <v>1201</v>
      </c>
      <c r="C68" s="2"/>
      <c r="D68" s="2"/>
      <c r="E68" s="2"/>
      <c r="F68" s="474"/>
      <c r="G68" s="475"/>
      <c r="H68" s="475"/>
      <c r="I68" s="476">
        <f t="shared" si="2"/>
        <v>0</v>
      </c>
      <c r="J68" s="477" t="str">
        <f t="shared" si="1"/>
        <v/>
      </c>
    </row>
    <row r="69" spans="1:10" ht="13.4" customHeight="1">
      <c r="A69" s="472">
        <v>6226</v>
      </c>
      <c r="B69" s="473" t="s">
        <v>1202</v>
      </c>
      <c r="C69" s="2"/>
      <c r="D69" s="2"/>
      <c r="E69" s="2"/>
      <c r="F69" s="474"/>
      <c r="G69" s="475"/>
      <c r="H69" s="475"/>
      <c r="I69" s="476">
        <f t="shared" si="2"/>
        <v>0</v>
      </c>
      <c r="J69" s="477" t="str">
        <f t="shared" si="1"/>
        <v/>
      </c>
    </row>
    <row r="70" spans="1:10" ht="13.4" customHeight="1">
      <c r="A70" s="472">
        <v>6228</v>
      </c>
      <c r="B70" s="473" t="s">
        <v>1203</v>
      </c>
      <c r="C70" s="2"/>
      <c r="D70" s="2"/>
      <c r="E70" s="2"/>
      <c r="F70" s="474"/>
      <c r="G70" s="475"/>
      <c r="H70" s="475"/>
      <c r="I70" s="476">
        <f t="shared" si="2"/>
        <v>0</v>
      </c>
      <c r="J70" s="477" t="str">
        <f t="shared" si="1"/>
        <v/>
      </c>
    </row>
    <row r="71" spans="1:10" ht="13.4" customHeight="1">
      <c r="A71" s="472">
        <v>6232</v>
      </c>
      <c r="B71" s="473" t="s">
        <v>1204</v>
      </c>
      <c r="C71" s="2"/>
      <c r="D71" s="2"/>
      <c r="E71" s="2"/>
      <c r="F71" s="474"/>
      <c r="G71" s="469"/>
      <c r="H71" s="469"/>
      <c r="I71" s="476">
        <f t="shared" si="2"/>
        <v>0</v>
      </c>
      <c r="J71" s="477" t="str">
        <f t="shared" si="1"/>
        <v/>
      </c>
    </row>
    <row r="72" spans="1:10" ht="13.4" customHeight="1">
      <c r="A72" s="472">
        <v>6233</v>
      </c>
      <c r="B72" s="473" t="s">
        <v>1205</v>
      </c>
      <c r="C72" s="2"/>
      <c r="D72" s="2"/>
      <c r="E72" s="2"/>
      <c r="F72" s="474"/>
      <c r="G72" s="475"/>
      <c r="H72" s="475"/>
      <c r="I72" s="476">
        <f t="shared" si="2"/>
        <v>0</v>
      </c>
      <c r="J72" s="477" t="str">
        <f t="shared" si="1"/>
        <v/>
      </c>
    </row>
    <row r="73" spans="1:10" ht="13.4" customHeight="1">
      <c r="A73" s="483">
        <v>6234</v>
      </c>
      <c r="B73" s="484" t="s">
        <v>1206</v>
      </c>
      <c r="C73" s="485"/>
      <c r="D73" s="485"/>
      <c r="E73" s="485"/>
      <c r="F73" s="486"/>
      <c r="G73" s="487"/>
      <c r="H73" s="488"/>
      <c r="I73" s="489">
        <f t="shared" si="2"/>
        <v>0</v>
      </c>
      <c r="J73" s="490" t="str">
        <f t="shared" si="1"/>
        <v/>
      </c>
    </row>
    <row r="74" spans="1:10" ht="14.15" customHeight="1">
      <c r="A74" s="491"/>
      <c r="B74" s="386"/>
      <c r="C74" s="2"/>
      <c r="D74" s="2"/>
      <c r="E74" s="2"/>
      <c r="F74" s="2"/>
      <c r="G74" s="492"/>
      <c r="H74" s="492"/>
      <c r="I74" s="492"/>
      <c r="J74" s="493"/>
    </row>
    <row r="75" spans="1:10" ht="15" customHeight="1">
      <c r="A75" s="2058" t="s">
        <v>1214</v>
      </c>
      <c r="B75" s="2059"/>
      <c r="C75" s="457"/>
      <c r="D75" s="1134" t="s">
        <v>24</v>
      </c>
      <c r="E75" s="1134"/>
      <c r="F75" s="1134"/>
      <c r="G75" s="2054"/>
      <c r="H75" s="2055" t="s">
        <v>2066</v>
      </c>
      <c r="I75" s="2056"/>
      <c r="J75" s="2057"/>
    </row>
    <row r="76" spans="1:10">
      <c r="A76" s="2" t="s">
        <v>26</v>
      </c>
      <c r="B76" s="385"/>
      <c r="C76" s="2044">
        <f>C2</f>
        <v>0</v>
      </c>
      <c r="D76" s="2044"/>
      <c r="E76" s="2044"/>
      <c r="F76" s="2044"/>
      <c r="G76" s="2044"/>
      <c r="H76" s="2044"/>
      <c r="I76" s="2044"/>
      <c r="J76" s="2044"/>
    </row>
    <row r="77" spans="1:10">
      <c r="A77" s="2" t="s">
        <v>27</v>
      </c>
      <c r="B77" s="2044">
        <f>B3</f>
        <v>0</v>
      </c>
      <c r="C77" s="2044"/>
      <c r="D77" s="2044"/>
      <c r="E77" s="2044"/>
      <c r="F77" s="2044"/>
      <c r="G77" s="2044"/>
      <c r="H77" s="2044"/>
      <c r="I77" s="114" t="s">
        <v>28</v>
      </c>
      <c r="J77" s="458">
        <f>J3</f>
        <v>0</v>
      </c>
    </row>
    <row r="78" spans="1:10">
      <c r="A78" s="7" t="s">
        <v>2021</v>
      </c>
      <c r="B78" s="2"/>
      <c r="C78" s="2044">
        <f>C4</f>
        <v>0</v>
      </c>
      <c r="D78" s="2044"/>
      <c r="E78" s="459"/>
      <c r="F78" s="459"/>
      <c r="G78" s="114" t="s">
        <v>30</v>
      </c>
      <c r="H78" s="458">
        <f>H4</f>
        <v>0</v>
      </c>
      <c r="I78" s="114" t="s">
        <v>31</v>
      </c>
      <c r="J78" s="458">
        <f>J4</f>
        <v>0</v>
      </c>
    </row>
    <row r="79" spans="1:10">
      <c r="A79" s="268" t="s">
        <v>2024</v>
      </c>
      <c r="B79" s="2"/>
      <c r="C79" s="2044">
        <f>C5</f>
        <v>0</v>
      </c>
      <c r="D79" s="2044"/>
      <c r="E79" s="2044"/>
      <c r="F79" s="2044"/>
      <c r="G79" s="461"/>
      <c r="H79" s="458"/>
      <c r="I79" s="459"/>
      <c r="J79" s="459"/>
    </row>
    <row r="80" spans="1:10" ht="5.25" customHeight="1">
      <c r="A80" s="7"/>
      <c r="B80" s="7"/>
      <c r="C80" s="244"/>
      <c r="D80" s="244"/>
      <c r="E80" s="61"/>
      <c r="F80" s="245"/>
      <c r="G80" s="61"/>
      <c r="H80" s="244"/>
      <c r="I80" s="48"/>
      <c r="J80" s="48"/>
    </row>
    <row r="81" spans="1:10">
      <c r="A81" s="2045" t="s">
        <v>1164</v>
      </c>
      <c r="B81" s="2046"/>
      <c r="C81" s="2046"/>
      <c r="D81" s="2046"/>
      <c r="E81" s="2046"/>
      <c r="F81" s="2046"/>
      <c r="G81" s="2046"/>
      <c r="H81" s="2046"/>
      <c r="I81" s="2046"/>
      <c r="J81" s="2047"/>
    </row>
    <row r="82" spans="1:10" ht="5.25" customHeight="1">
      <c r="A82" s="48"/>
      <c r="B82" s="48"/>
      <c r="C82" s="48"/>
      <c r="D82" s="48"/>
      <c r="E82" s="48"/>
      <c r="F82" s="48"/>
      <c r="G82" s="48"/>
      <c r="H82" s="48"/>
      <c r="I82" s="48"/>
      <c r="J82" s="48"/>
    </row>
    <row r="83" spans="1:10">
      <c r="A83" s="2048" t="s">
        <v>1166</v>
      </c>
      <c r="B83" s="2049"/>
      <c r="C83" s="2049"/>
      <c r="D83" s="2049"/>
      <c r="E83" s="2049"/>
      <c r="F83" s="2049"/>
      <c r="G83" s="2048" t="s">
        <v>591</v>
      </c>
      <c r="H83" s="2048" t="s">
        <v>1165</v>
      </c>
      <c r="I83" s="2048" t="s">
        <v>1629</v>
      </c>
      <c r="J83" s="2050"/>
    </row>
    <row r="84" spans="1:10">
      <c r="A84" s="2051"/>
      <c r="B84" s="2052"/>
      <c r="C84" s="2052"/>
      <c r="D84" s="2052"/>
      <c r="E84" s="2052"/>
      <c r="F84" s="2052"/>
      <c r="G84" s="2051"/>
      <c r="H84" s="2051"/>
      <c r="I84" s="462" t="s">
        <v>1630</v>
      </c>
      <c r="J84" s="463" t="s">
        <v>1631</v>
      </c>
    </row>
    <row r="85" spans="1:10" ht="11.5" customHeight="1">
      <c r="A85" s="472">
        <v>6238</v>
      </c>
      <c r="B85" s="473" t="s">
        <v>1207</v>
      </c>
      <c r="C85" s="2"/>
      <c r="D85" s="2"/>
      <c r="E85" s="2"/>
      <c r="F85" s="474"/>
      <c r="G85" s="475"/>
      <c r="H85" s="475"/>
      <c r="I85" s="476">
        <f t="shared" ref="I85:I141" si="3">G85-H85</f>
        <v>0</v>
      </c>
      <c r="J85" s="477" t="str">
        <f>IF(H85,(G85-H85)/H85,IF(ISBLANK(H85),"",IF(G85,IF( G85 &gt; 0,1,-1),"")))</f>
        <v/>
      </c>
    </row>
    <row r="86" spans="1:10" ht="11.5" customHeight="1">
      <c r="A86" s="472">
        <v>6241</v>
      </c>
      <c r="B86" s="473" t="s">
        <v>1208</v>
      </c>
      <c r="C86" s="2"/>
      <c r="D86" s="2"/>
      <c r="E86" s="2"/>
      <c r="F86" s="474"/>
      <c r="G86" s="475"/>
      <c r="H86" s="475"/>
      <c r="I86" s="476">
        <f t="shared" si="3"/>
        <v>0</v>
      </c>
      <c r="J86" s="477" t="str">
        <f t="shared" ref="J86:J148" si="4">IF(H86,(G86-H86)/H86,IF(ISBLANK(H86),"",IF(G86,IF( G86 &gt; 0,1,-1),"")))</f>
        <v/>
      </c>
    </row>
    <row r="87" spans="1:10" ht="11.5" customHeight="1">
      <c r="A87" s="472">
        <v>6242</v>
      </c>
      <c r="B87" s="473" t="s">
        <v>1209</v>
      </c>
      <c r="C87" s="2"/>
      <c r="D87" s="2"/>
      <c r="E87" s="2"/>
      <c r="F87" s="474"/>
      <c r="G87" s="475"/>
      <c r="H87" s="475"/>
      <c r="I87" s="476">
        <f t="shared" si="3"/>
        <v>0</v>
      </c>
      <c r="J87" s="477" t="str">
        <f t="shared" si="4"/>
        <v/>
      </c>
    </row>
    <row r="88" spans="1:10" ht="11.5" customHeight="1">
      <c r="A88" s="472">
        <v>6243</v>
      </c>
      <c r="B88" s="473" t="s">
        <v>1210</v>
      </c>
      <c r="C88" s="2"/>
      <c r="D88" s="2"/>
      <c r="E88" s="2"/>
      <c r="F88" s="474"/>
      <c r="G88" s="475"/>
      <c r="H88" s="475"/>
      <c r="I88" s="476">
        <f t="shared" si="3"/>
        <v>0</v>
      </c>
      <c r="J88" s="477" t="str">
        <f t="shared" si="4"/>
        <v/>
      </c>
    </row>
    <row r="89" spans="1:10" ht="11.5" customHeight="1">
      <c r="A89" s="472">
        <v>6244</v>
      </c>
      <c r="B89" s="473" t="s">
        <v>1215</v>
      </c>
      <c r="C89" s="2"/>
      <c r="D89" s="2"/>
      <c r="E89" s="2"/>
      <c r="F89" s="474"/>
      <c r="G89" s="475"/>
      <c r="H89" s="475"/>
      <c r="I89" s="476">
        <f t="shared" si="3"/>
        <v>0</v>
      </c>
      <c r="J89" s="477" t="str">
        <f t="shared" si="4"/>
        <v/>
      </c>
    </row>
    <row r="90" spans="1:10" ht="11.5" customHeight="1">
      <c r="A90" s="472">
        <v>6248</v>
      </c>
      <c r="B90" s="473" t="s">
        <v>1216</v>
      </c>
      <c r="C90" s="2"/>
      <c r="D90" s="2"/>
      <c r="E90" s="2"/>
      <c r="F90" s="474"/>
      <c r="G90" s="475"/>
      <c r="H90" s="475"/>
      <c r="I90" s="476">
        <f t="shared" si="3"/>
        <v>0</v>
      </c>
      <c r="J90" s="477" t="str">
        <f t="shared" si="4"/>
        <v/>
      </c>
    </row>
    <row r="91" spans="1:10" ht="11.5" customHeight="1">
      <c r="A91" s="472">
        <v>6251</v>
      </c>
      <c r="B91" s="473" t="s">
        <v>1217</v>
      </c>
      <c r="C91" s="2"/>
      <c r="D91" s="2"/>
      <c r="E91" s="2"/>
      <c r="F91" s="474"/>
      <c r="G91" s="475"/>
      <c r="H91" s="475"/>
      <c r="I91" s="476">
        <f t="shared" si="3"/>
        <v>0</v>
      </c>
      <c r="J91" s="477" t="str">
        <f t="shared" si="4"/>
        <v/>
      </c>
    </row>
    <row r="92" spans="1:10" ht="11.5" customHeight="1">
      <c r="A92" s="472">
        <v>6252</v>
      </c>
      <c r="B92" s="473" t="s">
        <v>1218</v>
      </c>
      <c r="C92" s="2"/>
      <c r="D92" s="2"/>
      <c r="E92" s="2"/>
      <c r="F92" s="474"/>
      <c r="G92" s="475"/>
      <c r="H92" s="475"/>
      <c r="I92" s="476">
        <f t="shared" si="3"/>
        <v>0</v>
      </c>
      <c r="J92" s="477" t="str">
        <f t="shared" si="4"/>
        <v/>
      </c>
    </row>
    <row r="93" spans="1:10" ht="11.5" customHeight="1">
      <c r="A93" s="472">
        <v>6253</v>
      </c>
      <c r="B93" s="473" t="s">
        <v>1219</v>
      </c>
      <c r="C93" s="2"/>
      <c r="D93" s="2"/>
      <c r="E93" s="2"/>
      <c r="F93" s="474"/>
      <c r="G93" s="475"/>
      <c r="H93" s="475"/>
      <c r="I93" s="476">
        <f t="shared" si="3"/>
        <v>0</v>
      </c>
      <c r="J93" s="477" t="str">
        <f t="shared" si="4"/>
        <v/>
      </c>
    </row>
    <row r="94" spans="1:10" ht="11.5" customHeight="1">
      <c r="A94" s="472">
        <v>6254</v>
      </c>
      <c r="B94" s="473" t="s">
        <v>1220</v>
      </c>
      <c r="C94" s="2"/>
      <c r="D94" s="2"/>
      <c r="E94" s="2"/>
      <c r="F94" s="474"/>
      <c r="G94" s="475"/>
      <c r="H94" s="475"/>
      <c r="I94" s="476">
        <f t="shared" si="3"/>
        <v>0</v>
      </c>
      <c r="J94" s="477" t="str">
        <f t="shared" si="4"/>
        <v/>
      </c>
    </row>
    <row r="95" spans="1:10" ht="11.5" customHeight="1">
      <c r="A95" s="472">
        <v>6255</v>
      </c>
      <c r="B95" s="473" t="s">
        <v>1221</v>
      </c>
      <c r="C95" s="2"/>
      <c r="D95" s="2"/>
      <c r="E95" s="2"/>
      <c r="F95" s="474"/>
      <c r="G95" s="475"/>
      <c r="H95" s="475"/>
      <c r="I95" s="476">
        <f t="shared" si="3"/>
        <v>0</v>
      </c>
      <c r="J95" s="477" t="str">
        <f t="shared" si="4"/>
        <v/>
      </c>
    </row>
    <row r="96" spans="1:10" ht="11.5" customHeight="1">
      <c r="A96" s="472">
        <v>6257</v>
      </c>
      <c r="B96" s="473" t="s">
        <v>1222</v>
      </c>
      <c r="C96" s="2"/>
      <c r="D96" s="2"/>
      <c r="E96" s="2"/>
      <c r="F96" s="474"/>
      <c r="G96" s="475"/>
      <c r="H96" s="475"/>
      <c r="I96" s="476">
        <f t="shared" si="3"/>
        <v>0</v>
      </c>
      <c r="J96" s="477" t="str">
        <f t="shared" si="4"/>
        <v/>
      </c>
    </row>
    <row r="97" spans="1:10" ht="11.5" customHeight="1">
      <c r="A97" s="472">
        <v>6258</v>
      </c>
      <c r="B97" s="473" t="s">
        <v>1223</v>
      </c>
      <c r="C97" s="2"/>
      <c r="D97" s="2"/>
      <c r="E97" s="2"/>
      <c r="F97" s="474"/>
      <c r="G97" s="475"/>
      <c r="H97" s="475"/>
      <c r="I97" s="476">
        <f t="shared" si="3"/>
        <v>0</v>
      </c>
      <c r="J97" s="477" t="str">
        <f t="shared" si="4"/>
        <v/>
      </c>
    </row>
    <row r="98" spans="1:10" ht="11.5" customHeight="1">
      <c r="A98" s="472">
        <v>6261</v>
      </c>
      <c r="B98" s="473" t="s">
        <v>1224</v>
      </c>
      <c r="C98" s="2"/>
      <c r="D98" s="2"/>
      <c r="E98" s="2"/>
      <c r="F98" s="474"/>
      <c r="G98" s="475"/>
      <c r="H98" s="475"/>
      <c r="I98" s="476">
        <f t="shared" si="3"/>
        <v>0</v>
      </c>
      <c r="J98" s="477" t="str">
        <f t="shared" si="4"/>
        <v/>
      </c>
    </row>
    <row r="99" spans="1:10" ht="11.5" customHeight="1">
      <c r="A99" s="472">
        <v>6265</v>
      </c>
      <c r="B99" s="473" t="s">
        <v>1225</v>
      </c>
      <c r="C99" s="2"/>
      <c r="D99" s="2"/>
      <c r="E99" s="2"/>
      <c r="F99" s="474"/>
      <c r="G99" s="475"/>
      <c r="H99" s="475"/>
      <c r="I99" s="476">
        <f t="shared" si="3"/>
        <v>0</v>
      </c>
      <c r="J99" s="477" t="str">
        <f t="shared" si="4"/>
        <v/>
      </c>
    </row>
    <row r="100" spans="1:10" ht="11.5" customHeight="1">
      <c r="A100" s="472">
        <v>6266</v>
      </c>
      <c r="B100" s="473" t="s">
        <v>1226</v>
      </c>
      <c r="C100" s="2"/>
      <c r="D100" s="2"/>
      <c r="E100" s="2"/>
      <c r="F100" s="474"/>
      <c r="G100" s="475"/>
      <c r="H100" s="475"/>
      <c r="I100" s="476">
        <f t="shared" si="3"/>
        <v>0</v>
      </c>
      <c r="J100" s="477" t="str">
        <f t="shared" si="4"/>
        <v/>
      </c>
    </row>
    <row r="101" spans="1:10" ht="11.5" customHeight="1">
      <c r="A101" s="472">
        <v>6271</v>
      </c>
      <c r="B101" s="473" t="s">
        <v>1227</v>
      </c>
      <c r="C101" s="2"/>
      <c r="D101" s="2"/>
      <c r="E101" s="2"/>
      <c r="F101" s="474"/>
      <c r="G101" s="475"/>
      <c r="H101" s="475"/>
      <c r="I101" s="476">
        <f t="shared" si="3"/>
        <v>0</v>
      </c>
      <c r="J101" s="477" t="str">
        <f t="shared" si="4"/>
        <v/>
      </c>
    </row>
    <row r="102" spans="1:10" ht="11.5" customHeight="1">
      <c r="A102" s="472">
        <v>6272</v>
      </c>
      <c r="B102" s="473" t="s">
        <v>1228</v>
      </c>
      <c r="C102" s="2"/>
      <c r="D102" s="2"/>
      <c r="E102" s="2"/>
      <c r="F102" s="474"/>
      <c r="G102" s="475"/>
      <c r="H102" s="475"/>
      <c r="I102" s="476">
        <f t="shared" si="3"/>
        <v>0</v>
      </c>
      <c r="J102" s="477" t="str">
        <f t="shared" si="4"/>
        <v/>
      </c>
    </row>
    <row r="103" spans="1:10" ht="11.5" customHeight="1">
      <c r="A103" s="472">
        <v>6273</v>
      </c>
      <c r="B103" s="473" t="s">
        <v>1229</v>
      </c>
      <c r="C103" s="2"/>
      <c r="D103" s="2"/>
      <c r="E103" s="2"/>
      <c r="F103" s="474"/>
      <c r="G103" s="475"/>
      <c r="H103" s="475"/>
      <c r="I103" s="476">
        <f t="shared" si="3"/>
        <v>0</v>
      </c>
      <c r="J103" s="477" t="str">
        <f t="shared" si="4"/>
        <v/>
      </c>
    </row>
    <row r="104" spans="1:10" ht="11.5" customHeight="1">
      <c r="A104" s="472">
        <v>6274</v>
      </c>
      <c r="B104" s="473" t="s">
        <v>1230</v>
      </c>
      <c r="C104" s="2"/>
      <c r="D104" s="2"/>
      <c r="E104" s="2"/>
      <c r="F104" s="474"/>
      <c r="G104" s="475"/>
      <c r="H104" s="475"/>
      <c r="I104" s="476">
        <f t="shared" si="3"/>
        <v>0</v>
      </c>
      <c r="J104" s="477" t="str">
        <f t="shared" si="4"/>
        <v/>
      </c>
    </row>
    <row r="105" spans="1:10" ht="11.5" customHeight="1">
      <c r="A105" s="472">
        <v>6275</v>
      </c>
      <c r="B105" s="473" t="s">
        <v>1231</v>
      </c>
      <c r="C105" s="2"/>
      <c r="D105" s="2"/>
      <c r="E105" s="2"/>
      <c r="F105" s="474"/>
      <c r="G105" s="475"/>
      <c r="H105" s="475"/>
      <c r="I105" s="476">
        <f t="shared" si="3"/>
        <v>0</v>
      </c>
      <c r="J105" s="477" t="str">
        <f t="shared" si="4"/>
        <v/>
      </c>
    </row>
    <row r="106" spans="1:10" ht="11.5" customHeight="1">
      <c r="A106" s="472">
        <v>6276</v>
      </c>
      <c r="B106" s="473" t="s">
        <v>1232</v>
      </c>
      <c r="C106" s="2"/>
      <c r="D106" s="2"/>
      <c r="E106" s="2"/>
      <c r="F106" s="474"/>
      <c r="G106" s="475"/>
      <c r="H106" s="475"/>
      <c r="I106" s="476">
        <f t="shared" si="3"/>
        <v>0</v>
      </c>
      <c r="J106" s="477" t="str">
        <f t="shared" si="4"/>
        <v/>
      </c>
    </row>
    <row r="107" spans="1:10" ht="11.5" customHeight="1">
      <c r="A107" s="472">
        <v>6277</v>
      </c>
      <c r="B107" s="473" t="s">
        <v>1233</v>
      </c>
      <c r="C107" s="2"/>
      <c r="D107" s="2"/>
      <c r="E107" s="2"/>
      <c r="F107" s="474"/>
      <c r="G107" s="475"/>
      <c r="H107" s="475"/>
      <c r="I107" s="476">
        <f t="shared" si="3"/>
        <v>0</v>
      </c>
      <c r="J107" s="477" t="str">
        <f t="shared" si="4"/>
        <v/>
      </c>
    </row>
    <row r="108" spans="1:10" ht="11.5" customHeight="1">
      <c r="A108" s="472">
        <v>6278</v>
      </c>
      <c r="B108" s="473" t="s">
        <v>1234</v>
      </c>
      <c r="C108" s="2"/>
      <c r="D108" s="2"/>
      <c r="E108" s="2"/>
      <c r="F108" s="474"/>
      <c r="G108" s="475"/>
      <c r="H108" s="475"/>
      <c r="I108" s="476">
        <f t="shared" si="3"/>
        <v>0</v>
      </c>
      <c r="J108" s="477" t="str">
        <f t="shared" si="4"/>
        <v/>
      </c>
    </row>
    <row r="109" spans="1:10" ht="11.5" customHeight="1">
      <c r="A109" s="472">
        <v>6281</v>
      </c>
      <c r="B109" s="473" t="s">
        <v>1235</v>
      </c>
      <c r="C109" s="2"/>
      <c r="D109" s="2"/>
      <c r="E109" s="2"/>
      <c r="F109" s="474"/>
      <c r="G109" s="475"/>
      <c r="H109" s="475"/>
      <c r="I109" s="476">
        <f t="shared" si="3"/>
        <v>0</v>
      </c>
      <c r="J109" s="477" t="str">
        <f t="shared" si="4"/>
        <v/>
      </c>
    </row>
    <row r="110" spans="1:10" ht="11.5" customHeight="1">
      <c r="A110" s="472">
        <v>6282</v>
      </c>
      <c r="B110" s="473" t="s">
        <v>1236</v>
      </c>
      <c r="C110" s="2"/>
      <c r="D110" s="2"/>
      <c r="E110" s="2"/>
      <c r="F110" s="474"/>
      <c r="G110" s="475"/>
      <c r="H110" s="475"/>
      <c r="I110" s="476">
        <f t="shared" si="3"/>
        <v>0</v>
      </c>
      <c r="J110" s="477" t="str">
        <f t="shared" si="4"/>
        <v/>
      </c>
    </row>
    <row r="111" spans="1:10" ht="11.5" customHeight="1">
      <c r="A111" s="472">
        <v>6283</v>
      </c>
      <c r="B111" s="473" t="s">
        <v>1237</v>
      </c>
      <c r="C111" s="2"/>
      <c r="D111" s="2"/>
      <c r="E111" s="2"/>
      <c r="F111" s="474"/>
      <c r="G111" s="475"/>
      <c r="H111" s="475"/>
      <c r="I111" s="476">
        <f t="shared" si="3"/>
        <v>0</v>
      </c>
      <c r="J111" s="477" t="str">
        <f t="shared" si="4"/>
        <v/>
      </c>
    </row>
    <row r="112" spans="1:10" s="575" customFormat="1" ht="11.5" customHeight="1">
      <c r="A112" s="472">
        <v>6284</v>
      </c>
      <c r="B112" s="473" t="s">
        <v>1908</v>
      </c>
      <c r="C112" s="164"/>
      <c r="D112" s="164"/>
      <c r="E112" s="164"/>
      <c r="F112" s="597"/>
      <c r="G112" s="601"/>
      <c r="H112" s="601"/>
      <c r="I112" s="602">
        <f t="shared" si="3"/>
        <v>0</v>
      </c>
      <c r="J112" s="600"/>
    </row>
    <row r="113" spans="1:10" ht="11.5" customHeight="1">
      <c r="A113" s="472">
        <v>6288</v>
      </c>
      <c r="B113" s="473" t="s">
        <v>1238</v>
      </c>
      <c r="C113" s="2"/>
      <c r="D113" s="2"/>
      <c r="E113" s="2"/>
      <c r="F113" s="474"/>
      <c r="G113" s="475"/>
      <c r="H113" s="475"/>
      <c r="I113" s="476">
        <f t="shared" si="3"/>
        <v>0</v>
      </c>
      <c r="J113" s="477" t="str">
        <f t="shared" si="4"/>
        <v/>
      </c>
    </row>
    <row r="114" spans="1:10" ht="11.5" customHeight="1">
      <c r="A114" s="472">
        <v>6311</v>
      </c>
      <c r="B114" s="473" t="s">
        <v>1239</v>
      </c>
      <c r="C114" s="2"/>
      <c r="D114" s="2"/>
      <c r="E114" s="2"/>
      <c r="F114" s="474"/>
      <c r="G114" s="475"/>
      <c r="H114" s="475"/>
      <c r="I114" s="476">
        <f t="shared" si="3"/>
        <v>0</v>
      </c>
      <c r="J114" s="477" t="str">
        <f>IF(H114,(G114-H114)/H114,IF(ISBLANK(H114),"",IF(G114,IF( G114 &gt; 0,1,-1),"")))</f>
        <v/>
      </c>
    </row>
    <row r="115" spans="1:10" ht="11.5" customHeight="1">
      <c r="A115" s="472">
        <v>6312</v>
      </c>
      <c r="B115" s="473" t="s">
        <v>1240</v>
      </c>
      <c r="C115" s="2"/>
      <c r="D115" s="2"/>
      <c r="E115" s="2"/>
      <c r="F115" s="474"/>
      <c r="G115" s="475"/>
      <c r="H115" s="475"/>
      <c r="I115" s="476">
        <f t="shared" si="3"/>
        <v>0</v>
      </c>
      <c r="J115" s="477" t="str">
        <f t="shared" si="4"/>
        <v/>
      </c>
    </row>
    <row r="116" spans="1:10" ht="11.5" customHeight="1">
      <c r="A116" s="472">
        <v>6313</v>
      </c>
      <c r="B116" s="473" t="s">
        <v>1241</v>
      </c>
      <c r="C116" s="2"/>
      <c r="D116" s="2"/>
      <c r="E116" s="2"/>
      <c r="F116" s="474"/>
      <c r="G116" s="475"/>
      <c r="H116" s="475"/>
      <c r="I116" s="476">
        <f t="shared" si="3"/>
        <v>0</v>
      </c>
      <c r="J116" s="477" t="str">
        <f t="shared" si="4"/>
        <v/>
      </c>
    </row>
    <row r="117" spans="1:10" ht="11.5" customHeight="1">
      <c r="A117" s="472">
        <v>6314</v>
      </c>
      <c r="B117" s="473" t="s">
        <v>1242</v>
      </c>
      <c r="C117" s="164"/>
      <c r="D117" s="164"/>
      <c r="E117" s="2"/>
      <c r="F117" s="474"/>
      <c r="G117" s="475"/>
      <c r="H117" s="475"/>
      <c r="I117" s="476">
        <f t="shared" si="3"/>
        <v>0</v>
      </c>
      <c r="J117" s="477" t="str">
        <f t="shared" si="4"/>
        <v/>
      </c>
    </row>
    <row r="118" spans="1:10" ht="11.5" customHeight="1">
      <c r="A118" s="472">
        <v>6315</v>
      </c>
      <c r="B118" s="473" t="s">
        <v>1243</v>
      </c>
      <c r="C118" s="2"/>
      <c r="D118" s="2"/>
      <c r="E118" s="2"/>
      <c r="F118" s="474"/>
      <c r="G118" s="475"/>
      <c r="H118" s="475"/>
      <c r="I118" s="476">
        <f t="shared" si="3"/>
        <v>0</v>
      </c>
      <c r="J118" s="477" t="str">
        <f t="shared" si="4"/>
        <v/>
      </c>
    </row>
    <row r="119" spans="1:10" ht="11.5" customHeight="1">
      <c r="A119" s="472">
        <v>6316</v>
      </c>
      <c r="B119" s="473" t="s">
        <v>1244</v>
      </c>
      <c r="C119" s="2"/>
      <c r="D119" s="2"/>
      <c r="E119" s="2"/>
      <c r="F119" s="474"/>
      <c r="G119" s="475"/>
      <c r="H119" s="475"/>
      <c r="I119" s="476">
        <f t="shared" si="3"/>
        <v>0</v>
      </c>
      <c r="J119" s="477" t="str">
        <f t="shared" si="4"/>
        <v/>
      </c>
    </row>
    <row r="120" spans="1:10" ht="11.5" customHeight="1">
      <c r="A120" s="472">
        <v>6317</v>
      </c>
      <c r="B120" s="473" t="s">
        <v>1245</v>
      </c>
      <c r="C120" s="2"/>
      <c r="D120" s="2"/>
      <c r="E120" s="2"/>
      <c r="F120" s="474"/>
      <c r="G120" s="475"/>
      <c r="H120" s="475"/>
      <c r="I120" s="476">
        <f t="shared" si="3"/>
        <v>0</v>
      </c>
      <c r="J120" s="477" t="str">
        <f t="shared" si="4"/>
        <v/>
      </c>
    </row>
    <row r="121" spans="1:10" ht="11.5" customHeight="1">
      <c r="A121" s="472">
        <v>6318</v>
      </c>
      <c r="B121" s="473" t="s">
        <v>1246</v>
      </c>
      <c r="C121" s="2"/>
      <c r="D121" s="2"/>
      <c r="E121" s="2"/>
      <c r="F121" s="474"/>
      <c r="G121" s="475"/>
      <c r="H121" s="475"/>
      <c r="I121" s="476">
        <f t="shared" si="3"/>
        <v>0</v>
      </c>
      <c r="J121" s="477" t="str">
        <f t="shared" si="4"/>
        <v/>
      </c>
    </row>
    <row r="122" spans="1:10" ht="11.5" customHeight="1">
      <c r="A122" s="472">
        <v>6322</v>
      </c>
      <c r="B122" s="473" t="s">
        <v>1247</v>
      </c>
      <c r="C122" s="2"/>
      <c r="D122" s="2"/>
      <c r="E122" s="2"/>
      <c r="F122" s="474"/>
      <c r="G122" s="475"/>
      <c r="H122" s="475"/>
      <c r="I122" s="476">
        <f t="shared" si="3"/>
        <v>0</v>
      </c>
      <c r="J122" s="477" t="str">
        <f t="shared" si="4"/>
        <v/>
      </c>
    </row>
    <row r="123" spans="1:10" ht="11.5" customHeight="1">
      <c r="A123" s="472">
        <v>6324</v>
      </c>
      <c r="B123" s="473" t="s">
        <v>1248</v>
      </c>
      <c r="C123" s="2"/>
      <c r="D123" s="2"/>
      <c r="E123" s="2"/>
      <c r="F123" s="474"/>
      <c r="G123" s="475"/>
      <c r="H123" s="475"/>
      <c r="I123" s="476">
        <f t="shared" si="3"/>
        <v>0</v>
      </c>
      <c r="J123" s="477" t="str">
        <f t="shared" si="4"/>
        <v/>
      </c>
    </row>
    <row r="124" spans="1:10" ht="11.5" customHeight="1">
      <c r="A124" s="472">
        <v>6325</v>
      </c>
      <c r="B124" s="473" t="s">
        <v>1249</v>
      </c>
      <c r="C124" s="2"/>
      <c r="D124" s="2"/>
      <c r="E124" s="2"/>
      <c r="F124" s="474"/>
      <c r="G124" s="475"/>
      <c r="H124" s="475"/>
      <c r="I124" s="476">
        <f t="shared" si="3"/>
        <v>0</v>
      </c>
      <c r="J124" s="477" t="str">
        <f t="shared" si="4"/>
        <v/>
      </c>
    </row>
    <row r="125" spans="1:10" ht="11.5" customHeight="1">
      <c r="A125" s="472">
        <v>6326</v>
      </c>
      <c r="B125" s="473" t="s">
        <v>1909</v>
      </c>
      <c r="C125" s="2"/>
      <c r="D125" s="2"/>
      <c r="E125" s="2"/>
      <c r="F125" s="474"/>
      <c r="G125" s="475"/>
      <c r="H125" s="475"/>
      <c r="I125" s="476">
        <f t="shared" si="3"/>
        <v>0</v>
      </c>
      <c r="J125" s="477" t="str">
        <f t="shared" si="4"/>
        <v/>
      </c>
    </row>
    <row r="126" spans="1:10" ht="11.5" customHeight="1">
      <c r="A126" s="472">
        <v>6327</v>
      </c>
      <c r="B126" s="473" t="s">
        <v>1250</v>
      </c>
      <c r="C126" s="2"/>
      <c r="D126" s="2"/>
      <c r="E126" s="2"/>
      <c r="F126" s="474"/>
      <c r="G126" s="475"/>
      <c r="H126" s="475"/>
      <c r="I126" s="476">
        <f t="shared" si="3"/>
        <v>0</v>
      </c>
      <c r="J126" s="477" t="str">
        <f t="shared" si="4"/>
        <v/>
      </c>
    </row>
    <row r="127" spans="1:10" ht="11.5" customHeight="1">
      <c r="A127" s="472">
        <v>6328</v>
      </c>
      <c r="B127" s="473" t="s">
        <v>1251</v>
      </c>
      <c r="C127" s="2"/>
      <c r="D127" s="2"/>
      <c r="E127" s="2"/>
      <c r="F127" s="474"/>
      <c r="G127" s="475"/>
      <c r="H127" s="475"/>
      <c r="I127" s="476">
        <f t="shared" si="3"/>
        <v>0</v>
      </c>
      <c r="J127" s="477" t="str">
        <f t="shared" si="4"/>
        <v/>
      </c>
    </row>
    <row r="128" spans="1:10" ht="11.5" customHeight="1">
      <c r="A128" s="472">
        <v>633</v>
      </c>
      <c r="B128" s="473" t="s">
        <v>818</v>
      </c>
      <c r="C128" s="2"/>
      <c r="D128" s="2"/>
      <c r="E128" s="2"/>
      <c r="F128" s="474"/>
      <c r="G128" s="475"/>
      <c r="H128" s="475"/>
      <c r="I128" s="476">
        <f t="shared" si="3"/>
        <v>0</v>
      </c>
      <c r="J128" s="477" t="str">
        <f t="shared" si="4"/>
        <v/>
      </c>
    </row>
    <row r="129" spans="1:10" ht="11.5" customHeight="1">
      <c r="A129" s="472">
        <v>6342</v>
      </c>
      <c r="B129" s="473" t="s">
        <v>1252</v>
      </c>
      <c r="C129" s="2"/>
      <c r="D129" s="2"/>
      <c r="E129" s="2"/>
      <c r="F129" s="474"/>
      <c r="G129" s="475"/>
      <c r="H129" s="475"/>
      <c r="I129" s="476">
        <f t="shared" si="3"/>
        <v>0</v>
      </c>
      <c r="J129" s="477" t="str">
        <f t="shared" si="4"/>
        <v/>
      </c>
    </row>
    <row r="130" spans="1:10" ht="11.5" customHeight="1">
      <c r="A130" s="472">
        <v>6343</v>
      </c>
      <c r="B130" s="473" t="s">
        <v>1253</v>
      </c>
      <c r="C130" s="2"/>
      <c r="D130" s="2"/>
      <c r="E130" s="2"/>
      <c r="F130" s="474"/>
      <c r="G130" s="475"/>
      <c r="H130" s="475"/>
      <c r="I130" s="476">
        <f t="shared" si="3"/>
        <v>0</v>
      </c>
      <c r="J130" s="477" t="str">
        <f t="shared" si="4"/>
        <v/>
      </c>
    </row>
    <row r="131" spans="1:10" ht="11.5" customHeight="1">
      <c r="A131" s="472">
        <v>6344</v>
      </c>
      <c r="B131" s="473" t="s">
        <v>1254</v>
      </c>
      <c r="C131" s="2"/>
      <c r="D131" s="2"/>
      <c r="E131" s="2"/>
      <c r="F131" s="474"/>
      <c r="G131" s="475"/>
      <c r="H131" s="475"/>
      <c r="I131" s="476">
        <f t="shared" si="3"/>
        <v>0</v>
      </c>
      <c r="J131" s="477" t="str">
        <f t="shared" si="4"/>
        <v/>
      </c>
    </row>
    <row r="132" spans="1:10" ht="11.5" customHeight="1">
      <c r="A132" s="472">
        <v>6345</v>
      </c>
      <c r="B132" s="473" t="s">
        <v>1255</v>
      </c>
      <c r="C132" s="2"/>
      <c r="D132" s="2"/>
      <c r="E132" s="2"/>
      <c r="F132" s="474"/>
      <c r="G132" s="475"/>
      <c r="H132" s="475"/>
      <c r="I132" s="476">
        <f t="shared" si="3"/>
        <v>0</v>
      </c>
      <c r="J132" s="477" t="str">
        <f t="shared" si="4"/>
        <v/>
      </c>
    </row>
    <row r="133" spans="1:10" ht="11.5" customHeight="1">
      <c r="A133" s="472">
        <v>6346</v>
      </c>
      <c r="B133" s="473" t="s">
        <v>1256</v>
      </c>
      <c r="C133" s="2"/>
      <c r="D133" s="2"/>
      <c r="E133" s="2"/>
      <c r="F133" s="474"/>
      <c r="G133" s="475"/>
      <c r="H133" s="475"/>
      <c r="I133" s="476">
        <f t="shared" si="3"/>
        <v>0</v>
      </c>
      <c r="J133" s="477" t="str">
        <f t="shared" si="4"/>
        <v/>
      </c>
    </row>
    <row r="134" spans="1:10" ht="11.5" customHeight="1">
      <c r="A134" s="472">
        <v>6351</v>
      </c>
      <c r="B134" s="473" t="s">
        <v>820</v>
      </c>
      <c r="C134" s="2"/>
      <c r="D134" s="2"/>
      <c r="E134" s="2"/>
      <c r="F134" s="474"/>
      <c r="G134" s="475"/>
      <c r="H134" s="475"/>
      <c r="I134" s="476">
        <f t="shared" si="3"/>
        <v>0</v>
      </c>
      <c r="J134" s="477" t="str">
        <f t="shared" si="4"/>
        <v/>
      </c>
    </row>
    <row r="135" spans="1:10" ht="11.5" customHeight="1">
      <c r="A135" s="472">
        <v>6358</v>
      </c>
      <c r="B135" s="473" t="s">
        <v>1257</v>
      </c>
      <c r="C135" s="2"/>
      <c r="D135" s="2"/>
      <c r="E135" s="2"/>
      <c r="F135" s="474"/>
      <c r="G135" s="475"/>
      <c r="H135" s="475"/>
      <c r="I135" s="476">
        <f t="shared" si="3"/>
        <v>0</v>
      </c>
      <c r="J135" s="477" t="str">
        <f t="shared" si="4"/>
        <v/>
      </c>
    </row>
    <row r="136" spans="1:10" ht="11.5" customHeight="1">
      <c r="A136" s="472">
        <v>6371</v>
      </c>
      <c r="B136" s="473" t="s">
        <v>1258</v>
      </c>
      <c r="C136" s="2"/>
      <c r="D136" s="2"/>
      <c r="E136" s="2"/>
      <c r="F136" s="474"/>
      <c r="G136" s="475"/>
      <c r="H136" s="475"/>
      <c r="I136" s="476">
        <f t="shared" si="3"/>
        <v>0</v>
      </c>
      <c r="J136" s="477" t="str">
        <f t="shared" si="4"/>
        <v/>
      </c>
    </row>
    <row r="137" spans="1:10" ht="11.5" customHeight="1">
      <c r="A137" s="472">
        <v>6372</v>
      </c>
      <c r="B137" s="473" t="s">
        <v>1259</v>
      </c>
      <c r="C137" s="2"/>
      <c r="D137" s="2"/>
      <c r="E137" s="2"/>
      <c r="F137" s="474"/>
      <c r="G137" s="475"/>
      <c r="H137" s="475"/>
      <c r="I137" s="476">
        <f t="shared" si="3"/>
        <v>0</v>
      </c>
      <c r="J137" s="477" t="str">
        <f t="shared" si="4"/>
        <v/>
      </c>
    </row>
    <row r="138" spans="1:10" ht="11.5" customHeight="1">
      <c r="A138" s="472">
        <v>6381</v>
      </c>
      <c r="B138" s="473" t="s">
        <v>1260</v>
      </c>
      <c r="C138" s="2"/>
      <c r="D138" s="2"/>
      <c r="E138" s="2"/>
      <c r="F138" s="474"/>
      <c r="G138" s="475"/>
      <c r="H138" s="475"/>
      <c r="I138" s="476">
        <f t="shared" si="3"/>
        <v>0</v>
      </c>
      <c r="J138" s="477" t="str">
        <f t="shared" si="4"/>
        <v/>
      </c>
    </row>
    <row r="139" spans="1:10" ht="11.5" customHeight="1">
      <c r="A139" s="472">
        <v>6382</v>
      </c>
      <c r="B139" s="473" t="s">
        <v>1261</v>
      </c>
      <c r="C139" s="2"/>
      <c r="D139" s="2"/>
      <c r="E139" s="2"/>
      <c r="F139" s="474"/>
      <c r="G139" s="475"/>
      <c r="H139" s="475"/>
      <c r="I139" s="476">
        <f t="shared" si="3"/>
        <v>0</v>
      </c>
      <c r="J139" s="477" t="str">
        <f t="shared" si="4"/>
        <v/>
      </c>
    </row>
    <row r="140" spans="1:10" ht="11.5" customHeight="1">
      <c r="A140" s="472">
        <v>6383</v>
      </c>
      <c r="B140" s="473" t="s">
        <v>1262</v>
      </c>
      <c r="C140" s="2"/>
      <c r="D140" s="2"/>
      <c r="E140" s="2"/>
      <c r="F140" s="474"/>
      <c r="G140" s="475"/>
      <c r="H140" s="475"/>
      <c r="I140" s="476">
        <f t="shared" si="3"/>
        <v>0</v>
      </c>
      <c r="J140" s="477" t="str">
        <f>IF(H140,(G140-H140)/H140,IF(ISBLANK(H140),"",IF(G140,IF( G140 &gt; 0,1,-1),"")))</f>
        <v/>
      </c>
    </row>
    <row r="141" spans="1:10" ht="11.5" customHeight="1">
      <c r="A141" s="472">
        <v>6384</v>
      </c>
      <c r="B141" s="473" t="s">
        <v>1263</v>
      </c>
      <c r="C141" s="2"/>
      <c r="D141" s="2"/>
      <c r="E141" s="2"/>
      <c r="F141" s="474"/>
      <c r="G141" s="475"/>
      <c r="H141" s="475"/>
      <c r="I141" s="476">
        <f t="shared" si="3"/>
        <v>0</v>
      </c>
      <c r="J141" s="477" t="str">
        <f t="shared" si="4"/>
        <v/>
      </c>
    </row>
    <row r="142" spans="1:10" ht="11.5" customHeight="1">
      <c r="A142" s="472">
        <v>6385</v>
      </c>
      <c r="B142" s="473" t="s">
        <v>1264</v>
      </c>
      <c r="C142" s="2"/>
      <c r="D142" s="2"/>
      <c r="E142" s="2"/>
      <c r="F142" s="474"/>
      <c r="G142" s="475"/>
      <c r="H142" s="475"/>
      <c r="I142" s="476">
        <f>G142-H142</f>
        <v>0</v>
      </c>
      <c r="J142" s="477" t="str">
        <f t="shared" si="4"/>
        <v/>
      </c>
    </row>
    <row r="143" spans="1:10" s="575" customFormat="1" ht="11.5" customHeight="1" thickBot="1">
      <c r="A143" s="472">
        <v>6388</v>
      </c>
      <c r="B143" s="473" t="s">
        <v>1910</v>
      </c>
      <c r="C143" s="164"/>
      <c r="D143" s="164"/>
      <c r="E143" s="164"/>
      <c r="F143" s="597"/>
      <c r="G143" s="603"/>
      <c r="H143" s="603"/>
      <c r="I143" s="602">
        <f t="shared" ref="I143" si="5">G143-H143</f>
        <v>0</v>
      </c>
      <c r="J143" s="477" t="str">
        <f t="shared" si="4"/>
        <v/>
      </c>
    </row>
    <row r="144" spans="1:10" ht="11.5" customHeight="1" thickTop="1" thickBot="1">
      <c r="A144" s="478" t="s">
        <v>356</v>
      </c>
      <c r="B144" s="479"/>
      <c r="C144" s="388" t="s">
        <v>357</v>
      </c>
      <c r="D144" s="2"/>
      <c r="E144" s="2"/>
      <c r="F144" s="2"/>
      <c r="G144" s="480">
        <f>SUM(G63:G73,G85:G142)</f>
        <v>0</v>
      </c>
      <c r="H144" s="480">
        <f>SUM(H63:H73,H85:H142)</f>
        <v>0</v>
      </c>
      <c r="I144" s="480">
        <f>G144-H144</f>
        <v>0</v>
      </c>
      <c r="J144" s="520" t="str">
        <f t="shared" si="4"/>
        <v/>
      </c>
    </row>
    <row r="145" spans="1:10" ht="11.5" customHeight="1" thickTop="1">
      <c r="A145" s="472">
        <v>6411</v>
      </c>
      <c r="B145" s="473" t="s">
        <v>1265</v>
      </c>
      <c r="C145" s="2"/>
      <c r="D145" s="265"/>
      <c r="E145" s="265"/>
      <c r="F145" s="265"/>
      <c r="G145" s="494"/>
      <c r="H145" s="494"/>
      <c r="I145" s="495">
        <f>G145-H145</f>
        <v>0</v>
      </c>
      <c r="J145" s="477" t="str">
        <f t="shared" si="4"/>
        <v/>
      </c>
    </row>
    <row r="146" spans="1:10" ht="11.5" customHeight="1">
      <c r="A146" s="472">
        <v>6412</v>
      </c>
      <c r="B146" s="473" t="s">
        <v>1266</v>
      </c>
      <c r="C146" s="2"/>
      <c r="D146" s="265"/>
      <c r="E146" s="265"/>
      <c r="F146" s="265"/>
      <c r="G146" s="496"/>
      <c r="H146" s="497"/>
      <c r="I146" s="495">
        <f t="shared" ref="I146:I147" si="6">G146-H146</f>
        <v>0</v>
      </c>
      <c r="J146" s="477" t="str">
        <f t="shared" si="4"/>
        <v/>
      </c>
    </row>
    <row r="147" spans="1:10" ht="11.5" customHeight="1">
      <c r="A147" s="472">
        <v>6413</v>
      </c>
      <c r="B147" s="473" t="s">
        <v>2031</v>
      </c>
      <c r="C147" s="2"/>
      <c r="D147" s="265"/>
      <c r="E147" s="265"/>
      <c r="F147" s="498"/>
      <c r="G147" s="475"/>
      <c r="H147" s="475"/>
      <c r="I147" s="495">
        <f t="shared" si="6"/>
        <v>0</v>
      </c>
      <c r="J147" s="477" t="str">
        <f t="shared" si="4"/>
        <v/>
      </c>
    </row>
    <row r="148" spans="1:10" ht="11.5" customHeight="1">
      <c r="A148" s="483">
        <v>6414</v>
      </c>
      <c r="B148" s="484" t="s">
        <v>1267</v>
      </c>
      <c r="C148" s="499"/>
      <c r="D148" s="500"/>
      <c r="E148" s="500"/>
      <c r="F148" s="501"/>
      <c r="G148" s="502"/>
      <c r="H148" s="502"/>
      <c r="I148" s="503">
        <f>G148-H148</f>
        <v>0</v>
      </c>
      <c r="J148" s="490" t="str">
        <f t="shared" si="4"/>
        <v/>
      </c>
    </row>
    <row r="149" spans="1:10" ht="14.15" customHeight="1">
      <c r="A149" s="504"/>
      <c r="B149" s="387"/>
      <c r="C149" s="388"/>
      <c r="D149" s="2"/>
      <c r="E149" s="2"/>
      <c r="F149" s="2"/>
      <c r="G149" s="505"/>
      <c r="H149" s="505"/>
      <c r="I149" s="505"/>
      <c r="J149" s="506"/>
    </row>
    <row r="150" spans="1:10" ht="15" customHeight="1">
      <c r="A150" s="2058" t="s">
        <v>1214</v>
      </c>
      <c r="B150" s="2059"/>
      <c r="C150" s="457"/>
      <c r="D150" s="1134" t="s">
        <v>72</v>
      </c>
      <c r="E150" s="1134"/>
      <c r="F150" s="1134"/>
      <c r="G150" s="2054"/>
      <c r="H150" s="2055" t="s">
        <v>2066</v>
      </c>
      <c r="I150" s="2056"/>
      <c r="J150" s="2057"/>
    </row>
    <row r="151" spans="1:10">
      <c r="A151" s="2" t="s">
        <v>26</v>
      </c>
      <c r="B151" s="385"/>
      <c r="C151" s="2044">
        <f>C2</f>
        <v>0</v>
      </c>
      <c r="D151" s="2044"/>
      <c r="E151" s="2044"/>
      <c r="F151" s="2044"/>
      <c r="G151" s="2044"/>
      <c r="H151" s="2044"/>
      <c r="I151" s="2044"/>
      <c r="J151" s="2044"/>
    </row>
    <row r="152" spans="1:10">
      <c r="A152" s="2" t="s">
        <v>27</v>
      </c>
      <c r="B152" s="2044">
        <f>B3</f>
        <v>0</v>
      </c>
      <c r="C152" s="2044"/>
      <c r="D152" s="2044"/>
      <c r="E152" s="2044"/>
      <c r="F152" s="2044"/>
      <c r="G152" s="2044"/>
      <c r="H152" s="2044"/>
      <c r="I152" s="114" t="s">
        <v>28</v>
      </c>
      <c r="J152" s="458">
        <f>J3</f>
        <v>0</v>
      </c>
    </row>
    <row r="153" spans="1:10">
      <c r="A153" s="7" t="s">
        <v>2021</v>
      </c>
      <c r="B153" s="7"/>
      <c r="C153" s="2044">
        <f>C4</f>
        <v>0</v>
      </c>
      <c r="D153" s="2044"/>
      <c r="E153" s="459"/>
      <c r="F153" s="459"/>
      <c r="G153" s="114" t="s">
        <v>30</v>
      </c>
      <c r="H153" s="458">
        <f>H4</f>
        <v>0</v>
      </c>
      <c r="I153" s="114" t="s">
        <v>31</v>
      </c>
      <c r="J153" s="458">
        <f>J4</f>
        <v>0</v>
      </c>
    </row>
    <row r="154" spans="1:10">
      <c r="A154" s="268" t="s">
        <v>2024</v>
      </c>
      <c r="B154" s="7"/>
      <c r="C154" s="2044">
        <f>C5</f>
        <v>0</v>
      </c>
      <c r="D154" s="2044"/>
      <c r="E154" s="2044"/>
      <c r="F154" s="2044"/>
      <c r="G154" s="461"/>
      <c r="H154" s="458"/>
      <c r="I154" s="459"/>
      <c r="J154" s="459"/>
    </row>
    <row r="155" spans="1:10" ht="5.25" customHeight="1">
      <c r="A155" s="7"/>
      <c r="B155" s="7"/>
      <c r="C155" s="244"/>
      <c r="D155" s="244"/>
      <c r="E155" s="61"/>
      <c r="F155" s="245"/>
      <c r="G155" s="61"/>
      <c r="H155" s="244"/>
      <c r="I155" s="48"/>
      <c r="J155" s="48"/>
    </row>
    <row r="156" spans="1:10">
      <c r="A156" s="2045" t="s">
        <v>1164</v>
      </c>
      <c r="B156" s="2046"/>
      <c r="C156" s="2046"/>
      <c r="D156" s="2046"/>
      <c r="E156" s="2046"/>
      <c r="F156" s="2046"/>
      <c r="G156" s="2046"/>
      <c r="H156" s="2046"/>
      <c r="I156" s="2046"/>
      <c r="J156" s="2047"/>
    </row>
    <row r="157" spans="1:10" ht="5.25" customHeight="1">
      <c r="A157" s="48"/>
      <c r="B157" s="48"/>
      <c r="C157" s="48"/>
      <c r="D157" s="48"/>
      <c r="E157" s="48"/>
      <c r="F157" s="48"/>
      <c r="G157" s="48"/>
      <c r="H157" s="48"/>
      <c r="I157" s="48"/>
      <c r="J157" s="48"/>
    </row>
    <row r="158" spans="1:10">
      <c r="A158" s="2048" t="s">
        <v>1166</v>
      </c>
      <c r="B158" s="2049"/>
      <c r="C158" s="2049"/>
      <c r="D158" s="2049"/>
      <c r="E158" s="2049"/>
      <c r="F158" s="2049"/>
      <c r="G158" s="2048" t="s">
        <v>591</v>
      </c>
      <c r="H158" s="2048" t="s">
        <v>1165</v>
      </c>
      <c r="I158" s="2048" t="s">
        <v>1629</v>
      </c>
      <c r="J158" s="2050"/>
    </row>
    <row r="159" spans="1:10">
      <c r="A159" s="2051"/>
      <c r="B159" s="2052"/>
      <c r="C159" s="2052"/>
      <c r="D159" s="2052"/>
      <c r="E159" s="2052"/>
      <c r="F159" s="2052"/>
      <c r="G159" s="2051"/>
      <c r="H159" s="2051"/>
      <c r="I159" s="462" t="s">
        <v>1630</v>
      </c>
      <c r="J159" s="463" t="s">
        <v>1631</v>
      </c>
    </row>
    <row r="160" spans="1:10" ht="13.4" customHeight="1">
      <c r="A160" s="472">
        <v>6415</v>
      </c>
      <c r="B160" s="473" t="s">
        <v>1268</v>
      </c>
      <c r="C160" s="2"/>
      <c r="D160" s="2"/>
      <c r="E160" s="2"/>
      <c r="F160" s="474"/>
      <c r="G160" s="475"/>
      <c r="H160" s="475"/>
      <c r="I160" s="476">
        <f t="shared" ref="I160:I173" si="7">G160-H160</f>
        <v>0</v>
      </c>
      <c r="J160" s="477" t="str">
        <f>IF(H160,(G160-H160)/H160,IF(ISBLANK(H160),"",IF(G160,IF( G160 &gt; 0,1,-1),"")))</f>
        <v/>
      </c>
    </row>
    <row r="161" spans="1:10" ht="13.4" customHeight="1">
      <c r="A161" s="472">
        <v>6418</v>
      </c>
      <c r="B161" s="473" t="s">
        <v>1269</v>
      </c>
      <c r="C161" s="2"/>
      <c r="D161" s="2"/>
      <c r="E161" s="2"/>
      <c r="F161" s="474"/>
      <c r="G161" s="475"/>
      <c r="H161" s="475"/>
      <c r="I161" s="476">
        <f t="shared" si="7"/>
        <v>0</v>
      </c>
      <c r="J161" s="477" t="str">
        <f t="shared" ref="J161:J221" si="8">IF(H161,(G161-H161)/H161,IF(ISBLANK(H161),"",IF(G161,IF( G161 &gt; 0,1,-1),"")))</f>
        <v/>
      </c>
    </row>
    <row r="162" spans="1:10" ht="13.4" customHeight="1">
      <c r="A162" s="472">
        <v>645</v>
      </c>
      <c r="B162" s="473" t="s">
        <v>823</v>
      </c>
      <c r="C162" s="2"/>
      <c r="D162" s="2"/>
      <c r="E162" s="2"/>
      <c r="F162" s="474"/>
      <c r="G162" s="475"/>
      <c r="H162" s="475"/>
      <c r="I162" s="476">
        <f t="shared" si="7"/>
        <v>0</v>
      </c>
      <c r="J162" s="477" t="str">
        <f t="shared" si="8"/>
        <v/>
      </c>
    </row>
    <row r="163" spans="1:10" ht="13.4" customHeight="1">
      <c r="A163" s="472">
        <v>6461</v>
      </c>
      <c r="B163" s="473" t="s">
        <v>1270</v>
      </c>
      <c r="C163" s="2"/>
      <c r="D163" s="2"/>
      <c r="E163" s="2"/>
      <c r="F163" s="474"/>
      <c r="G163" s="475"/>
      <c r="H163" s="475"/>
      <c r="I163" s="476">
        <f t="shared" si="7"/>
        <v>0</v>
      </c>
      <c r="J163" s="477" t="str">
        <f t="shared" si="8"/>
        <v/>
      </c>
    </row>
    <row r="164" spans="1:10" ht="13.4" customHeight="1">
      <c r="A164" s="472">
        <v>6462</v>
      </c>
      <c r="B164" s="473" t="s">
        <v>1271</v>
      </c>
      <c r="C164" s="2"/>
      <c r="D164" s="2"/>
      <c r="E164" s="2"/>
      <c r="F164" s="474"/>
      <c r="G164" s="475"/>
      <c r="H164" s="475"/>
      <c r="I164" s="476">
        <f t="shared" si="7"/>
        <v>0</v>
      </c>
      <c r="J164" s="477" t="str">
        <f t="shared" si="8"/>
        <v/>
      </c>
    </row>
    <row r="165" spans="1:10" ht="13.4" customHeight="1">
      <c r="A165" s="472">
        <v>6463</v>
      </c>
      <c r="B165" s="473" t="s">
        <v>1272</v>
      </c>
      <c r="C165" s="2"/>
      <c r="D165" s="2"/>
      <c r="E165" s="2"/>
      <c r="F165" s="474"/>
      <c r="G165" s="475"/>
      <c r="H165" s="475"/>
      <c r="I165" s="476">
        <f t="shared" si="7"/>
        <v>0</v>
      </c>
      <c r="J165" s="477" t="str">
        <f t="shared" si="8"/>
        <v/>
      </c>
    </row>
    <row r="166" spans="1:10" ht="13.4" customHeight="1">
      <c r="A166" s="472">
        <v>6464</v>
      </c>
      <c r="B166" s="473" t="s">
        <v>1273</v>
      </c>
      <c r="C166" s="2"/>
      <c r="D166" s="2"/>
      <c r="E166" s="2"/>
      <c r="F166" s="474"/>
      <c r="G166" s="475"/>
      <c r="H166" s="475"/>
      <c r="I166" s="476">
        <f t="shared" si="7"/>
        <v>0</v>
      </c>
      <c r="J166" s="477" t="str">
        <f t="shared" si="8"/>
        <v/>
      </c>
    </row>
    <row r="167" spans="1:10" ht="13.4" customHeight="1">
      <c r="A167" s="472">
        <v>6468</v>
      </c>
      <c r="B167" s="473" t="s">
        <v>1911</v>
      </c>
      <c r="C167" s="2"/>
      <c r="D167" s="2"/>
      <c r="E167" s="2"/>
      <c r="F167" s="474"/>
      <c r="G167" s="475"/>
      <c r="H167" s="475"/>
      <c r="I167" s="476">
        <f t="shared" si="7"/>
        <v>0</v>
      </c>
      <c r="J167" s="477" t="str">
        <f t="shared" si="8"/>
        <v/>
      </c>
    </row>
    <row r="168" spans="1:10" ht="13.4" customHeight="1">
      <c r="A168" s="472">
        <v>6471</v>
      </c>
      <c r="B168" s="473" t="s">
        <v>1274</v>
      </c>
      <c r="C168" s="2"/>
      <c r="D168" s="2"/>
      <c r="E168" s="2"/>
      <c r="F168" s="474"/>
      <c r="G168" s="475"/>
      <c r="H168" s="475"/>
      <c r="I168" s="476">
        <f t="shared" si="7"/>
        <v>0</v>
      </c>
      <c r="J168" s="477" t="str">
        <f t="shared" si="8"/>
        <v/>
      </c>
    </row>
    <row r="169" spans="1:10" ht="13.4" customHeight="1">
      <c r="A169" s="472">
        <v>6472</v>
      </c>
      <c r="B169" s="473" t="s">
        <v>1275</v>
      </c>
      <c r="C169" s="2"/>
      <c r="D169" s="2"/>
      <c r="E169" s="2"/>
      <c r="F169" s="474"/>
      <c r="G169" s="475"/>
      <c r="H169" s="475"/>
      <c r="I169" s="476">
        <f t="shared" si="7"/>
        <v>0</v>
      </c>
      <c r="J169" s="477" t="str">
        <f t="shared" si="8"/>
        <v/>
      </c>
    </row>
    <row r="170" spans="1:10" ht="13.4" customHeight="1">
      <c r="A170" s="472">
        <v>6473</v>
      </c>
      <c r="B170" s="473" t="s">
        <v>1276</v>
      </c>
      <c r="C170" s="2"/>
      <c r="D170" s="2"/>
      <c r="E170" s="2"/>
      <c r="F170" s="474"/>
      <c r="G170" s="475"/>
      <c r="H170" s="475"/>
      <c r="I170" s="476">
        <f t="shared" si="7"/>
        <v>0</v>
      </c>
      <c r="J170" s="477" t="str">
        <f t="shared" si="8"/>
        <v/>
      </c>
    </row>
    <row r="171" spans="1:10" ht="13.4" customHeight="1">
      <c r="A171" s="472">
        <v>6474</v>
      </c>
      <c r="B171" s="473" t="s">
        <v>1277</v>
      </c>
      <c r="C171" s="2"/>
      <c r="D171" s="2"/>
      <c r="E171" s="2"/>
      <c r="F171" s="474"/>
      <c r="G171" s="475"/>
      <c r="H171" s="475"/>
      <c r="I171" s="476">
        <f t="shared" si="7"/>
        <v>0</v>
      </c>
      <c r="J171" s="477" t="str">
        <f t="shared" si="8"/>
        <v/>
      </c>
    </row>
    <row r="172" spans="1:10" ht="13.4" customHeight="1">
      <c r="A172" s="472">
        <v>6478</v>
      </c>
      <c r="B172" s="473" t="s">
        <v>1278</v>
      </c>
      <c r="C172" s="2"/>
      <c r="D172" s="2"/>
      <c r="E172" s="2"/>
      <c r="F172" s="474"/>
      <c r="G172" s="475"/>
      <c r="H172" s="475"/>
      <c r="I172" s="476">
        <f t="shared" si="7"/>
        <v>0</v>
      </c>
      <c r="J172" s="477" t="str">
        <f t="shared" si="8"/>
        <v/>
      </c>
    </row>
    <row r="173" spans="1:10" ht="13.4" customHeight="1" thickBot="1">
      <c r="A173" s="472">
        <v>648</v>
      </c>
      <c r="B173" s="507" t="s">
        <v>826</v>
      </c>
      <c r="C173" s="2"/>
      <c r="D173" s="2"/>
      <c r="E173" s="2"/>
      <c r="F173" s="474"/>
      <c r="G173" s="469"/>
      <c r="H173" s="469"/>
      <c r="I173" s="470">
        <f t="shared" si="7"/>
        <v>0</v>
      </c>
      <c r="J173" s="477" t="str">
        <f t="shared" si="8"/>
        <v/>
      </c>
    </row>
    <row r="174" spans="1:10" ht="13.4" customHeight="1" thickTop="1" thickBot="1">
      <c r="A174" s="478" t="s">
        <v>358</v>
      </c>
      <c r="B174" s="508"/>
      <c r="C174" s="388" t="s">
        <v>359</v>
      </c>
      <c r="D174" s="2"/>
      <c r="E174" s="2"/>
      <c r="F174" s="474"/>
      <c r="G174" s="480">
        <f>SUM(G145:G148,G160:G173)</f>
        <v>0</v>
      </c>
      <c r="H174" s="480">
        <f>SUM(H145:H148,H160:H173)</f>
        <v>0</v>
      </c>
      <c r="I174" s="480">
        <f>G174-H174</f>
        <v>0</v>
      </c>
      <c r="J174" s="520" t="str">
        <f t="shared" si="8"/>
        <v/>
      </c>
    </row>
    <row r="175" spans="1:10" ht="13.4" customHeight="1" thickTop="1">
      <c r="A175" s="472">
        <v>6511</v>
      </c>
      <c r="B175" s="473" t="s">
        <v>827</v>
      </c>
      <c r="C175" s="2"/>
      <c r="D175" s="2"/>
      <c r="E175" s="2"/>
      <c r="F175" s="474"/>
      <c r="G175" s="469"/>
      <c r="H175" s="469"/>
      <c r="I175" s="470">
        <f>G175-H175</f>
        <v>0</v>
      </c>
      <c r="J175" s="477" t="str">
        <f t="shared" si="8"/>
        <v/>
      </c>
    </row>
    <row r="176" spans="1:10" ht="13.4" customHeight="1">
      <c r="A176" s="472">
        <v>6515</v>
      </c>
      <c r="B176" s="473" t="s">
        <v>828</v>
      </c>
      <c r="C176" s="2"/>
      <c r="D176" s="2"/>
      <c r="E176" s="2"/>
      <c r="F176" s="474"/>
      <c r="G176" s="475"/>
      <c r="H176" s="475"/>
      <c r="I176" s="476">
        <f t="shared" ref="I176:I221" si="9">G176-H176</f>
        <v>0</v>
      </c>
      <c r="J176" s="477" t="str">
        <f t="shared" si="8"/>
        <v/>
      </c>
    </row>
    <row r="177" spans="1:10" ht="13.4" customHeight="1">
      <c r="A177" s="472">
        <v>6521</v>
      </c>
      <c r="B177" s="473" t="s">
        <v>1279</v>
      </c>
      <c r="C177" s="2"/>
      <c r="D177" s="2"/>
      <c r="E177" s="2"/>
      <c r="F177" s="474"/>
      <c r="G177" s="475"/>
      <c r="H177" s="475"/>
      <c r="I177" s="476">
        <f t="shared" si="9"/>
        <v>0</v>
      </c>
      <c r="J177" s="477" t="str">
        <f t="shared" si="8"/>
        <v/>
      </c>
    </row>
    <row r="178" spans="1:10" ht="13.4" customHeight="1">
      <c r="A178" s="472">
        <v>6525</v>
      </c>
      <c r="B178" s="473" t="s">
        <v>1280</v>
      </c>
      <c r="C178" s="2"/>
      <c r="D178" s="2"/>
      <c r="E178" s="2"/>
      <c r="F178" s="474"/>
      <c r="G178" s="475"/>
      <c r="H178" s="475"/>
      <c r="I178" s="476">
        <f t="shared" si="9"/>
        <v>0</v>
      </c>
      <c r="J178" s="477" t="str">
        <f t="shared" si="8"/>
        <v/>
      </c>
    </row>
    <row r="179" spans="1:10" ht="13.4" customHeight="1">
      <c r="A179" s="472">
        <v>6541</v>
      </c>
      <c r="B179" s="473" t="s">
        <v>1281</v>
      </c>
      <c r="C179" s="2"/>
      <c r="D179" s="2"/>
      <c r="E179" s="2"/>
      <c r="F179" s="474"/>
      <c r="G179" s="475"/>
      <c r="H179" s="475"/>
      <c r="I179" s="476">
        <f t="shared" si="9"/>
        <v>0</v>
      </c>
      <c r="J179" s="477" t="str">
        <f t="shared" si="8"/>
        <v/>
      </c>
    </row>
    <row r="180" spans="1:10" ht="13.4" customHeight="1">
      <c r="A180" s="472">
        <v>6542</v>
      </c>
      <c r="B180" s="473" t="s">
        <v>1282</v>
      </c>
      <c r="C180" s="2"/>
      <c r="D180" s="2"/>
      <c r="E180" s="2"/>
      <c r="F180" s="474"/>
      <c r="G180" s="475"/>
      <c r="H180" s="475"/>
      <c r="I180" s="476">
        <f t="shared" si="9"/>
        <v>0</v>
      </c>
      <c r="J180" s="477" t="str">
        <f t="shared" si="8"/>
        <v/>
      </c>
    </row>
    <row r="181" spans="1:10" ht="13.4" customHeight="1">
      <c r="A181" s="472">
        <v>656</v>
      </c>
      <c r="B181" s="473" t="s">
        <v>1283</v>
      </c>
      <c r="C181" s="2"/>
      <c r="D181" s="2"/>
      <c r="E181" s="2"/>
      <c r="F181" s="474"/>
      <c r="G181" s="475"/>
      <c r="H181" s="475"/>
      <c r="I181" s="476">
        <f t="shared" si="9"/>
        <v>0</v>
      </c>
      <c r="J181" s="477" t="str">
        <f t="shared" si="8"/>
        <v/>
      </c>
    </row>
    <row r="182" spans="1:10" ht="13.4" customHeight="1">
      <c r="A182" s="472">
        <v>657</v>
      </c>
      <c r="B182" s="473" t="s">
        <v>1284</v>
      </c>
      <c r="C182" s="2"/>
      <c r="D182" s="2"/>
      <c r="E182" s="2"/>
      <c r="F182" s="474"/>
      <c r="G182" s="475"/>
      <c r="H182" s="475"/>
      <c r="I182" s="476">
        <f t="shared" si="9"/>
        <v>0</v>
      </c>
      <c r="J182" s="477" t="str">
        <f t="shared" si="8"/>
        <v/>
      </c>
    </row>
    <row r="183" spans="1:10" ht="13.4" customHeight="1">
      <c r="A183" s="472">
        <v>6581</v>
      </c>
      <c r="B183" s="473" t="s">
        <v>831</v>
      </c>
      <c r="C183" s="2"/>
      <c r="D183" s="2"/>
      <c r="E183" s="2"/>
      <c r="F183" s="474"/>
      <c r="G183" s="475"/>
      <c r="H183" s="475"/>
      <c r="I183" s="476">
        <f t="shared" si="9"/>
        <v>0</v>
      </c>
      <c r="J183" s="477" t="str">
        <f t="shared" si="8"/>
        <v/>
      </c>
    </row>
    <row r="184" spans="1:10" ht="13.4" customHeight="1">
      <c r="A184" s="472">
        <v>6582</v>
      </c>
      <c r="B184" s="473" t="s">
        <v>1285</v>
      </c>
      <c r="C184" s="2"/>
      <c r="D184" s="2"/>
      <c r="E184" s="2"/>
      <c r="F184" s="474"/>
      <c r="G184" s="475"/>
      <c r="H184" s="475"/>
      <c r="I184" s="476">
        <f t="shared" si="9"/>
        <v>0</v>
      </c>
      <c r="J184" s="477" t="str">
        <f t="shared" si="8"/>
        <v/>
      </c>
    </row>
    <row r="185" spans="1:10" ht="13.4" customHeight="1">
      <c r="A185" s="472">
        <v>6583</v>
      </c>
      <c r="B185" s="473" t="s">
        <v>1286</v>
      </c>
      <c r="C185" s="2"/>
      <c r="D185" s="2"/>
      <c r="E185" s="2"/>
      <c r="F185" s="474"/>
      <c r="G185" s="475"/>
      <c r="H185" s="475"/>
      <c r="I185" s="476">
        <f t="shared" si="9"/>
        <v>0</v>
      </c>
      <c r="J185" s="477" t="str">
        <f t="shared" si="8"/>
        <v/>
      </c>
    </row>
    <row r="186" spans="1:10" ht="13.4" customHeight="1">
      <c r="A186" s="472">
        <v>6588</v>
      </c>
      <c r="B186" s="473" t="s">
        <v>833</v>
      </c>
      <c r="C186" s="2"/>
      <c r="D186" s="2"/>
      <c r="E186" s="2"/>
      <c r="F186" s="474"/>
      <c r="G186" s="475"/>
      <c r="H186" s="475"/>
      <c r="I186" s="476">
        <f t="shared" si="9"/>
        <v>0</v>
      </c>
      <c r="J186" s="477" t="str">
        <f t="shared" si="8"/>
        <v/>
      </c>
    </row>
    <row r="187" spans="1:10" ht="13.4" customHeight="1">
      <c r="A187" s="472">
        <v>6591</v>
      </c>
      <c r="B187" s="473" t="s">
        <v>1287</v>
      </c>
      <c r="C187" s="2"/>
      <c r="D187" s="2"/>
      <c r="E187" s="2"/>
      <c r="F187" s="474"/>
      <c r="G187" s="475"/>
      <c r="H187" s="475"/>
      <c r="I187" s="476">
        <f t="shared" si="9"/>
        <v>0</v>
      </c>
      <c r="J187" s="477" t="str">
        <f t="shared" si="8"/>
        <v/>
      </c>
    </row>
    <row r="188" spans="1:10" ht="13.4" customHeight="1">
      <c r="A188" s="472">
        <v>6593</v>
      </c>
      <c r="B188" s="473" t="s">
        <v>1288</v>
      </c>
      <c r="C188" s="509"/>
      <c r="D188" s="509"/>
      <c r="E188" s="509"/>
      <c r="F188" s="510"/>
      <c r="G188" s="475"/>
      <c r="H188" s="475"/>
      <c r="I188" s="476">
        <f t="shared" si="9"/>
        <v>0</v>
      </c>
      <c r="J188" s="477" t="str">
        <f t="shared" si="8"/>
        <v/>
      </c>
    </row>
    <row r="189" spans="1:10" ht="13.4" customHeight="1">
      <c r="A189" s="472">
        <v>6594</v>
      </c>
      <c r="B189" s="473" t="s">
        <v>1289</v>
      </c>
      <c r="C189" s="509"/>
      <c r="D189" s="509"/>
      <c r="E189" s="509"/>
      <c r="F189" s="510"/>
      <c r="G189" s="475"/>
      <c r="H189" s="475"/>
      <c r="I189" s="476">
        <f t="shared" si="9"/>
        <v>0</v>
      </c>
      <c r="J189" s="477" t="str">
        <f t="shared" si="8"/>
        <v/>
      </c>
    </row>
    <row r="190" spans="1:10" ht="13.4" customHeight="1" thickBot="1">
      <c r="A190" s="472">
        <v>6598</v>
      </c>
      <c r="B190" s="473" t="s">
        <v>1290</v>
      </c>
      <c r="C190" s="509"/>
      <c r="D190" s="509"/>
      <c r="E190" s="509"/>
      <c r="F190" s="510"/>
      <c r="G190" s="469"/>
      <c r="H190" s="469"/>
      <c r="I190" s="470">
        <f t="shared" si="9"/>
        <v>0</v>
      </c>
      <c r="J190" s="477" t="str">
        <f t="shared" si="8"/>
        <v/>
      </c>
    </row>
    <row r="191" spans="1:10" ht="13.4" customHeight="1" thickTop="1" thickBot="1">
      <c r="A191" s="478" t="s">
        <v>360</v>
      </c>
      <c r="B191" s="479"/>
      <c r="C191" s="388" t="s">
        <v>361</v>
      </c>
      <c r="D191" s="2"/>
      <c r="E191" s="2"/>
      <c r="F191" s="474"/>
      <c r="G191" s="480">
        <f>SUM(G175:G190)</f>
        <v>0</v>
      </c>
      <c r="H191" s="480">
        <f>SUM(H175:H190)</f>
        <v>0</v>
      </c>
      <c r="I191" s="480">
        <f>G191-H191</f>
        <v>0</v>
      </c>
      <c r="J191" s="520" t="str">
        <f t="shared" si="8"/>
        <v/>
      </c>
    </row>
    <row r="192" spans="1:10" ht="13.4" customHeight="1" thickTop="1">
      <c r="A192" s="472">
        <v>6611</v>
      </c>
      <c r="B192" s="473" t="s">
        <v>1291</v>
      </c>
      <c r="C192" s="2"/>
      <c r="D192" s="2"/>
      <c r="E192" s="2"/>
      <c r="F192" s="474"/>
      <c r="G192" s="511"/>
      <c r="H192" s="511"/>
      <c r="I192" s="470">
        <f t="shared" si="9"/>
        <v>0</v>
      </c>
      <c r="J192" s="477" t="str">
        <f t="shared" si="8"/>
        <v/>
      </c>
    </row>
    <row r="193" spans="1:10" ht="13.4" customHeight="1">
      <c r="A193" s="472">
        <v>6612</v>
      </c>
      <c r="B193" s="473" t="s">
        <v>1292</v>
      </c>
      <c r="C193" s="2"/>
      <c r="D193" s="2"/>
      <c r="E193" s="2"/>
      <c r="F193" s="474"/>
      <c r="G193" s="475"/>
      <c r="H193" s="475"/>
      <c r="I193" s="476">
        <f t="shared" si="9"/>
        <v>0</v>
      </c>
      <c r="J193" s="477" t="str">
        <f t="shared" si="8"/>
        <v/>
      </c>
    </row>
    <row r="194" spans="1:10" ht="13.4" customHeight="1">
      <c r="A194" s="472">
        <v>6613</v>
      </c>
      <c r="B194" s="473" t="s">
        <v>1293</v>
      </c>
      <c r="C194" s="2"/>
      <c r="D194" s="2"/>
      <c r="E194" s="2"/>
      <c r="F194" s="474"/>
      <c r="G194" s="475"/>
      <c r="H194" s="475"/>
      <c r="I194" s="476">
        <f t="shared" si="9"/>
        <v>0</v>
      </c>
      <c r="J194" s="477" t="str">
        <f t="shared" si="8"/>
        <v/>
      </c>
    </row>
    <row r="195" spans="1:10" ht="13.4" customHeight="1">
      <c r="A195" s="472">
        <v>6614</v>
      </c>
      <c r="B195" s="473" t="s">
        <v>1294</v>
      </c>
      <c r="C195" s="509"/>
      <c r="D195" s="509"/>
      <c r="E195" s="509"/>
      <c r="F195" s="510"/>
      <c r="G195" s="475"/>
      <c r="H195" s="475"/>
      <c r="I195" s="476">
        <f t="shared" si="9"/>
        <v>0</v>
      </c>
      <c r="J195" s="477" t="str">
        <f t="shared" si="8"/>
        <v/>
      </c>
    </row>
    <row r="196" spans="1:10" ht="13.4" customHeight="1">
      <c r="A196" s="472">
        <v>6615</v>
      </c>
      <c r="B196" s="473" t="s">
        <v>1295</v>
      </c>
      <c r="C196" s="2"/>
      <c r="D196" s="2"/>
      <c r="E196" s="2"/>
      <c r="F196" s="474"/>
      <c r="G196" s="475"/>
      <c r="H196" s="475"/>
      <c r="I196" s="476">
        <f t="shared" si="9"/>
        <v>0</v>
      </c>
      <c r="J196" s="477" t="str">
        <f t="shared" si="8"/>
        <v/>
      </c>
    </row>
    <row r="197" spans="1:10" ht="13.4" customHeight="1">
      <c r="A197" s="472">
        <v>6616</v>
      </c>
      <c r="B197" s="473" t="s">
        <v>1296</v>
      </c>
      <c r="C197" s="2"/>
      <c r="D197" s="2"/>
      <c r="E197" s="2"/>
      <c r="F197" s="474"/>
      <c r="G197" s="475"/>
      <c r="H197" s="475"/>
      <c r="I197" s="476">
        <f t="shared" si="9"/>
        <v>0</v>
      </c>
      <c r="J197" s="477" t="str">
        <f t="shared" si="8"/>
        <v/>
      </c>
    </row>
    <row r="198" spans="1:10" ht="13.4" customHeight="1">
      <c r="A198" s="472">
        <v>6617</v>
      </c>
      <c r="B198" s="473" t="s">
        <v>1297</v>
      </c>
      <c r="C198" s="2"/>
      <c r="D198" s="2"/>
      <c r="E198" s="2"/>
      <c r="F198" s="474"/>
      <c r="G198" s="475"/>
      <c r="H198" s="475"/>
      <c r="I198" s="476">
        <f t="shared" si="9"/>
        <v>0</v>
      </c>
      <c r="J198" s="477" t="str">
        <f t="shared" si="8"/>
        <v/>
      </c>
    </row>
    <row r="199" spans="1:10" ht="13.4" customHeight="1">
      <c r="A199" s="472">
        <v>6618</v>
      </c>
      <c r="B199" s="473" t="s">
        <v>1298</v>
      </c>
      <c r="C199" s="2"/>
      <c r="D199" s="2"/>
      <c r="E199" s="2"/>
      <c r="F199" s="474"/>
      <c r="G199" s="475"/>
      <c r="H199" s="475"/>
      <c r="I199" s="476">
        <f t="shared" si="9"/>
        <v>0</v>
      </c>
      <c r="J199" s="477" t="str">
        <f t="shared" si="8"/>
        <v/>
      </c>
    </row>
    <row r="200" spans="1:10" ht="13.4" customHeight="1">
      <c r="A200" s="472">
        <v>6621</v>
      </c>
      <c r="B200" s="473" t="s">
        <v>1299</v>
      </c>
      <c r="C200" s="2"/>
      <c r="D200" s="2"/>
      <c r="E200" s="2"/>
      <c r="F200" s="474"/>
      <c r="G200" s="475"/>
      <c r="H200" s="475"/>
      <c r="I200" s="476">
        <f t="shared" si="9"/>
        <v>0</v>
      </c>
      <c r="J200" s="477" t="str">
        <f t="shared" si="8"/>
        <v/>
      </c>
    </row>
    <row r="201" spans="1:10" ht="13.4" customHeight="1">
      <c r="A201" s="472">
        <v>6622</v>
      </c>
      <c r="B201" s="473" t="s">
        <v>1300</v>
      </c>
      <c r="C201" s="2"/>
      <c r="D201" s="2"/>
      <c r="E201" s="2"/>
      <c r="F201" s="474"/>
      <c r="G201" s="475"/>
      <c r="H201" s="475"/>
      <c r="I201" s="476">
        <f t="shared" si="9"/>
        <v>0</v>
      </c>
      <c r="J201" s="477" t="str">
        <f t="shared" si="8"/>
        <v/>
      </c>
    </row>
    <row r="202" spans="1:10" ht="13.4" customHeight="1">
      <c r="A202" s="472">
        <v>6623</v>
      </c>
      <c r="B202" s="473" t="s">
        <v>1301</v>
      </c>
      <c r="C202" s="2"/>
      <c r="D202" s="2"/>
      <c r="E202" s="2"/>
      <c r="F202" s="474"/>
      <c r="G202" s="475"/>
      <c r="H202" s="475"/>
      <c r="I202" s="476">
        <f t="shared" si="9"/>
        <v>0</v>
      </c>
      <c r="J202" s="477" t="str">
        <f t="shared" si="8"/>
        <v/>
      </c>
    </row>
    <row r="203" spans="1:10" ht="13.4" customHeight="1">
      <c r="A203" s="472">
        <v>6624</v>
      </c>
      <c r="B203" s="473" t="s">
        <v>1302</v>
      </c>
      <c r="C203" s="509"/>
      <c r="D203" s="509"/>
      <c r="E203" s="509"/>
      <c r="F203" s="510"/>
      <c r="G203" s="475"/>
      <c r="H203" s="475"/>
      <c r="I203" s="476">
        <f t="shared" si="9"/>
        <v>0</v>
      </c>
      <c r="J203" s="477" t="str">
        <f t="shared" si="8"/>
        <v/>
      </c>
    </row>
    <row r="204" spans="1:10" ht="13.4" customHeight="1">
      <c r="A204" s="472">
        <v>6625</v>
      </c>
      <c r="B204" s="473" t="s">
        <v>1303</v>
      </c>
      <c r="C204" s="2"/>
      <c r="D204" s="2"/>
      <c r="E204" s="2"/>
      <c r="F204" s="474"/>
      <c r="G204" s="475"/>
      <c r="H204" s="475"/>
      <c r="I204" s="476">
        <f t="shared" si="9"/>
        <v>0</v>
      </c>
      <c r="J204" s="477" t="str">
        <f t="shared" si="8"/>
        <v/>
      </c>
    </row>
    <row r="205" spans="1:10" ht="13.4" customHeight="1">
      <c r="A205" s="472">
        <v>6626</v>
      </c>
      <c r="B205" s="473" t="s">
        <v>1304</v>
      </c>
      <c r="C205" s="2"/>
      <c r="D205" s="2"/>
      <c r="E205" s="2"/>
      <c r="F205" s="474"/>
      <c r="G205" s="475"/>
      <c r="H205" s="475"/>
      <c r="I205" s="476">
        <f t="shared" si="9"/>
        <v>0</v>
      </c>
      <c r="J205" s="477" t="str">
        <f t="shared" si="8"/>
        <v/>
      </c>
    </row>
    <row r="206" spans="1:10" ht="13.4" customHeight="1">
      <c r="A206" s="472">
        <v>6627</v>
      </c>
      <c r="B206" s="473" t="s">
        <v>1305</v>
      </c>
      <c r="C206" s="2"/>
      <c r="D206" s="2"/>
      <c r="E206" s="2"/>
      <c r="F206" s="474"/>
      <c r="G206" s="475"/>
      <c r="H206" s="475"/>
      <c r="I206" s="476">
        <f t="shared" si="9"/>
        <v>0</v>
      </c>
      <c r="J206" s="477" t="str">
        <f t="shared" si="8"/>
        <v/>
      </c>
    </row>
    <row r="207" spans="1:10" ht="13.4" customHeight="1">
      <c r="A207" s="472">
        <v>6628</v>
      </c>
      <c r="B207" s="473" t="s">
        <v>1306</v>
      </c>
      <c r="C207" s="2"/>
      <c r="D207" s="2"/>
      <c r="E207" s="2"/>
      <c r="F207" s="474"/>
      <c r="G207" s="475"/>
      <c r="H207" s="475"/>
      <c r="I207" s="476">
        <f t="shared" si="9"/>
        <v>0</v>
      </c>
      <c r="J207" s="477" t="str">
        <f t="shared" si="8"/>
        <v/>
      </c>
    </row>
    <row r="208" spans="1:10" ht="13.4" customHeight="1">
      <c r="A208" s="472">
        <v>6631</v>
      </c>
      <c r="B208" s="473" t="s">
        <v>1307</v>
      </c>
      <c r="C208" s="2"/>
      <c r="D208" s="2"/>
      <c r="E208" s="2"/>
      <c r="F208" s="474"/>
      <c r="G208" s="475"/>
      <c r="H208" s="475"/>
      <c r="I208" s="476">
        <f t="shared" si="9"/>
        <v>0</v>
      </c>
      <c r="J208" s="477" t="str">
        <f t="shared" si="8"/>
        <v/>
      </c>
    </row>
    <row r="209" spans="1:10" ht="13.4" customHeight="1">
      <c r="A209" s="472">
        <v>6632</v>
      </c>
      <c r="B209" s="473" t="s">
        <v>1308</v>
      </c>
      <c r="C209" s="2"/>
      <c r="D209" s="2"/>
      <c r="E209" s="2"/>
      <c r="F209" s="474"/>
      <c r="G209" s="475"/>
      <c r="H209" s="475"/>
      <c r="I209" s="476">
        <f t="shared" si="9"/>
        <v>0</v>
      </c>
      <c r="J209" s="477" t="str">
        <f t="shared" si="8"/>
        <v/>
      </c>
    </row>
    <row r="210" spans="1:10" ht="13.4" customHeight="1">
      <c r="A210" s="472">
        <v>6633</v>
      </c>
      <c r="B210" s="473" t="s">
        <v>1309</v>
      </c>
      <c r="C210" s="2"/>
      <c r="D210" s="2"/>
      <c r="E210" s="2"/>
      <c r="F210" s="474"/>
      <c r="G210" s="475"/>
      <c r="H210" s="475"/>
      <c r="I210" s="476">
        <f t="shared" si="9"/>
        <v>0</v>
      </c>
      <c r="J210" s="477" t="str">
        <f t="shared" si="8"/>
        <v/>
      </c>
    </row>
    <row r="211" spans="1:10" ht="13.4" customHeight="1">
      <c r="A211" s="472">
        <v>6634</v>
      </c>
      <c r="B211" s="473" t="s">
        <v>1310</v>
      </c>
      <c r="C211" s="2"/>
      <c r="D211" s="2"/>
      <c r="E211" s="2"/>
      <c r="F211" s="474"/>
      <c r="G211" s="475"/>
      <c r="H211" s="475"/>
      <c r="I211" s="476">
        <f t="shared" si="9"/>
        <v>0</v>
      </c>
      <c r="J211" s="477" t="str">
        <f t="shared" si="8"/>
        <v/>
      </c>
    </row>
    <row r="212" spans="1:10" ht="13.4" customHeight="1">
      <c r="A212" s="472">
        <v>6638</v>
      </c>
      <c r="B212" s="473" t="s">
        <v>1311</v>
      </c>
      <c r="C212" s="2"/>
      <c r="D212" s="2"/>
      <c r="E212" s="2"/>
      <c r="F212" s="474"/>
      <c r="G212" s="475"/>
      <c r="H212" s="475"/>
      <c r="I212" s="476">
        <f t="shared" si="9"/>
        <v>0</v>
      </c>
      <c r="J212" s="477" t="str">
        <f t="shared" si="8"/>
        <v/>
      </c>
    </row>
    <row r="213" spans="1:10" ht="13.4" customHeight="1">
      <c r="A213" s="472">
        <v>6641</v>
      </c>
      <c r="B213" s="473" t="s">
        <v>1312</v>
      </c>
      <c r="C213" s="2"/>
      <c r="D213" s="2"/>
      <c r="E213" s="2"/>
      <c r="F213" s="474"/>
      <c r="G213" s="469"/>
      <c r="H213" s="469"/>
      <c r="I213" s="476">
        <f t="shared" si="9"/>
        <v>0</v>
      </c>
      <c r="J213" s="477" t="str">
        <f t="shared" si="8"/>
        <v/>
      </c>
    </row>
    <row r="214" spans="1:10" ht="13.4" customHeight="1">
      <c r="A214" s="472">
        <v>6642</v>
      </c>
      <c r="B214" s="473" t="s">
        <v>1313</v>
      </c>
      <c r="C214" s="2"/>
      <c r="D214" s="2"/>
      <c r="E214" s="2"/>
      <c r="F214" s="474"/>
      <c r="G214" s="475"/>
      <c r="H214" s="475"/>
      <c r="I214" s="476">
        <f t="shared" si="9"/>
        <v>0</v>
      </c>
      <c r="J214" s="477" t="str">
        <f t="shared" si="8"/>
        <v/>
      </c>
    </row>
    <row r="215" spans="1:10" ht="13.4" customHeight="1">
      <c r="A215" s="472">
        <v>6661</v>
      </c>
      <c r="B215" s="473" t="s">
        <v>1314</v>
      </c>
      <c r="C215" s="2"/>
      <c r="D215" s="2"/>
      <c r="E215" s="2"/>
      <c r="F215" s="474"/>
      <c r="G215" s="475"/>
      <c r="H215" s="475"/>
      <c r="I215" s="476">
        <f t="shared" si="9"/>
        <v>0</v>
      </c>
      <c r="J215" s="477" t="str">
        <f t="shared" si="8"/>
        <v/>
      </c>
    </row>
    <row r="216" spans="1:10" ht="13.4" customHeight="1">
      <c r="A216" s="472">
        <v>6662</v>
      </c>
      <c r="B216" s="473" t="s">
        <v>1315</v>
      </c>
      <c r="C216" s="2"/>
      <c r="D216" s="2"/>
      <c r="E216" s="2"/>
      <c r="F216" s="474"/>
      <c r="G216" s="475"/>
      <c r="H216" s="475"/>
      <c r="I216" s="476">
        <f t="shared" si="9"/>
        <v>0</v>
      </c>
      <c r="J216" s="477" t="str">
        <f t="shared" si="8"/>
        <v/>
      </c>
    </row>
    <row r="217" spans="1:10" ht="13.4" customHeight="1">
      <c r="A217" s="472">
        <v>6671</v>
      </c>
      <c r="B217" s="473" t="s">
        <v>1316</v>
      </c>
      <c r="C217" s="2"/>
      <c r="D217" s="2"/>
      <c r="E217" s="2"/>
      <c r="F217" s="474"/>
      <c r="G217" s="475"/>
      <c r="H217" s="475"/>
      <c r="I217" s="476">
        <f t="shared" si="9"/>
        <v>0</v>
      </c>
      <c r="J217" s="477" t="str">
        <f t="shared" si="8"/>
        <v/>
      </c>
    </row>
    <row r="218" spans="1:10" ht="13.4" customHeight="1">
      <c r="A218" s="472">
        <v>6672</v>
      </c>
      <c r="B218" s="473" t="s">
        <v>1317</v>
      </c>
      <c r="C218" s="2"/>
      <c r="D218" s="2"/>
      <c r="E218" s="2"/>
      <c r="F218" s="498"/>
      <c r="G218" s="475"/>
      <c r="H218" s="475"/>
      <c r="I218" s="476">
        <f t="shared" si="9"/>
        <v>0</v>
      </c>
      <c r="J218" s="477" t="str">
        <f t="shared" si="8"/>
        <v/>
      </c>
    </row>
    <row r="219" spans="1:10" ht="13.4" customHeight="1">
      <c r="A219" s="472">
        <v>6681</v>
      </c>
      <c r="B219" s="473" t="s">
        <v>1318</v>
      </c>
      <c r="C219" s="2"/>
      <c r="D219" s="2"/>
      <c r="E219" s="2"/>
      <c r="F219" s="498"/>
      <c r="G219" s="475"/>
      <c r="H219" s="475"/>
      <c r="I219" s="476">
        <f t="shared" si="9"/>
        <v>0</v>
      </c>
      <c r="J219" s="477" t="str">
        <f t="shared" si="8"/>
        <v/>
      </c>
    </row>
    <row r="220" spans="1:10" ht="13.4" customHeight="1">
      <c r="A220" s="472">
        <v>6682</v>
      </c>
      <c r="B220" s="473" t="s">
        <v>1319</v>
      </c>
      <c r="C220" s="2"/>
      <c r="D220" s="2"/>
      <c r="E220" s="2"/>
      <c r="F220" s="498"/>
      <c r="G220" s="475"/>
      <c r="H220" s="475"/>
      <c r="I220" s="476">
        <f t="shared" si="9"/>
        <v>0</v>
      </c>
      <c r="J220" s="477" t="str">
        <f t="shared" si="8"/>
        <v/>
      </c>
    </row>
    <row r="221" spans="1:10" ht="13.4" customHeight="1">
      <c r="A221" s="483">
        <v>6683</v>
      </c>
      <c r="B221" s="484" t="s">
        <v>1320</v>
      </c>
      <c r="C221" s="499"/>
      <c r="D221" s="499"/>
      <c r="E221" s="499"/>
      <c r="F221" s="501"/>
      <c r="G221" s="512"/>
      <c r="H221" s="502"/>
      <c r="I221" s="503">
        <f t="shared" si="9"/>
        <v>0</v>
      </c>
      <c r="J221" s="490" t="str">
        <f t="shared" si="8"/>
        <v/>
      </c>
    </row>
    <row r="222" spans="1:10" ht="14.15" customHeight="1">
      <c r="A222" s="491"/>
      <c r="B222" s="386"/>
      <c r="C222" s="2"/>
      <c r="D222" s="2"/>
      <c r="E222" s="2"/>
      <c r="F222" s="2"/>
      <c r="G222" s="492"/>
      <c r="H222" s="492"/>
      <c r="I222" s="492"/>
      <c r="J222" s="493"/>
    </row>
    <row r="223" spans="1:10" ht="15" customHeight="1">
      <c r="A223" s="1899" t="s">
        <v>1214</v>
      </c>
      <c r="B223" s="1908"/>
      <c r="C223" s="457"/>
      <c r="D223" s="1134" t="s">
        <v>1714</v>
      </c>
      <c r="E223" s="1134"/>
      <c r="F223" s="1134"/>
      <c r="G223" s="2054"/>
      <c r="H223" s="2055" t="s">
        <v>2066</v>
      </c>
      <c r="I223" s="2056"/>
      <c r="J223" s="2057"/>
    </row>
    <row r="224" spans="1:10">
      <c r="A224" s="2" t="s">
        <v>26</v>
      </c>
      <c r="B224" s="385"/>
      <c r="C224" s="2044">
        <f>C2</f>
        <v>0</v>
      </c>
      <c r="D224" s="2044"/>
      <c r="E224" s="2044"/>
      <c r="F224" s="2044"/>
      <c r="G224" s="2044"/>
      <c r="H224" s="2044"/>
      <c r="I224" s="2044"/>
      <c r="J224" s="2044"/>
    </row>
    <row r="225" spans="1:10">
      <c r="A225" s="2" t="s">
        <v>27</v>
      </c>
      <c r="B225" s="2044">
        <f>B3</f>
        <v>0</v>
      </c>
      <c r="C225" s="2044"/>
      <c r="D225" s="2044"/>
      <c r="E225" s="2044"/>
      <c r="F225" s="2044"/>
      <c r="G225" s="2044"/>
      <c r="H225" s="2044"/>
      <c r="I225" s="114" t="s">
        <v>28</v>
      </c>
      <c r="J225" s="458">
        <f>J3</f>
        <v>0</v>
      </c>
    </row>
    <row r="226" spans="1:10">
      <c r="A226" s="7" t="s">
        <v>2021</v>
      </c>
      <c r="B226" s="2"/>
      <c r="C226" s="2044">
        <f>C4</f>
        <v>0</v>
      </c>
      <c r="D226" s="2044"/>
      <c r="E226" s="459"/>
      <c r="F226" s="459"/>
      <c r="G226" s="114" t="s">
        <v>30</v>
      </c>
      <c r="H226" s="458">
        <f>H4</f>
        <v>0</v>
      </c>
      <c r="I226" s="114" t="s">
        <v>31</v>
      </c>
      <c r="J226" s="458">
        <f>J4</f>
        <v>0</v>
      </c>
    </row>
    <row r="227" spans="1:10">
      <c r="A227" s="268" t="s">
        <v>2024</v>
      </c>
      <c r="B227" s="2"/>
      <c r="C227" s="2044">
        <f>C5</f>
        <v>0</v>
      </c>
      <c r="D227" s="2044"/>
      <c r="E227" s="2044"/>
      <c r="F227" s="2044"/>
      <c r="G227" s="461"/>
      <c r="H227" s="458"/>
      <c r="I227" s="459"/>
      <c r="J227" s="459"/>
    </row>
    <row r="228" spans="1:10" ht="5.25" customHeight="1">
      <c r="A228" s="7"/>
      <c r="B228" s="7"/>
      <c r="C228" s="244"/>
      <c r="D228" s="244"/>
      <c r="E228" s="61"/>
      <c r="F228" s="245"/>
      <c r="G228" s="61"/>
      <c r="H228" s="244"/>
      <c r="I228" s="48"/>
      <c r="J228" s="48"/>
    </row>
    <row r="229" spans="1:10">
      <c r="A229" s="2045" t="s">
        <v>1164</v>
      </c>
      <c r="B229" s="2046"/>
      <c r="C229" s="2046"/>
      <c r="D229" s="2046"/>
      <c r="E229" s="2046"/>
      <c r="F229" s="2046"/>
      <c r="G229" s="2046"/>
      <c r="H229" s="2046"/>
      <c r="I229" s="2046"/>
      <c r="J229" s="2047"/>
    </row>
    <row r="230" spans="1:10" ht="5.25" customHeight="1">
      <c r="A230" s="48"/>
      <c r="B230" s="48"/>
      <c r="C230" s="48"/>
      <c r="D230" s="48"/>
      <c r="E230" s="48"/>
      <c r="F230" s="48"/>
      <c r="G230" s="48"/>
      <c r="H230" s="48"/>
      <c r="I230" s="48"/>
      <c r="J230" s="48"/>
    </row>
    <row r="231" spans="1:10">
      <c r="A231" s="2048" t="s">
        <v>1166</v>
      </c>
      <c r="B231" s="2049"/>
      <c r="C231" s="2049"/>
      <c r="D231" s="2049"/>
      <c r="E231" s="2049"/>
      <c r="F231" s="2050"/>
      <c r="G231" s="2049" t="s">
        <v>591</v>
      </c>
      <c r="H231" s="2048" t="s">
        <v>1165</v>
      </c>
      <c r="I231" s="2048" t="s">
        <v>1629</v>
      </c>
      <c r="J231" s="2050"/>
    </row>
    <row r="232" spans="1:10">
      <c r="A232" s="2051"/>
      <c r="B232" s="2052"/>
      <c r="C232" s="2052"/>
      <c r="D232" s="2052"/>
      <c r="E232" s="2052"/>
      <c r="F232" s="2053"/>
      <c r="G232" s="2052"/>
      <c r="H232" s="2051"/>
      <c r="I232" s="462" t="s">
        <v>1630</v>
      </c>
      <c r="J232" s="463" t="s">
        <v>1631</v>
      </c>
    </row>
    <row r="233" spans="1:10" ht="14.15" customHeight="1">
      <c r="A233" s="472">
        <v>6684</v>
      </c>
      <c r="B233" s="473" t="s">
        <v>1321</v>
      </c>
      <c r="C233" s="2"/>
      <c r="D233" s="2"/>
      <c r="E233" s="2"/>
      <c r="F233" s="474"/>
      <c r="G233" s="475"/>
      <c r="H233" s="475"/>
      <c r="I233" s="476">
        <f>G233-H233</f>
        <v>0</v>
      </c>
      <c r="J233" s="477" t="str">
        <f>IF(H233,(G233-H233)/H233,IF(ISBLANK(H233),"",IF(G233,IF( G233 &gt; 0,1,-1),"")))</f>
        <v/>
      </c>
    </row>
    <row r="234" spans="1:10" ht="14.15" customHeight="1">
      <c r="A234" s="472">
        <v>6685</v>
      </c>
      <c r="B234" s="473" t="s">
        <v>1322</v>
      </c>
      <c r="C234" s="2"/>
      <c r="D234" s="2"/>
      <c r="E234" s="2"/>
      <c r="F234" s="474"/>
      <c r="G234" s="475"/>
      <c r="H234" s="475"/>
      <c r="I234" s="476">
        <f t="shared" ref="I234:I236" si="10">G234-H234</f>
        <v>0</v>
      </c>
      <c r="J234" s="477" t="str">
        <f t="shared" ref="J234:J237" si="11">IF(H234,(G234-H234)/H234,IF(ISBLANK(H234),"",IF(G234,IF( G234 &gt; 0,1,-1),"")))</f>
        <v/>
      </c>
    </row>
    <row r="235" spans="1:10" ht="14.15" customHeight="1">
      <c r="A235" s="472">
        <v>6686</v>
      </c>
      <c r="B235" s="473" t="s">
        <v>1323</v>
      </c>
      <c r="C235" s="2"/>
      <c r="D235" s="2"/>
      <c r="E235" s="2"/>
      <c r="F235" s="474"/>
      <c r="G235" s="475"/>
      <c r="H235" s="475"/>
      <c r="I235" s="476">
        <f t="shared" si="10"/>
        <v>0</v>
      </c>
      <c r="J235" s="477" t="str">
        <f t="shared" si="11"/>
        <v/>
      </c>
    </row>
    <row r="236" spans="1:10" ht="14.15" customHeight="1">
      <c r="A236" s="472">
        <v>6687</v>
      </c>
      <c r="B236" s="473" t="s">
        <v>1324</v>
      </c>
      <c r="C236" s="2"/>
      <c r="D236" s="2"/>
      <c r="E236" s="2"/>
      <c r="F236" s="474"/>
      <c r="G236" s="475"/>
      <c r="H236" s="475"/>
      <c r="I236" s="476">
        <f t="shared" si="10"/>
        <v>0</v>
      </c>
      <c r="J236" s="477" t="str">
        <f t="shared" si="11"/>
        <v/>
      </c>
    </row>
    <row r="237" spans="1:10" ht="14.15" customHeight="1" thickBot="1">
      <c r="A237" s="472">
        <v>6688</v>
      </c>
      <c r="B237" s="473" t="s">
        <v>1325</v>
      </c>
      <c r="C237" s="2"/>
      <c r="D237" s="2"/>
      <c r="E237" s="2"/>
      <c r="F237" s="474"/>
      <c r="G237" s="469"/>
      <c r="H237" s="469"/>
      <c r="I237" s="470">
        <f>G237-H237</f>
        <v>0</v>
      </c>
      <c r="J237" s="477" t="str">
        <f t="shared" si="11"/>
        <v/>
      </c>
    </row>
    <row r="238" spans="1:10" ht="14.15" customHeight="1" thickTop="1" thickBot="1">
      <c r="A238" s="478" t="s">
        <v>363</v>
      </c>
      <c r="B238" s="479"/>
      <c r="C238" s="388" t="s">
        <v>364</v>
      </c>
      <c r="D238" s="2"/>
      <c r="E238" s="2"/>
      <c r="F238" s="474"/>
      <c r="G238" s="480">
        <f>SUM(G192:G221,G233:G237)</f>
        <v>0</v>
      </c>
      <c r="H238" s="480">
        <f>SUM(H192:H221,H233:H237)</f>
        <v>0</v>
      </c>
      <c r="I238" s="480">
        <f>G238-H238</f>
        <v>0</v>
      </c>
      <c r="J238" s="520" t="str">
        <f>IF(H238,(G238-H238)/H238,IF(ISBLANK(H238),"",IF(G238,IF( G238 &gt; 0,1,-1),"")))</f>
        <v/>
      </c>
    </row>
    <row r="239" spans="1:10" ht="14.15" customHeight="1" thickTop="1">
      <c r="A239" s="472">
        <v>6711</v>
      </c>
      <c r="B239" s="473" t="s">
        <v>1326</v>
      </c>
      <c r="C239" s="2"/>
      <c r="D239" s="2"/>
      <c r="E239" s="2"/>
      <c r="F239" s="474"/>
      <c r="G239" s="511"/>
      <c r="H239" s="511"/>
      <c r="I239" s="476">
        <f t="shared" ref="I239:I271" si="12">G239-H239</f>
        <v>0</v>
      </c>
      <c r="J239" s="477" t="str">
        <f>IF(H239,(G239-H239)/H239,IF(ISBLANK(H239),"",IF(G239,IF( G239 &gt; 0,1,-1),"")))</f>
        <v/>
      </c>
    </row>
    <row r="240" spans="1:10" ht="14.15" customHeight="1">
      <c r="A240" s="472">
        <v>6712</v>
      </c>
      <c r="B240" s="473" t="s">
        <v>1327</v>
      </c>
      <c r="C240" s="2"/>
      <c r="D240" s="2"/>
      <c r="E240" s="2"/>
      <c r="F240" s="474"/>
      <c r="G240" s="475"/>
      <c r="H240" s="475"/>
      <c r="I240" s="476">
        <f t="shared" si="12"/>
        <v>0</v>
      </c>
      <c r="J240" s="477" t="str">
        <f t="shared" ref="J240:J273" si="13">IF(H240,(G240-H240)/H240,IF(ISBLANK(H240),"",IF(G240,IF( G240 &gt; 0,1,-1),"")))</f>
        <v/>
      </c>
    </row>
    <row r="241" spans="1:10" ht="14.15" customHeight="1">
      <c r="A241" s="472">
        <v>6713</v>
      </c>
      <c r="B241" s="473" t="s">
        <v>1328</v>
      </c>
      <c r="C241" s="2"/>
      <c r="D241" s="2"/>
      <c r="E241" s="2"/>
      <c r="F241" s="474"/>
      <c r="G241" s="475"/>
      <c r="H241" s="475"/>
      <c r="I241" s="476">
        <f t="shared" si="12"/>
        <v>0</v>
      </c>
      <c r="J241" s="477" t="str">
        <f t="shared" si="13"/>
        <v/>
      </c>
    </row>
    <row r="242" spans="1:10" ht="14.15" customHeight="1">
      <c r="A242" s="472">
        <v>6714</v>
      </c>
      <c r="B242" s="473" t="s">
        <v>1329</v>
      </c>
      <c r="C242" s="2"/>
      <c r="D242" s="2"/>
      <c r="E242" s="2"/>
      <c r="F242" s="474"/>
      <c r="G242" s="475"/>
      <c r="H242" s="475"/>
      <c r="I242" s="476">
        <f t="shared" si="12"/>
        <v>0</v>
      </c>
      <c r="J242" s="477" t="str">
        <f t="shared" si="13"/>
        <v/>
      </c>
    </row>
    <row r="243" spans="1:10" ht="14.15" customHeight="1">
      <c r="A243" s="472">
        <v>6721</v>
      </c>
      <c r="B243" s="473" t="s">
        <v>1330</v>
      </c>
      <c r="C243" s="2"/>
      <c r="D243" s="2"/>
      <c r="E243" s="2"/>
      <c r="F243" s="474"/>
      <c r="G243" s="475"/>
      <c r="H243" s="475"/>
      <c r="I243" s="476">
        <f t="shared" si="12"/>
        <v>0</v>
      </c>
      <c r="J243" s="477" t="str">
        <f t="shared" si="13"/>
        <v/>
      </c>
    </row>
    <row r="244" spans="1:10" ht="14.15" customHeight="1">
      <c r="A244" s="472">
        <v>6722</v>
      </c>
      <c r="B244" s="473" t="s">
        <v>1331</v>
      </c>
      <c r="C244" s="2"/>
      <c r="D244" s="2"/>
      <c r="E244" s="2"/>
      <c r="F244" s="474"/>
      <c r="G244" s="475"/>
      <c r="H244" s="475"/>
      <c r="I244" s="476">
        <f t="shared" si="12"/>
        <v>0</v>
      </c>
      <c r="J244" s="477" t="str">
        <f t="shared" si="13"/>
        <v/>
      </c>
    </row>
    <row r="245" spans="1:10" ht="14.15" customHeight="1">
      <c r="A245" s="472">
        <v>6723</v>
      </c>
      <c r="B245" s="473" t="s">
        <v>1332</v>
      </c>
      <c r="C245" s="2"/>
      <c r="D245" s="2"/>
      <c r="E245" s="2"/>
      <c r="F245" s="474"/>
      <c r="G245" s="475"/>
      <c r="H245" s="475"/>
      <c r="I245" s="476">
        <f t="shared" si="12"/>
        <v>0</v>
      </c>
      <c r="J245" s="477" t="str">
        <f t="shared" si="13"/>
        <v/>
      </c>
    </row>
    <row r="246" spans="1:10" ht="14.15" customHeight="1">
      <c r="A246" s="472">
        <v>6728</v>
      </c>
      <c r="B246" s="473" t="s">
        <v>1333</v>
      </c>
      <c r="C246" s="2"/>
      <c r="D246" s="2"/>
      <c r="E246" s="2"/>
      <c r="F246" s="474"/>
      <c r="G246" s="475"/>
      <c r="H246" s="475"/>
      <c r="I246" s="476">
        <f t="shared" si="12"/>
        <v>0</v>
      </c>
      <c r="J246" s="477" t="str">
        <f t="shared" si="13"/>
        <v/>
      </c>
    </row>
    <row r="247" spans="1:10" ht="14.15" customHeight="1">
      <c r="A247" s="472">
        <v>673</v>
      </c>
      <c r="B247" s="473" t="s">
        <v>889</v>
      </c>
      <c r="C247" s="2"/>
      <c r="D247" s="2"/>
      <c r="E247" s="2"/>
      <c r="F247" s="474"/>
      <c r="G247" s="475"/>
      <c r="H247" s="475"/>
      <c r="I247" s="476">
        <f t="shared" si="12"/>
        <v>0</v>
      </c>
      <c r="J247" s="477" t="str">
        <f t="shared" si="13"/>
        <v/>
      </c>
    </row>
    <row r="248" spans="1:10" ht="14.15" customHeight="1">
      <c r="A248" s="472">
        <v>6741</v>
      </c>
      <c r="B248" s="473" t="s">
        <v>1334</v>
      </c>
      <c r="C248" s="2"/>
      <c r="D248" s="2"/>
      <c r="E248" s="2"/>
      <c r="F248" s="474"/>
      <c r="G248" s="475"/>
      <c r="H248" s="475"/>
      <c r="I248" s="476">
        <f t="shared" si="12"/>
        <v>0</v>
      </c>
      <c r="J248" s="477" t="str">
        <f t="shared" si="13"/>
        <v/>
      </c>
    </row>
    <row r="249" spans="1:10" ht="14.15" customHeight="1">
      <c r="A249" s="472">
        <v>6742</v>
      </c>
      <c r="B249" s="473" t="s">
        <v>1335</v>
      </c>
      <c r="C249" s="2"/>
      <c r="D249" s="2"/>
      <c r="E249" s="2"/>
      <c r="F249" s="474"/>
      <c r="G249" s="475"/>
      <c r="H249" s="475"/>
      <c r="I249" s="476">
        <f t="shared" si="12"/>
        <v>0</v>
      </c>
      <c r="J249" s="477" t="str">
        <f t="shared" si="13"/>
        <v/>
      </c>
    </row>
    <row r="250" spans="1:10" ht="14.15" customHeight="1">
      <c r="A250" s="472">
        <v>6743</v>
      </c>
      <c r="B250" s="473" t="s">
        <v>1336</v>
      </c>
      <c r="C250" s="2"/>
      <c r="D250" s="2"/>
      <c r="E250" s="2"/>
      <c r="F250" s="474"/>
      <c r="G250" s="475"/>
      <c r="H250" s="475"/>
      <c r="I250" s="476">
        <f t="shared" si="12"/>
        <v>0</v>
      </c>
      <c r="J250" s="477" t="str">
        <f t="shared" si="13"/>
        <v/>
      </c>
    </row>
    <row r="251" spans="1:10" ht="14.15" customHeight="1">
      <c r="A251" s="472">
        <v>6744</v>
      </c>
      <c r="B251" s="473" t="s">
        <v>1337</v>
      </c>
      <c r="C251" s="2"/>
      <c r="D251" s="2"/>
      <c r="E251" s="2"/>
      <c r="F251" s="474"/>
      <c r="G251" s="475"/>
      <c r="H251" s="475"/>
      <c r="I251" s="476">
        <f t="shared" si="12"/>
        <v>0</v>
      </c>
      <c r="J251" s="477" t="str">
        <f t="shared" si="13"/>
        <v/>
      </c>
    </row>
    <row r="252" spans="1:10" ht="14.15" customHeight="1">
      <c r="A252" s="472">
        <v>6745</v>
      </c>
      <c r="B252" s="473" t="s">
        <v>1338</v>
      </c>
      <c r="C252" s="2"/>
      <c r="D252" s="2"/>
      <c r="E252" s="2"/>
      <c r="F252" s="474"/>
      <c r="G252" s="475"/>
      <c r="H252" s="475"/>
      <c r="I252" s="476">
        <f t="shared" si="12"/>
        <v>0</v>
      </c>
      <c r="J252" s="477" t="str">
        <f t="shared" si="13"/>
        <v/>
      </c>
    </row>
    <row r="253" spans="1:10" ht="14.15" customHeight="1">
      <c r="A253" s="472">
        <v>6748</v>
      </c>
      <c r="B253" s="473" t="s">
        <v>1339</v>
      </c>
      <c r="C253" s="2"/>
      <c r="D253" s="2"/>
      <c r="E253" s="2"/>
      <c r="F253" s="474"/>
      <c r="G253" s="475"/>
      <c r="H253" s="475"/>
      <c r="I253" s="476">
        <f t="shared" si="12"/>
        <v>0</v>
      </c>
      <c r="J253" s="477" t="str">
        <f t="shared" si="13"/>
        <v/>
      </c>
    </row>
    <row r="254" spans="1:10" ht="14.15" customHeight="1">
      <c r="A254" s="472">
        <v>675</v>
      </c>
      <c r="B254" s="473" t="s">
        <v>891</v>
      </c>
      <c r="C254" s="2"/>
      <c r="D254" s="2"/>
      <c r="E254" s="2"/>
      <c r="F254" s="474"/>
      <c r="G254" s="475"/>
      <c r="H254" s="475"/>
      <c r="I254" s="476">
        <f t="shared" si="12"/>
        <v>0</v>
      </c>
      <c r="J254" s="477" t="str">
        <f t="shared" si="13"/>
        <v/>
      </c>
    </row>
    <row r="255" spans="1:10" ht="14.15" customHeight="1">
      <c r="A255" s="472">
        <v>676</v>
      </c>
      <c r="B255" s="473" t="s">
        <v>1340</v>
      </c>
      <c r="C255" s="2"/>
      <c r="D255" s="2"/>
      <c r="E255" s="2"/>
      <c r="F255" s="474"/>
      <c r="G255" s="475"/>
      <c r="H255" s="475"/>
      <c r="I255" s="476">
        <f t="shared" si="12"/>
        <v>0</v>
      </c>
      <c r="J255" s="477" t="str">
        <f t="shared" si="13"/>
        <v/>
      </c>
    </row>
    <row r="256" spans="1:10" ht="14.15" customHeight="1">
      <c r="A256" s="472">
        <v>6771</v>
      </c>
      <c r="B256" s="473" t="s">
        <v>1341</v>
      </c>
      <c r="C256" s="389"/>
      <c r="D256" s="2"/>
      <c r="E256" s="2"/>
      <c r="F256" s="474"/>
      <c r="G256" s="475"/>
      <c r="H256" s="475"/>
      <c r="I256" s="476">
        <f t="shared" si="12"/>
        <v>0</v>
      </c>
      <c r="J256" s="477" t="str">
        <f t="shared" si="13"/>
        <v/>
      </c>
    </row>
    <row r="257" spans="1:10" ht="14.15" customHeight="1">
      <c r="A257" s="472">
        <v>6772</v>
      </c>
      <c r="B257" s="473" t="s">
        <v>1342</v>
      </c>
      <c r="C257" s="389"/>
      <c r="D257" s="2"/>
      <c r="E257" s="2"/>
      <c r="F257" s="474"/>
      <c r="G257" s="475"/>
      <c r="H257" s="475"/>
      <c r="I257" s="476">
        <f t="shared" si="12"/>
        <v>0</v>
      </c>
      <c r="J257" s="477" t="str">
        <f t="shared" si="13"/>
        <v/>
      </c>
    </row>
    <row r="258" spans="1:10" ht="14.15" customHeight="1">
      <c r="A258" s="472">
        <v>6781</v>
      </c>
      <c r="B258" s="473" t="s">
        <v>1343</v>
      </c>
      <c r="C258" s="389"/>
      <c r="D258" s="2"/>
      <c r="E258" s="2"/>
      <c r="F258" s="474"/>
      <c r="G258" s="475"/>
      <c r="H258" s="475"/>
      <c r="I258" s="476">
        <f t="shared" si="12"/>
        <v>0</v>
      </c>
      <c r="J258" s="477" t="str">
        <f t="shared" si="13"/>
        <v/>
      </c>
    </row>
    <row r="259" spans="1:10" ht="14.15" customHeight="1">
      <c r="A259" s="472">
        <v>6782</v>
      </c>
      <c r="B259" s="473" t="s">
        <v>1344</v>
      </c>
      <c r="C259" s="389"/>
      <c r="D259" s="2"/>
      <c r="E259" s="2"/>
      <c r="F259" s="474"/>
      <c r="G259" s="475"/>
      <c r="H259" s="475"/>
      <c r="I259" s="476">
        <f t="shared" si="12"/>
        <v>0</v>
      </c>
      <c r="J259" s="477" t="str">
        <f t="shared" si="13"/>
        <v/>
      </c>
    </row>
    <row r="260" spans="1:10" ht="14.15" customHeight="1">
      <c r="A260" s="472">
        <v>6784</v>
      </c>
      <c r="B260" s="473" t="s">
        <v>1345</v>
      </c>
      <c r="C260" s="389"/>
      <c r="D260" s="2"/>
      <c r="E260" s="2"/>
      <c r="F260" s="474"/>
      <c r="G260" s="475"/>
      <c r="H260" s="475"/>
      <c r="I260" s="476">
        <f t="shared" si="12"/>
        <v>0</v>
      </c>
      <c r="J260" s="477" t="str">
        <f t="shared" si="13"/>
        <v/>
      </c>
    </row>
    <row r="261" spans="1:10" ht="14.15" customHeight="1">
      <c r="A261" s="472">
        <v>6791</v>
      </c>
      <c r="B261" s="473" t="s">
        <v>1346</v>
      </c>
      <c r="C261" s="389"/>
      <c r="D261" s="2"/>
      <c r="E261" s="2"/>
      <c r="F261" s="474"/>
      <c r="G261" s="475"/>
      <c r="H261" s="475"/>
      <c r="I261" s="476">
        <f t="shared" si="12"/>
        <v>0</v>
      </c>
      <c r="J261" s="477" t="str">
        <f t="shared" si="13"/>
        <v/>
      </c>
    </row>
    <row r="262" spans="1:10" ht="14.15" customHeight="1">
      <c r="A262" s="472">
        <v>6795</v>
      </c>
      <c r="B262" s="473" t="s">
        <v>1347</v>
      </c>
      <c r="C262" s="389"/>
      <c r="D262" s="2"/>
      <c r="E262" s="2"/>
      <c r="F262" s="474"/>
      <c r="G262" s="475"/>
      <c r="H262" s="475"/>
      <c r="I262" s="476">
        <f t="shared" si="12"/>
        <v>0</v>
      </c>
      <c r="J262" s="477" t="str">
        <f t="shared" si="13"/>
        <v/>
      </c>
    </row>
    <row r="263" spans="1:10" ht="14.15" customHeight="1" thickBot="1">
      <c r="A263" s="472">
        <v>6798</v>
      </c>
      <c r="B263" s="473" t="s">
        <v>1348</v>
      </c>
      <c r="C263" s="389"/>
      <c r="D263" s="2"/>
      <c r="E263" s="2"/>
      <c r="F263" s="474"/>
      <c r="G263" s="469"/>
      <c r="H263" s="469"/>
      <c r="I263" s="470">
        <f t="shared" si="12"/>
        <v>0</v>
      </c>
      <c r="J263" s="477" t="str">
        <f t="shared" si="13"/>
        <v/>
      </c>
    </row>
    <row r="264" spans="1:10" ht="14.15" customHeight="1" thickTop="1" thickBot="1">
      <c r="A264" s="478" t="s">
        <v>380</v>
      </c>
      <c r="B264" s="513" t="s">
        <v>1349</v>
      </c>
      <c r="C264" s="3"/>
      <c r="D264" s="2"/>
      <c r="E264" s="2"/>
      <c r="F264" s="474"/>
      <c r="G264" s="480">
        <f>SUM(G239:G263)</f>
        <v>0</v>
      </c>
      <c r="H264" s="480">
        <f>SUM(H239:H263)</f>
        <v>0</v>
      </c>
      <c r="I264" s="480">
        <f>G264-H264</f>
        <v>0</v>
      </c>
      <c r="J264" s="520" t="str">
        <f t="shared" si="13"/>
        <v/>
      </c>
    </row>
    <row r="265" spans="1:10" ht="14.15" customHeight="1" thickTop="1">
      <c r="A265" s="472">
        <v>6812</v>
      </c>
      <c r="B265" s="473" t="s">
        <v>1350</v>
      </c>
      <c r="C265" s="389"/>
      <c r="D265" s="2"/>
      <c r="E265" s="2"/>
      <c r="F265" s="474"/>
      <c r="G265" s="511"/>
      <c r="H265" s="511"/>
      <c r="I265" s="514">
        <f t="shared" si="12"/>
        <v>0</v>
      </c>
      <c r="J265" s="477" t="str">
        <f t="shared" si="13"/>
        <v/>
      </c>
    </row>
    <row r="266" spans="1:10" ht="14.15" customHeight="1">
      <c r="A266" s="472">
        <v>6813</v>
      </c>
      <c r="B266" s="473" t="s">
        <v>1351</v>
      </c>
      <c r="C266" s="389"/>
      <c r="D266" s="2"/>
      <c r="E266" s="2"/>
      <c r="F266" s="474"/>
      <c r="G266" s="475"/>
      <c r="H266" s="475"/>
      <c r="I266" s="476">
        <f t="shared" si="12"/>
        <v>0</v>
      </c>
      <c r="J266" s="477" t="str">
        <f t="shared" si="13"/>
        <v/>
      </c>
    </row>
    <row r="267" spans="1:10" ht="14.15" customHeight="1">
      <c r="A267" s="472">
        <v>6911</v>
      </c>
      <c r="B267" s="473" t="s">
        <v>1352</v>
      </c>
      <c r="C267" s="389"/>
      <c r="D267" s="2"/>
      <c r="E267" s="2"/>
      <c r="F267" s="474"/>
      <c r="G267" s="475"/>
      <c r="H267" s="475"/>
      <c r="I267" s="476">
        <f t="shared" si="12"/>
        <v>0</v>
      </c>
      <c r="J267" s="477" t="str">
        <f t="shared" si="13"/>
        <v/>
      </c>
    </row>
    <row r="268" spans="1:10" ht="14.15" customHeight="1">
      <c r="A268" s="472">
        <v>6913</v>
      </c>
      <c r="B268" s="473" t="s">
        <v>1353</v>
      </c>
      <c r="C268" s="389"/>
      <c r="D268" s="2"/>
      <c r="E268" s="2"/>
      <c r="F268" s="474"/>
      <c r="G268" s="475"/>
      <c r="H268" s="475"/>
      <c r="I268" s="476">
        <f t="shared" si="12"/>
        <v>0</v>
      </c>
      <c r="J268" s="477" t="str">
        <f t="shared" si="13"/>
        <v/>
      </c>
    </row>
    <row r="269" spans="1:10" ht="14.15" customHeight="1" thickBot="1">
      <c r="A269" s="472">
        <v>6914</v>
      </c>
      <c r="B269" s="473" t="s">
        <v>1354</v>
      </c>
      <c r="C269" s="389"/>
      <c r="D269" s="2"/>
      <c r="E269" s="2"/>
      <c r="F269" s="474"/>
      <c r="G269" s="469"/>
      <c r="H269" s="469"/>
      <c r="I269" s="470">
        <f t="shared" si="12"/>
        <v>0</v>
      </c>
      <c r="J269" s="477" t="str">
        <f t="shared" si="13"/>
        <v/>
      </c>
    </row>
    <row r="270" spans="1:10" ht="14.15" customHeight="1" thickTop="1" thickBot="1">
      <c r="A270" s="478" t="s">
        <v>369</v>
      </c>
      <c r="B270" s="513" t="s">
        <v>370</v>
      </c>
      <c r="C270" s="3"/>
      <c r="D270" s="2"/>
      <c r="E270" s="2"/>
      <c r="F270" s="474"/>
      <c r="G270" s="480">
        <f>SUM(G265:G269)</f>
        <v>0</v>
      </c>
      <c r="H270" s="480">
        <f>SUM(H265:H269)</f>
        <v>0</v>
      </c>
      <c r="I270" s="480">
        <f>G270-H270</f>
        <v>0</v>
      </c>
      <c r="J270" s="520" t="str">
        <f t="shared" si="13"/>
        <v/>
      </c>
    </row>
    <row r="271" spans="1:10" ht="14.15" customHeight="1" thickTop="1">
      <c r="A271" s="472">
        <v>6971</v>
      </c>
      <c r="B271" s="473" t="s">
        <v>1355</v>
      </c>
      <c r="C271" s="389"/>
      <c r="D271" s="2"/>
      <c r="E271" s="2"/>
      <c r="F271" s="474"/>
      <c r="G271" s="494"/>
      <c r="H271" s="494"/>
      <c r="I271" s="495">
        <f t="shared" si="12"/>
        <v>0</v>
      </c>
      <c r="J271" s="477" t="str">
        <f t="shared" si="13"/>
        <v/>
      </c>
    </row>
    <row r="272" spans="1:10" ht="14.15" customHeight="1" thickBot="1">
      <c r="A272" s="472">
        <v>6972</v>
      </c>
      <c r="B272" s="473" t="s">
        <v>1356</v>
      </c>
      <c r="C272" s="389"/>
      <c r="D272" s="2"/>
      <c r="E272" s="2"/>
      <c r="F272" s="474"/>
      <c r="G272" s="469"/>
      <c r="H272" s="469"/>
      <c r="I272" s="470">
        <f>G272-H272</f>
        <v>0</v>
      </c>
      <c r="J272" s="477" t="str">
        <f t="shared" si="13"/>
        <v/>
      </c>
    </row>
    <row r="273" spans="1:10" ht="14.15" customHeight="1" thickTop="1" thickBot="1">
      <c r="A273" s="478" t="s">
        <v>382</v>
      </c>
      <c r="B273" s="513" t="s">
        <v>383</v>
      </c>
      <c r="C273" s="3"/>
      <c r="D273" s="2"/>
      <c r="E273" s="2"/>
      <c r="F273" s="474"/>
      <c r="G273" s="480">
        <f>SUM(G271:G272)</f>
        <v>0</v>
      </c>
      <c r="H273" s="480">
        <f>SUM(H271:H272)</f>
        <v>0</v>
      </c>
      <c r="I273" s="480">
        <f>G273-H273</f>
        <v>0</v>
      </c>
      <c r="J273" s="520" t="str">
        <f t="shared" si="13"/>
        <v/>
      </c>
    </row>
    <row r="274" spans="1:10" ht="15" thickTop="1">
      <c r="A274" s="515"/>
      <c r="B274" s="515"/>
      <c r="C274" s="516"/>
      <c r="D274" s="516"/>
      <c r="E274" s="516"/>
      <c r="F274" s="516"/>
      <c r="G274" s="515"/>
      <c r="H274" s="515"/>
      <c r="I274" s="515"/>
      <c r="J274" s="517" t="str">
        <f t="shared" ref="J274" si="14">IF(H274,(G274-H274)/H274,IF(ISBLANK(H274),"",IF(G274,1,"")))</f>
        <v/>
      </c>
    </row>
    <row r="275" spans="1:10">
      <c r="A275" s="2043" t="s">
        <v>1632</v>
      </c>
      <c r="B275" s="2043"/>
      <c r="C275" s="2043"/>
      <c r="D275" s="2043"/>
      <c r="E275" s="2043"/>
      <c r="F275" s="2043"/>
      <c r="G275" s="518">
        <f>G17+G19+G26+G28+G51+G53+G62+G144+G174+G191+G238+G264+G270+G273</f>
        <v>0</v>
      </c>
      <c r="H275" s="518">
        <f>H17+H19+H26+H28+H51+H53+H62+H144+H174+H191+H238+H264+H270+H273</f>
        <v>0</v>
      </c>
      <c r="I275" s="518">
        <f>G275-H275</f>
        <v>0</v>
      </c>
      <c r="J275" s="519" t="str">
        <f>IF(H275,(G275-H275)/H275,IF(ISBLANK(H275),"",IF(G275,IF( G275 &gt; 0,1,-1),"")))</f>
        <v/>
      </c>
    </row>
  </sheetData>
  <mergeCells count="49">
    <mergeCell ref="C4:D4"/>
    <mergeCell ref="A1:B1"/>
    <mergeCell ref="D1:G1"/>
    <mergeCell ref="H1:J1"/>
    <mergeCell ref="C2:J2"/>
    <mergeCell ref="B3:H3"/>
    <mergeCell ref="C78:D78"/>
    <mergeCell ref="C5:F5"/>
    <mergeCell ref="A7:J7"/>
    <mergeCell ref="A9:F10"/>
    <mergeCell ref="G9:G10"/>
    <mergeCell ref="H9:H10"/>
    <mergeCell ref="I9:J9"/>
    <mergeCell ref="A75:B75"/>
    <mergeCell ref="D75:G75"/>
    <mergeCell ref="H75:J75"/>
    <mergeCell ref="C76:J76"/>
    <mergeCell ref="B77:H77"/>
    <mergeCell ref="C153:D153"/>
    <mergeCell ref="C79:F79"/>
    <mergeCell ref="A81:J81"/>
    <mergeCell ref="A83:F84"/>
    <mergeCell ref="G83:G84"/>
    <mergeCell ref="H83:H84"/>
    <mergeCell ref="I83:J83"/>
    <mergeCell ref="A150:B150"/>
    <mergeCell ref="D150:G150"/>
    <mergeCell ref="H150:J150"/>
    <mergeCell ref="C151:J151"/>
    <mergeCell ref="B152:H152"/>
    <mergeCell ref="C226:D226"/>
    <mergeCell ref="C154:F154"/>
    <mergeCell ref="A156:J156"/>
    <mergeCell ref="A158:F159"/>
    <mergeCell ref="G158:G159"/>
    <mergeCell ref="H158:H159"/>
    <mergeCell ref="I158:J158"/>
    <mergeCell ref="A223:B223"/>
    <mergeCell ref="D223:G223"/>
    <mergeCell ref="H223:J223"/>
    <mergeCell ref="C224:J224"/>
    <mergeCell ref="B225:H225"/>
    <mergeCell ref="A275:F275"/>
    <mergeCell ref="C227:F227"/>
    <mergeCell ref="A229:J229"/>
    <mergeCell ref="A231:F232"/>
    <mergeCell ref="G231:G232"/>
    <mergeCell ref="H231:H232"/>
    <mergeCell ref="I231:J231"/>
  </mergeCells>
  <dataValidations count="1">
    <dataValidation type="whole" allowBlank="1" showInputMessage="1" showErrorMessage="1" errorTitle="Attention!" error="Valeur numérique attendue" sqref="G11:H73 G85:H148 G160:H221 G233:H274" xr:uid="{00000000-0002-0000-42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rowBreaks count="3" manualBreakCount="3">
    <brk id="73" max="16383" man="1"/>
    <brk id="148" max="16383" man="1"/>
    <brk id="221" max="16383"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24"/>
  <sheetViews>
    <sheetView showGridLines="0" topLeftCell="A6" zoomScale="150" zoomScaleNormal="150" workbookViewId="0">
      <selection activeCell="D15" sqref="D15"/>
    </sheetView>
  </sheetViews>
  <sheetFormatPr baseColWidth="10" defaultRowHeight="14.5"/>
  <cols>
    <col min="1" max="1" width="8.81640625" customWidth="1"/>
    <col min="2" max="2" width="16.453125" customWidth="1"/>
    <col min="3" max="6" width="10.1796875" customWidth="1"/>
    <col min="7" max="9" width="13.453125" customWidth="1"/>
    <col min="10" max="10" width="8.81640625" customWidth="1"/>
  </cols>
  <sheetData>
    <row r="1" spans="1:10">
      <c r="A1" s="2058" t="s">
        <v>1214</v>
      </c>
      <c r="B1" s="2059"/>
      <c r="C1" s="457"/>
      <c r="D1" s="1134" t="s">
        <v>21</v>
      </c>
      <c r="E1" s="1134"/>
      <c r="F1" s="1134"/>
      <c r="G1" s="2054"/>
      <c r="H1" s="2072" t="s">
        <v>2067</v>
      </c>
      <c r="I1" s="2073"/>
      <c r="J1" s="2074"/>
    </row>
    <row r="2" spans="1:10">
      <c r="A2" s="2" t="s">
        <v>26</v>
      </c>
      <c r="B2" s="385"/>
      <c r="C2" s="2044">
        <f>'Liste ETATS SUPPL DGI'!C3</f>
        <v>0</v>
      </c>
      <c r="D2" s="2044"/>
      <c r="E2" s="2044"/>
      <c r="F2" s="2044"/>
      <c r="G2" s="2044"/>
      <c r="H2" s="2044"/>
      <c r="I2" s="2044"/>
      <c r="J2" s="2044"/>
    </row>
    <row r="3" spans="1:10">
      <c r="A3" s="2" t="s">
        <v>27</v>
      </c>
      <c r="B3" s="2044">
        <f>'Liste ETATS SUPPL DGI'!B4</f>
        <v>0</v>
      </c>
      <c r="C3" s="2044"/>
      <c r="D3" s="2044"/>
      <c r="E3" s="2044"/>
      <c r="F3" s="2044"/>
      <c r="G3" s="2044"/>
      <c r="H3" s="2044"/>
      <c r="I3" s="114" t="s">
        <v>28</v>
      </c>
      <c r="J3" s="458">
        <f>'Liste ETATS SUPPL DGI'!I4</f>
        <v>0</v>
      </c>
    </row>
    <row r="4" spans="1:10">
      <c r="A4" s="7" t="s">
        <v>2021</v>
      </c>
      <c r="B4" s="7"/>
      <c r="C4" s="2044">
        <f>'Liste ETATS SUPPL DGI'!C5</f>
        <v>0</v>
      </c>
      <c r="D4" s="2044"/>
      <c r="E4" s="459"/>
      <c r="F4" s="459"/>
      <c r="G4" s="114" t="s">
        <v>30</v>
      </c>
      <c r="H4" s="460">
        <f>'Liste ETATS SUPPL DGI'!F5</f>
        <v>0</v>
      </c>
      <c r="I4" s="114" t="s">
        <v>31</v>
      </c>
      <c r="J4" s="458">
        <f>'Liste ETATS SUPPL DGI'!I5</f>
        <v>0</v>
      </c>
    </row>
    <row r="5" spans="1:10">
      <c r="A5" s="268" t="s">
        <v>2024</v>
      </c>
      <c r="B5" s="7"/>
      <c r="C5" s="2044">
        <f>'Liste ETATS SUPPL DGI'!C6</f>
        <v>0</v>
      </c>
      <c r="D5" s="2044"/>
      <c r="E5" s="2044"/>
      <c r="F5" s="2044"/>
      <c r="G5" s="461"/>
      <c r="H5" s="458"/>
      <c r="I5" s="459"/>
      <c r="J5" s="459"/>
    </row>
    <row r="6" spans="1:10" ht="5.25" customHeight="1">
      <c r="A6" s="7"/>
      <c r="B6" s="7"/>
      <c r="C6" s="244"/>
      <c r="D6" s="244"/>
      <c r="E6" s="61"/>
      <c r="F6" s="245"/>
      <c r="G6" s="61"/>
      <c r="H6" s="244"/>
      <c r="I6" s="48"/>
      <c r="J6" s="48"/>
    </row>
    <row r="7" spans="1:10" ht="15" customHeight="1">
      <c r="A7" s="2045" t="s">
        <v>2062</v>
      </c>
      <c r="B7" s="2046"/>
      <c r="C7" s="2046"/>
      <c r="D7" s="2046"/>
      <c r="E7" s="2046"/>
      <c r="F7" s="2046"/>
      <c r="G7" s="2046"/>
      <c r="H7" s="2046"/>
      <c r="I7" s="2046"/>
      <c r="J7" s="2047"/>
    </row>
    <row r="8" spans="1:10" ht="5.25" customHeight="1" thickBot="1">
      <c r="A8" s="48"/>
      <c r="B8" s="48"/>
      <c r="C8" s="48"/>
      <c r="D8" s="48"/>
      <c r="E8" s="48"/>
      <c r="F8" s="48"/>
      <c r="G8" s="48"/>
      <c r="H8" s="48"/>
      <c r="I8" s="48"/>
      <c r="J8" s="48"/>
    </row>
    <row r="9" spans="1:10">
      <c r="A9" s="2066" t="s">
        <v>2149</v>
      </c>
      <c r="B9" s="2067"/>
      <c r="C9" s="2067"/>
      <c r="D9" s="2067"/>
      <c r="E9" s="2067"/>
      <c r="F9" s="2067"/>
      <c r="G9" s="2069" t="s">
        <v>591</v>
      </c>
      <c r="H9" s="2067" t="s">
        <v>1165</v>
      </c>
      <c r="I9" s="2070" t="s">
        <v>1629</v>
      </c>
      <c r="J9" s="2071"/>
    </row>
    <row r="10" spans="1:10">
      <c r="A10" s="2068"/>
      <c r="B10" s="2061"/>
      <c r="C10" s="2061"/>
      <c r="D10" s="2061"/>
      <c r="E10" s="2061"/>
      <c r="F10" s="2061"/>
      <c r="G10" s="2063"/>
      <c r="H10" s="2052"/>
      <c r="I10" s="462" t="s">
        <v>1630</v>
      </c>
      <c r="J10" s="1006" t="s">
        <v>1631</v>
      </c>
    </row>
    <row r="11" spans="1:10" ht="14.15" customHeight="1">
      <c r="A11" s="1007">
        <v>70</v>
      </c>
      <c r="B11" s="473" t="s">
        <v>2150</v>
      </c>
      <c r="C11" s="2"/>
      <c r="D11" s="2"/>
      <c r="E11" s="2"/>
      <c r="F11" s="474"/>
      <c r="G11" s="475"/>
      <c r="H11" s="475"/>
      <c r="I11" s="476">
        <f>G11-H11</f>
        <v>0</v>
      </c>
      <c r="J11" s="1008" t="str">
        <f>IF(H11,(G11-H11)/H11,IF(ISBLANK(H11),"",IF(G11,IF( G11 &gt; 0,1,-1),"")))</f>
        <v/>
      </c>
    </row>
    <row r="12" spans="1:10" ht="14.15" customHeight="1">
      <c r="A12" s="1007">
        <v>71</v>
      </c>
      <c r="B12" s="473" t="s">
        <v>2151</v>
      </c>
      <c r="C12" s="2"/>
      <c r="D12" s="2"/>
      <c r="E12" s="2"/>
      <c r="F12" s="474"/>
      <c r="G12" s="475"/>
      <c r="H12" s="475"/>
      <c r="I12" s="476">
        <f t="shared" ref="I12:I18" si="0">G12-H12</f>
        <v>0</v>
      </c>
      <c r="J12" s="1008" t="str">
        <f t="shared" ref="J12:J18" si="1">IF(H12,(G12-H12)/H12,IF(ISBLANK(H12),"",IF(G12,IF( G12 &gt; 0,1,-1),"")))</f>
        <v/>
      </c>
    </row>
    <row r="13" spans="1:10" ht="14.15" customHeight="1">
      <c r="A13" s="1007">
        <v>72</v>
      </c>
      <c r="B13" s="473" t="s">
        <v>2152</v>
      </c>
      <c r="C13" s="2"/>
      <c r="D13" s="2"/>
      <c r="E13" s="2"/>
      <c r="F13" s="474"/>
      <c r="G13" s="475"/>
      <c r="H13" s="475"/>
      <c r="I13" s="476">
        <f t="shared" si="0"/>
        <v>0</v>
      </c>
      <c r="J13" s="1008" t="str">
        <f t="shared" si="1"/>
        <v/>
      </c>
    </row>
    <row r="14" spans="1:10" ht="14.15" customHeight="1">
      <c r="A14" s="1007">
        <v>73</v>
      </c>
      <c r="B14" s="473" t="s">
        <v>2153</v>
      </c>
      <c r="C14" s="2"/>
      <c r="D14" s="2"/>
      <c r="E14" s="2"/>
      <c r="F14" s="474"/>
      <c r="G14" s="475"/>
      <c r="H14" s="475"/>
      <c r="I14" s="476">
        <f t="shared" si="0"/>
        <v>0</v>
      </c>
      <c r="J14" s="1008" t="str">
        <f t="shared" si="1"/>
        <v/>
      </c>
    </row>
    <row r="15" spans="1:10" ht="14.15" customHeight="1" thickBot="1">
      <c r="A15" s="1007">
        <v>75</v>
      </c>
      <c r="B15" s="473" t="s">
        <v>2154</v>
      </c>
      <c r="C15" s="2"/>
      <c r="D15" s="2"/>
      <c r="E15" s="2"/>
      <c r="F15" s="474"/>
      <c r="G15" s="469"/>
      <c r="H15" s="469"/>
      <c r="I15" s="476">
        <f t="shared" si="0"/>
        <v>0</v>
      </c>
      <c r="J15" s="1008" t="str">
        <f t="shared" si="1"/>
        <v/>
      </c>
    </row>
    <row r="16" spans="1:10" ht="14.15" customHeight="1" thickTop="1" thickBot="1">
      <c r="A16" s="1007">
        <v>77</v>
      </c>
      <c r="B16" s="473" t="s">
        <v>2155</v>
      </c>
      <c r="C16" s="388"/>
      <c r="D16" s="2"/>
      <c r="E16" s="2"/>
      <c r="F16" s="474"/>
      <c r="G16" s="480"/>
      <c r="H16" s="480"/>
      <c r="I16" s="476">
        <f t="shared" si="0"/>
        <v>0</v>
      </c>
      <c r="J16" s="1008" t="str">
        <f t="shared" si="1"/>
        <v/>
      </c>
    </row>
    <row r="17" spans="1:10" ht="14.15" customHeight="1" thickTop="1">
      <c r="A17" s="1007">
        <v>78</v>
      </c>
      <c r="B17" s="473" t="s">
        <v>632</v>
      </c>
      <c r="C17" s="2"/>
      <c r="D17" s="2"/>
      <c r="E17" s="2"/>
      <c r="F17" s="474"/>
      <c r="G17" s="511"/>
      <c r="H17" s="511"/>
      <c r="I17" s="476">
        <f t="shared" si="0"/>
        <v>0</v>
      </c>
      <c r="J17" s="1008" t="str">
        <f t="shared" si="1"/>
        <v/>
      </c>
    </row>
    <row r="18" spans="1:10" ht="14.15" customHeight="1">
      <c r="A18" s="1007">
        <v>79</v>
      </c>
      <c r="B18" s="473" t="s">
        <v>2157</v>
      </c>
      <c r="C18" s="2"/>
      <c r="D18" s="2"/>
      <c r="E18" s="2"/>
      <c r="F18" s="474"/>
      <c r="G18" s="475"/>
      <c r="H18" s="475"/>
      <c r="I18" s="476">
        <f t="shared" si="0"/>
        <v>0</v>
      </c>
      <c r="J18" s="1008" t="str">
        <f t="shared" si="1"/>
        <v/>
      </c>
    </row>
    <row r="19" spans="1:10" ht="14.15" customHeight="1">
      <c r="A19" s="1007"/>
      <c r="B19" s="473"/>
      <c r="C19" s="2"/>
      <c r="D19" s="2"/>
      <c r="E19" s="2"/>
      <c r="F19" s="474"/>
      <c r="G19" s="475"/>
      <c r="H19" s="475"/>
      <c r="I19" s="476"/>
      <c r="J19" s="1008"/>
    </row>
    <row r="20" spans="1:10" ht="14.15" customHeight="1">
      <c r="A20" s="1007"/>
      <c r="B20" s="473"/>
      <c r="C20" s="2"/>
      <c r="D20" s="2"/>
      <c r="E20" s="2"/>
      <c r="F20" s="474"/>
      <c r="G20" s="475"/>
      <c r="H20" s="475"/>
      <c r="I20" s="476"/>
      <c r="J20" s="1008"/>
    </row>
    <row r="21" spans="1:10" ht="14.15" customHeight="1" thickBot="1">
      <c r="A21" s="1007"/>
      <c r="B21" s="473"/>
      <c r="C21" s="2"/>
      <c r="D21" s="2"/>
      <c r="E21" s="2"/>
      <c r="F21" s="474"/>
      <c r="G21" s="475"/>
      <c r="H21" s="475"/>
      <c r="I21" s="476"/>
      <c r="J21" s="1008"/>
    </row>
    <row r="22" spans="1:10" ht="15" thickTop="1">
      <c r="A22" s="1009"/>
      <c r="B22" s="515"/>
      <c r="C22" s="516"/>
      <c r="D22" s="516"/>
      <c r="E22" s="516"/>
      <c r="F22" s="516"/>
      <c r="G22" s="515"/>
      <c r="H22" s="515"/>
      <c r="I22" s="515"/>
      <c r="J22" s="1010" t="str">
        <f t="shared" ref="J22" si="2">IF(H22,(G22-H22)/H22,IF(ISBLANK(H22),"",IF(G22,1,"")))</f>
        <v/>
      </c>
    </row>
    <row r="23" spans="1:10" ht="15" thickBot="1">
      <c r="A23" s="2064" t="s">
        <v>2156</v>
      </c>
      <c r="B23" s="2065"/>
      <c r="C23" s="2065"/>
      <c r="D23" s="2065"/>
      <c r="E23" s="2065"/>
      <c r="F23" s="2065"/>
      <c r="G23" s="1011">
        <f>SUM(G11:G22)</f>
        <v>0</v>
      </c>
      <c r="H23" s="1011">
        <f>SUM(H11:H22)</f>
        <v>0</v>
      </c>
      <c r="I23" s="1011">
        <f>SUM(I11:I22)</f>
        <v>0</v>
      </c>
      <c r="J23" s="1012">
        <f>SUM(J11:J22)</f>
        <v>0</v>
      </c>
    </row>
    <row r="24" spans="1:10">
      <c r="A24" s="725" t="s">
        <v>2158</v>
      </c>
    </row>
  </sheetData>
  <mergeCells count="13">
    <mergeCell ref="C4:D4"/>
    <mergeCell ref="A1:B1"/>
    <mergeCell ref="D1:G1"/>
    <mergeCell ref="H1:J1"/>
    <mergeCell ref="C2:J2"/>
    <mergeCell ref="B3:H3"/>
    <mergeCell ref="A23:F23"/>
    <mergeCell ref="C5:F5"/>
    <mergeCell ref="A7:J7"/>
    <mergeCell ref="A9:F10"/>
    <mergeCell ref="G9:G10"/>
    <mergeCell ref="H9:H10"/>
    <mergeCell ref="I9:J9"/>
  </mergeCells>
  <dataValidations count="1">
    <dataValidation type="whole" allowBlank="1" showInputMessage="1" showErrorMessage="1" errorTitle="Attention!" error="Valeur numérique attendue" sqref="G11:H22" xr:uid="{00000000-0002-0000-43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Feuil70">
    <pageSetUpPr fitToPage="1"/>
  </sheetPr>
  <dimension ref="A1:H28"/>
  <sheetViews>
    <sheetView showGridLines="0" topLeftCell="A5" workbookViewId="0">
      <selection activeCell="A9" sqref="A9:H28"/>
    </sheetView>
  </sheetViews>
  <sheetFormatPr baseColWidth="10" defaultRowHeight="14.5"/>
  <cols>
    <col min="1" max="1" width="9.453125" customWidth="1"/>
    <col min="2" max="2" width="19.453125" customWidth="1"/>
    <col min="4" max="4" width="6.1796875" customWidth="1"/>
    <col min="5" max="5" width="15.453125" customWidth="1"/>
    <col min="6" max="6" width="13.54296875" customWidth="1"/>
    <col min="7" max="8" width="16.453125" customWidth="1"/>
  </cols>
  <sheetData>
    <row r="1" spans="1:8" ht="18.75" customHeight="1">
      <c r="A1" s="1135" t="s">
        <v>1214</v>
      </c>
      <c r="B1" s="1137"/>
      <c r="C1" s="40"/>
      <c r="D1" s="40"/>
      <c r="E1" s="40" t="s">
        <v>183</v>
      </c>
      <c r="F1" s="23"/>
      <c r="G1" s="2078" t="s">
        <v>1502</v>
      </c>
      <c r="H1" s="2079"/>
    </row>
    <row r="2" spans="1:8" ht="22" customHeight="1">
      <c r="A2" s="7" t="s">
        <v>26</v>
      </c>
      <c r="B2" s="135"/>
      <c r="C2" s="1221">
        <f>'Liste ETATS SUPPL DGI'!C3</f>
        <v>0</v>
      </c>
      <c r="D2" s="1221"/>
      <c r="E2" s="1221"/>
      <c r="F2" s="1221"/>
      <c r="G2" s="1221"/>
      <c r="H2" s="1221"/>
    </row>
    <row r="3" spans="1:8">
      <c r="A3" s="7" t="s">
        <v>27</v>
      </c>
      <c r="B3" s="1221">
        <f>'Liste ETATS SUPPL DGI'!B4</f>
        <v>0</v>
      </c>
      <c r="C3" s="1221"/>
      <c r="D3" s="1221"/>
      <c r="E3" s="1221"/>
      <c r="F3" s="1221"/>
      <c r="G3" s="61" t="s">
        <v>28</v>
      </c>
      <c r="H3" s="119">
        <f>'Liste ETATS SUPPL DGI'!I4</f>
        <v>0</v>
      </c>
    </row>
    <row r="4" spans="1:8">
      <c r="A4" s="7" t="s">
        <v>2021</v>
      </c>
      <c r="B4" s="7"/>
      <c r="C4" s="1223">
        <f>'Liste ETATS SUPPL DGI'!C5</f>
        <v>0</v>
      </c>
      <c r="D4" s="1223"/>
      <c r="E4" s="61" t="s">
        <v>30</v>
      </c>
      <c r="F4" s="119">
        <f>'Liste ETATS SUPPL DGI'!F5</f>
        <v>0</v>
      </c>
      <c r="G4" s="61" t="s">
        <v>31</v>
      </c>
      <c r="H4" s="119">
        <f>'Liste ETATS SUPPL DGI'!I5</f>
        <v>0</v>
      </c>
    </row>
    <row r="5" spans="1:8">
      <c r="A5" s="268" t="s">
        <v>2024</v>
      </c>
      <c r="B5" s="7"/>
      <c r="C5" s="1461">
        <f>'Liste ETATS SUPPL DGI'!C6</f>
        <v>0</v>
      </c>
      <c r="D5" s="1461"/>
      <c r="E5" s="263"/>
      <c r="F5" s="44"/>
      <c r="G5" s="263"/>
      <c r="H5" s="44"/>
    </row>
    <row r="6" spans="1:8" ht="6" customHeight="1">
      <c r="A6" s="7"/>
      <c r="B6" s="8"/>
      <c r="C6" s="244"/>
      <c r="D6" s="244"/>
      <c r="E6" s="61"/>
      <c r="F6" s="245"/>
      <c r="G6" s="61"/>
      <c r="H6" s="244"/>
    </row>
    <row r="7" spans="1:8">
      <c r="A7" s="2080" t="s">
        <v>2062</v>
      </c>
      <c r="B7" s="2081"/>
      <c r="C7" s="2081"/>
      <c r="D7" s="2081"/>
      <c r="E7" s="2081"/>
      <c r="F7" s="2081"/>
      <c r="G7" s="2081"/>
      <c r="H7" s="2082"/>
    </row>
    <row r="8" spans="1:8" ht="6" customHeight="1" thickBot="1">
      <c r="A8" s="23"/>
      <c r="B8" s="23"/>
      <c r="C8" s="23"/>
      <c r="D8" s="23"/>
      <c r="E8" s="23"/>
      <c r="F8" s="23"/>
      <c r="G8" s="23"/>
      <c r="H8" s="23"/>
    </row>
    <row r="9" spans="1:8" ht="28.5" customHeight="1">
      <c r="A9" s="2075" t="s">
        <v>1357</v>
      </c>
      <c r="B9" s="2076"/>
      <c r="C9" s="2076"/>
      <c r="D9" s="2076"/>
      <c r="E9" s="2076"/>
      <c r="F9" s="2077"/>
      <c r="G9" s="1013" t="s">
        <v>591</v>
      </c>
      <c r="H9" s="1014" t="s">
        <v>1165</v>
      </c>
    </row>
    <row r="10" spans="1:8" s="1" customFormat="1">
      <c r="A10" s="1015"/>
      <c r="B10" s="400" t="s">
        <v>1358</v>
      </c>
      <c r="C10" s="401"/>
      <c r="D10" s="401"/>
      <c r="E10" s="401"/>
      <c r="F10" s="392"/>
      <c r="G10" s="393"/>
      <c r="H10" s="1016"/>
    </row>
    <row r="11" spans="1:8" s="1" customFormat="1">
      <c r="A11" s="1017"/>
      <c r="B11" s="402" t="s">
        <v>1359</v>
      </c>
      <c r="C11" s="403"/>
      <c r="D11" s="403"/>
      <c r="E11" s="403"/>
      <c r="F11" s="394"/>
      <c r="G11" s="395"/>
      <c r="H11" s="1018"/>
    </row>
    <row r="12" spans="1:8" s="1" customFormat="1">
      <c r="A12" s="1017"/>
      <c r="B12" s="402" t="s">
        <v>1360</v>
      </c>
      <c r="C12" s="403"/>
      <c r="D12" s="403"/>
      <c r="E12" s="403"/>
      <c r="F12" s="394"/>
      <c r="G12" s="395"/>
      <c r="H12" s="1018"/>
    </row>
    <row r="13" spans="1:8" s="1" customFormat="1">
      <c r="A13" s="1017"/>
      <c r="B13" s="402" t="s">
        <v>1361</v>
      </c>
      <c r="C13" s="403"/>
      <c r="D13" s="403"/>
      <c r="E13" s="403"/>
      <c r="F13" s="394"/>
      <c r="G13" s="395"/>
      <c r="H13" s="1018"/>
    </row>
    <row r="14" spans="1:8" s="1" customFormat="1" ht="15" thickBot="1">
      <c r="A14" s="1017"/>
      <c r="B14" s="402" t="s">
        <v>1362</v>
      </c>
      <c r="C14" s="403"/>
      <c r="D14" s="403"/>
      <c r="E14" s="403"/>
      <c r="F14" s="394"/>
      <c r="G14" s="396"/>
      <c r="H14" s="1019"/>
    </row>
    <row r="15" spans="1:8" s="1" customFormat="1" ht="15.5" thickTop="1" thickBot="1">
      <c r="A15" s="1020"/>
      <c r="B15" s="404"/>
      <c r="C15" s="405" t="s">
        <v>1363</v>
      </c>
      <c r="D15" s="403"/>
      <c r="E15" s="403"/>
      <c r="F15" s="394"/>
      <c r="G15" s="397">
        <f>SUM(G10:G14)</f>
        <v>0</v>
      </c>
      <c r="H15" s="1021">
        <f>SUM(H10:H14)</f>
        <v>0</v>
      </c>
    </row>
    <row r="16" spans="1:8" s="1" customFormat="1" ht="15.5" thickTop="1" thickBot="1">
      <c r="A16" s="1020"/>
      <c r="B16" s="404"/>
      <c r="C16" s="405" t="s">
        <v>1364</v>
      </c>
      <c r="D16" s="403"/>
      <c r="E16" s="403"/>
      <c r="F16" s="394"/>
      <c r="G16" s="398"/>
      <c r="H16" s="1022"/>
    </row>
    <row r="17" spans="1:8" s="1" customFormat="1" ht="15" thickTop="1">
      <c r="A17" s="1017"/>
      <c r="B17" s="402" t="s">
        <v>1365</v>
      </c>
      <c r="C17" s="403"/>
      <c r="D17" s="403"/>
      <c r="E17" s="403"/>
      <c r="F17" s="394"/>
      <c r="G17" s="399"/>
      <c r="H17" s="1023"/>
    </row>
    <row r="18" spans="1:8" s="1" customFormat="1">
      <c r="A18" s="1017"/>
      <c r="B18" s="402" t="s">
        <v>1366</v>
      </c>
      <c r="C18" s="403"/>
      <c r="D18" s="403"/>
      <c r="E18" s="403"/>
      <c r="F18" s="394"/>
      <c r="G18" s="395"/>
      <c r="H18" s="1018"/>
    </row>
    <row r="19" spans="1:8" s="1" customFormat="1">
      <c r="A19" s="1017"/>
      <c r="B19" s="402" t="s">
        <v>1367</v>
      </c>
      <c r="C19" s="403"/>
      <c r="D19" s="403"/>
      <c r="E19" s="403"/>
      <c r="F19" s="394"/>
      <c r="G19" s="395"/>
      <c r="H19" s="1018"/>
    </row>
    <row r="20" spans="1:8" s="1" customFormat="1">
      <c r="A20" s="1017"/>
      <c r="B20" s="402" t="s">
        <v>1368</v>
      </c>
      <c r="C20" s="403"/>
      <c r="D20" s="403"/>
      <c r="E20" s="403"/>
      <c r="F20" s="394"/>
      <c r="G20" s="395"/>
      <c r="H20" s="1018"/>
    </row>
    <row r="21" spans="1:8" s="1" customFormat="1">
      <c r="A21" s="1017"/>
      <c r="B21" s="402" t="s">
        <v>1369</v>
      </c>
      <c r="C21" s="403"/>
      <c r="D21" s="403"/>
      <c r="E21" s="403"/>
      <c r="F21" s="394"/>
      <c r="G21" s="395"/>
      <c r="H21" s="1018"/>
    </row>
    <row r="22" spans="1:8" s="1" customFormat="1" ht="15" thickBot="1">
      <c r="A22" s="1017"/>
      <c r="B22" s="402" t="s">
        <v>1370</v>
      </c>
      <c r="C22" s="403"/>
      <c r="D22" s="403"/>
      <c r="E22" s="403"/>
      <c r="F22" s="394"/>
      <c r="G22" s="395"/>
      <c r="H22" s="1018"/>
    </row>
    <row r="23" spans="1:8" s="1" customFormat="1" ht="15.5" thickTop="1" thickBot="1">
      <c r="A23" s="1024"/>
      <c r="B23" s="404"/>
      <c r="C23" s="405" t="s">
        <v>1371</v>
      </c>
      <c r="D23" s="403"/>
      <c r="E23" s="403"/>
      <c r="F23" s="394"/>
      <c r="G23" s="397">
        <f>SUM(G17:G22)</f>
        <v>0</v>
      </c>
      <c r="H23" s="1021">
        <f>SUM(H17:H22)</f>
        <v>0</v>
      </c>
    </row>
    <row r="24" spans="1:8" s="1" customFormat="1" ht="15.5" thickTop="1" thickBot="1">
      <c r="A24" s="1020"/>
      <c r="B24" s="404"/>
      <c r="C24" s="405" t="s">
        <v>1372</v>
      </c>
      <c r="D24" s="403"/>
      <c r="E24" s="403"/>
      <c r="F24" s="394"/>
      <c r="G24" s="398"/>
      <c r="H24" s="1022"/>
    </row>
    <row r="25" spans="1:8" s="1" customFormat="1" ht="15.5" thickTop="1" thickBot="1">
      <c r="A25" s="1020"/>
      <c r="B25" s="404"/>
      <c r="C25" s="405" t="s">
        <v>1373</v>
      </c>
      <c r="D25" s="403"/>
      <c r="E25" s="403"/>
      <c r="F25" s="394"/>
      <c r="G25" s="398"/>
      <c r="H25" s="1022"/>
    </row>
    <row r="26" spans="1:8" s="1" customFormat="1" ht="15" thickTop="1">
      <c r="A26" s="1017"/>
      <c r="B26" s="402" t="s">
        <v>1374</v>
      </c>
      <c r="C26" s="403"/>
      <c r="D26" s="403"/>
      <c r="E26" s="403"/>
      <c r="F26" s="394"/>
      <c r="G26" s="395"/>
      <c r="H26" s="1018"/>
    </row>
    <row r="27" spans="1:8" s="1" customFormat="1" ht="15" thickBot="1">
      <c r="A27" s="1017"/>
      <c r="B27" s="402" t="s">
        <v>1375</v>
      </c>
      <c r="C27" s="403"/>
      <c r="D27" s="403"/>
      <c r="E27" s="403"/>
      <c r="F27" s="394"/>
      <c r="G27" s="396"/>
      <c r="H27" s="1019"/>
    </row>
    <row r="28" spans="1:8" s="1" customFormat="1" ht="15.5" thickTop="1" thickBot="1">
      <c r="A28" s="1025"/>
      <c r="B28" s="1026"/>
      <c r="C28" s="1027" t="s">
        <v>1376</v>
      </c>
      <c r="D28" s="1028"/>
      <c r="E28" s="1028"/>
      <c r="F28" s="1029"/>
      <c r="G28" s="1030">
        <f>SUM(G26:G27)</f>
        <v>0</v>
      </c>
      <c r="H28" s="1031">
        <f>SUM(H26:H27)</f>
        <v>0</v>
      </c>
    </row>
  </sheetData>
  <mergeCells count="8">
    <mergeCell ref="A9:F9"/>
    <mergeCell ref="A1:B1"/>
    <mergeCell ref="G1:H1"/>
    <mergeCell ref="C4:D4"/>
    <mergeCell ref="A7:H7"/>
    <mergeCell ref="C5:D5"/>
    <mergeCell ref="B3:F3"/>
    <mergeCell ref="C2:H2"/>
  </mergeCells>
  <dataValidations count="1">
    <dataValidation type="whole" allowBlank="1" showInputMessage="1" showErrorMessage="1" errorTitle="Attention!" error="Valeur numérique attendue" sqref="G10:H28" xr:uid="{00000000-0002-0000-44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8"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Feuil71">
    <pageSetUpPr fitToPage="1"/>
  </sheetPr>
  <dimension ref="A1:H12"/>
  <sheetViews>
    <sheetView showGridLines="0" workbookViewId="0">
      <selection activeCell="B21" sqref="B21"/>
    </sheetView>
  </sheetViews>
  <sheetFormatPr baseColWidth="10" defaultRowHeight="14.5"/>
  <cols>
    <col min="1" max="1" width="12.81640625" customWidth="1"/>
    <col min="2" max="2" width="19" customWidth="1"/>
    <col min="4" max="6" width="10.453125" customWidth="1"/>
    <col min="7" max="8" width="16.54296875" customWidth="1"/>
  </cols>
  <sheetData>
    <row r="1" spans="1:8" s="48" customFormat="1" ht="18.75" customHeight="1">
      <c r="A1" s="1135" t="s">
        <v>1214</v>
      </c>
      <c r="B1" s="1137"/>
      <c r="C1" s="40"/>
      <c r="D1" s="40"/>
      <c r="E1" s="40" t="s">
        <v>183</v>
      </c>
      <c r="G1" s="2078" t="s">
        <v>2068</v>
      </c>
      <c r="H1" s="2079"/>
    </row>
    <row r="2" spans="1:8" s="48" customFormat="1" ht="15" customHeight="1">
      <c r="A2" s="7" t="s">
        <v>26</v>
      </c>
      <c r="B2" s="135"/>
      <c r="C2" s="1221">
        <f>'Liste ETATS SUPPL DGI'!C3</f>
        <v>0</v>
      </c>
      <c r="D2" s="1221"/>
      <c r="E2" s="1221"/>
      <c r="F2" s="1221"/>
      <c r="G2" s="1221"/>
      <c r="H2" s="1221"/>
    </row>
    <row r="3" spans="1:8" s="48" customFormat="1" ht="15" customHeight="1">
      <c r="A3" s="7" t="s">
        <v>27</v>
      </c>
      <c r="B3" s="1221">
        <f>'Liste ETATS SUPPL DGI'!B4</f>
        <v>0</v>
      </c>
      <c r="C3" s="1221"/>
      <c r="D3" s="1221"/>
      <c r="E3" s="1221"/>
      <c r="F3" s="1221"/>
      <c r="G3" s="61" t="s">
        <v>28</v>
      </c>
      <c r="H3" s="119">
        <f>'Liste ETATS SUPPL DGI'!I4</f>
        <v>0</v>
      </c>
    </row>
    <row r="4" spans="1:8" s="48" customFormat="1" ht="15" customHeight="1">
      <c r="A4" s="7" t="s">
        <v>2021</v>
      </c>
      <c r="B4" s="7"/>
      <c r="C4" s="1223">
        <f>'Liste ETATS SUPPL DGI'!C5</f>
        <v>0</v>
      </c>
      <c r="D4" s="1223"/>
      <c r="E4" s="61" t="s">
        <v>30</v>
      </c>
      <c r="F4" s="119">
        <f>'Liste ETATS SUPPL DGI'!F5</f>
        <v>0</v>
      </c>
      <c r="G4" s="61" t="s">
        <v>31</v>
      </c>
      <c r="H4" s="119">
        <f>'Liste ETATS SUPPL DGI'!I5</f>
        <v>0</v>
      </c>
    </row>
    <row r="5" spans="1:8" s="48" customFormat="1" ht="15" customHeight="1">
      <c r="A5" s="268" t="s">
        <v>2024</v>
      </c>
      <c r="B5" s="7"/>
      <c r="C5" s="1461">
        <f>'Liste ETATS SUPPL DGI'!C6</f>
        <v>0</v>
      </c>
      <c r="D5" s="1461"/>
      <c r="E5" s="312"/>
      <c r="F5" s="312"/>
      <c r="G5" s="312"/>
      <c r="H5" s="312"/>
    </row>
    <row r="6" spans="1:8" s="48" customFormat="1" ht="6" customHeight="1">
      <c r="A6" s="7"/>
      <c r="B6" s="7"/>
      <c r="C6" s="244"/>
      <c r="D6" s="244"/>
      <c r="E6" s="61"/>
      <c r="F6" s="245"/>
      <c r="G6" s="61"/>
      <c r="H6" s="244"/>
    </row>
    <row r="7" spans="1:8">
      <c r="A7" s="2080" t="s">
        <v>2065</v>
      </c>
      <c r="B7" s="2081"/>
      <c r="C7" s="2081"/>
      <c r="D7" s="2081"/>
      <c r="E7" s="2081"/>
      <c r="F7" s="2081"/>
      <c r="G7" s="2081"/>
      <c r="H7" s="2082"/>
    </row>
    <row r="8" spans="1:8" ht="6" customHeight="1" thickBot="1">
      <c r="A8" s="264"/>
      <c r="B8" s="265"/>
      <c r="C8" s="265"/>
      <c r="D8" s="265"/>
      <c r="E8" s="265"/>
      <c r="F8" s="265"/>
      <c r="G8" s="265"/>
      <c r="H8" s="266"/>
    </row>
    <row r="9" spans="1:8" ht="36.75" customHeight="1">
      <c r="A9" s="2083" t="s">
        <v>1633</v>
      </c>
      <c r="B9" s="2084"/>
      <c r="C9" s="2084"/>
      <c r="D9" s="2084"/>
      <c r="E9" s="2084"/>
      <c r="F9" s="2085"/>
      <c r="G9" s="1032" t="s">
        <v>591</v>
      </c>
      <c r="H9" s="1033" t="s">
        <v>1165</v>
      </c>
    </row>
    <row r="10" spans="1:8" s="1" customFormat="1" ht="17.149999999999999" customHeight="1">
      <c r="A10" s="1034"/>
      <c r="B10" s="400" t="s">
        <v>1499</v>
      </c>
      <c r="C10" s="406"/>
      <c r="D10" s="406"/>
      <c r="E10" s="406"/>
      <c r="F10" s="407"/>
      <c r="G10" s="410"/>
      <c r="H10" s="1035"/>
    </row>
    <row r="11" spans="1:8" s="1" customFormat="1" ht="17.149999999999999" customHeight="1">
      <c r="A11" s="1036"/>
      <c r="B11" s="402" t="s">
        <v>1500</v>
      </c>
      <c r="C11" s="408"/>
      <c r="D11" s="408"/>
      <c r="E11" s="408"/>
      <c r="F11" s="409"/>
      <c r="G11" s="411"/>
      <c r="H11" s="1037"/>
    </row>
    <row r="12" spans="1:8" s="1" customFormat="1" ht="17.149999999999999" customHeight="1" thickBot="1">
      <c r="A12" s="1038"/>
      <c r="B12" s="1039"/>
      <c r="C12" s="1040" t="s">
        <v>1501</v>
      </c>
      <c r="D12" s="1040"/>
      <c r="E12" s="1040"/>
      <c r="F12" s="1041"/>
      <c r="G12" s="1042">
        <f>SUM(G10:G11)</f>
        <v>0</v>
      </c>
      <c r="H12" s="1043">
        <f>SUM(H10:H11)</f>
        <v>0</v>
      </c>
    </row>
  </sheetData>
  <mergeCells count="8">
    <mergeCell ref="A9:F9"/>
    <mergeCell ref="A1:B1"/>
    <mergeCell ref="C4:D4"/>
    <mergeCell ref="A7:H7"/>
    <mergeCell ref="G1:H1"/>
    <mergeCell ref="C2:H2"/>
    <mergeCell ref="B3:F3"/>
    <mergeCell ref="C5:D5"/>
  </mergeCells>
  <dataValidations count="1">
    <dataValidation type="whole" allowBlank="1" showInputMessage="1" showErrorMessage="1" errorTitle="Attention!" error="Valeur numérique attendue" sqref="G10:H11" xr:uid="{00000000-0002-0000-45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8"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Feuil72">
    <pageSetUpPr fitToPage="1"/>
  </sheetPr>
  <dimension ref="A1:N42"/>
  <sheetViews>
    <sheetView showGridLines="0" topLeftCell="A15" workbookViewId="0">
      <selection activeCell="I33" sqref="I33:N42"/>
    </sheetView>
  </sheetViews>
  <sheetFormatPr baseColWidth="10" defaultRowHeight="14.5"/>
  <cols>
    <col min="1" max="1" width="34.54296875" customWidth="1"/>
    <col min="2" max="2" width="6.54296875" customWidth="1"/>
    <col min="3" max="3" width="6.453125" customWidth="1"/>
    <col min="4" max="4" width="11" customWidth="1"/>
    <col min="5" max="5" width="4.1796875" customWidth="1"/>
    <col min="6" max="6" width="11" customWidth="1"/>
    <col min="7" max="7" width="4.1796875" customWidth="1"/>
    <col min="8" max="8" width="0.54296875" customWidth="1"/>
    <col min="9" max="9" width="36.453125" customWidth="1"/>
    <col min="10" max="10" width="8.54296875" customWidth="1"/>
    <col min="11" max="11" width="9.81640625" customWidth="1"/>
    <col min="12" max="12" width="15.54296875" customWidth="1"/>
    <col min="13" max="13" width="9.81640625" customWidth="1"/>
    <col min="14" max="14" width="15.54296875" customWidth="1"/>
  </cols>
  <sheetData>
    <row r="1" spans="1:14">
      <c r="A1" s="1134" t="s">
        <v>183</v>
      </c>
      <c r="B1" s="1134"/>
      <c r="C1" s="1134"/>
      <c r="D1" s="1134"/>
      <c r="E1" s="1134"/>
      <c r="F1" s="1134"/>
      <c r="G1" s="1134"/>
      <c r="H1" s="1134"/>
      <c r="I1" s="1134"/>
      <c r="J1" s="1134"/>
      <c r="K1" s="1134"/>
      <c r="L1" s="1134"/>
      <c r="M1" s="1134"/>
      <c r="N1" s="1134"/>
    </row>
    <row r="2" spans="1:14" ht="18" customHeight="1">
      <c r="A2" s="314"/>
      <c r="B2" s="29"/>
      <c r="C2" s="40"/>
      <c r="D2" s="40"/>
      <c r="E2" s="40"/>
      <c r="F2" s="40"/>
      <c r="G2" s="40"/>
      <c r="H2" s="40"/>
      <c r="L2" s="2078" t="s">
        <v>1503</v>
      </c>
      <c r="M2" s="2144"/>
      <c r="N2" s="2079"/>
    </row>
    <row r="3" spans="1:14" s="132" customFormat="1" ht="22" customHeight="1">
      <c r="A3" s="7" t="s">
        <v>26</v>
      </c>
      <c r="B3" s="1221">
        <f>'Liste ETATS SUPPL DGI'!C3</f>
        <v>0</v>
      </c>
      <c r="C3" s="1221"/>
      <c r="D3" s="1221"/>
      <c r="E3" s="1221"/>
      <c r="F3" s="1221"/>
      <c r="G3" s="1221"/>
      <c r="H3" s="1221"/>
      <c r="I3" s="1221"/>
      <c r="J3" s="1221"/>
      <c r="K3" s="1221"/>
      <c r="L3" s="1221"/>
      <c r="M3" s="1221"/>
      <c r="N3" s="1221"/>
    </row>
    <row r="4" spans="1:14" s="132" customFormat="1" ht="15" customHeight="1">
      <c r="A4" s="7" t="s">
        <v>27</v>
      </c>
      <c r="B4" s="1221">
        <f>'Liste ETATS SUPPL DGI'!B4</f>
        <v>0</v>
      </c>
      <c r="C4" s="1221"/>
      <c r="D4" s="1221"/>
      <c r="E4" s="1221"/>
      <c r="F4" s="1221"/>
      <c r="G4" s="1221"/>
      <c r="H4" s="1221"/>
      <c r="I4" s="1221"/>
      <c r="J4" s="1221"/>
      <c r="K4" s="1221"/>
      <c r="L4" s="61" t="s">
        <v>28</v>
      </c>
      <c r="M4" s="1215">
        <f>'Liste ETATS SUPPL DGI'!I4</f>
        <v>0</v>
      </c>
      <c r="N4" s="1215"/>
    </row>
    <row r="5" spans="1:14" s="132" customFormat="1" ht="15" customHeight="1">
      <c r="A5" s="7" t="s">
        <v>2021</v>
      </c>
      <c r="B5" s="1223">
        <f>'Liste ETATS SUPPL DGI'!C5</f>
        <v>0</v>
      </c>
      <c r="C5" s="1223"/>
      <c r="D5" s="1223"/>
      <c r="E5" s="1223"/>
      <c r="F5" s="1223"/>
      <c r="G5" s="1223"/>
      <c r="H5" s="382"/>
      <c r="I5" s="383" t="s">
        <v>30</v>
      </c>
      <c r="J5" s="1214">
        <f>'Liste ETATS SUPPL DGI'!F5</f>
        <v>0</v>
      </c>
      <c r="K5" s="1214"/>
      <c r="M5" s="61" t="s">
        <v>31</v>
      </c>
      <c r="N5" s="119">
        <f>'Liste ETATS SUPPL DGI'!I5</f>
        <v>0</v>
      </c>
    </row>
    <row r="6" spans="1:14" s="132" customFormat="1" ht="15" customHeight="1">
      <c r="A6" s="268" t="s">
        <v>2024</v>
      </c>
      <c r="B6" s="1461">
        <f>'Liste ETATS SUPPL DGI'!C6</f>
        <v>0</v>
      </c>
      <c r="C6" s="1461"/>
      <c r="D6" s="1461"/>
      <c r="E6" s="1461"/>
      <c r="F6" s="1461"/>
      <c r="G6" s="1461"/>
      <c r="H6" s="270"/>
      <c r="I6" s="262"/>
      <c r="J6" s="44"/>
      <c r="K6" s="44"/>
      <c r="L6" s="267"/>
      <c r="M6" s="263"/>
      <c r="N6" s="44"/>
    </row>
    <row r="7" spans="1:14" ht="30" customHeight="1" thickBot="1">
      <c r="A7" s="1169" t="s">
        <v>2064</v>
      </c>
      <c r="B7" s="1169"/>
      <c r="C7" s="1169"/>
      <c r="D7" s="1169"/>
      <c r="E7" s="1169"/>
      <c r="F7" s="1169"/>
      <c r="G7" s="1169"/>
      <c r="H7" s="1169"/>
      <c r="I7" s="1169"/>
      <c r="J7" s="1169"/>
      <c r="K7" s="1169"/>
      <c r="L7" s="1169"/>
      <c r="M7" s="1169"/>
      <c r="N7" s="1169"/>
    </row>
    <row r="8" spans="1:14" s="3" customFormat="1" ht="13.5" customHeight="1">
      <c r="A8" s="2145" t="s">
        <v>1912</v>
      </c>
      <c r="B8" s="2146"/>
      <c r="C8" s="2146"/>
      <c r="D8" s="2146"/>
      <c r="E8" s="2146"/>
      <c r="F8" s="2146"/>
      <c r="G8" s="2147"/>
      <c r="H8" s="55"/>
      <c r="I8" s="2145" t="s">
        <v>1913</v>
      </c>
      <c r="J8" s="2148"/>
      <c r="K8" s="2148"/>
      <c r="L8" s="2148"/>
      <c r="M8" s="2148"/>
      <c r="N8" s="2149"/>
    </row>
    <row r="9" spans="1:14" s="3" customFormat="1" ht="15" customHeight="1">
      <c r="A9" s="1775" t="s">
        <v>1041</v>
      </c>
      <c r="B9" s="1776"/>
      <c r="C9" s="1776"/>
      <c r="D9" s="1776" t="s">
        <v>1042</v>
      </c>
      <c r="E9" s="1776"/>
      <c r="F9" s="1776" t="s">
        <v>1043</v>
      </c>
      <c r="G9" s="2152"/>
      <c r="H9" s="55"/>
      <c r="I9" s="1706" t="s">
        <v>939</v>
      </c>
      <c r="J9" s="1378" t="s">
        <v>1044</v>
      </c>
      <c r="K9" s="1378" t="s">
        <v>1045</v>
      </c>
      <c r="L9" s="1378"/>
      <c r="M9" s="1378" t="s">
        <v>1046</v>
      </c>
      <c r="N9" s="1379"/>
    </row>
    <row r="10" spans="1:14" s="3" customFormat="1" ht="10.5">
      <c r="A10" s="2150"/>
      <c r="B10" s="2151"/>
      <c r="C10" s="2151"/>
      <c r="D10" s="2151"/>
      <c r="E10" s="2151"/>
      <c r="F10" s="2151"/>
      <c r="G10" s="2153"/>
      <c r="H10" s="55"/>
      <c r="I10" s="1706"/>
      <c r="J10" s="1378"/>
      <c r="K10" s="1378"/>
      <c r="L10" s="1378"/>
      <c r="M10" s="1378"/>
      <c r="N10" s="1379"/>
    </row>
    <row r="11" spans="1:14" s="3" customFormat="1" ht="15.75" customHeight="1">
      <c r="A11" s="2150"/>
      <c r="B11" s="2151"/>
      <c r="C11" s="2151"/>
      <c r="D11" s="2151"/>
      <c r="E11" s="2151"/>
      <c r="F11" s="2151"/>
      <c r="G11" s="2153"/>
      <c r="H11" s="55"/>
      <c r="I11" s="1706"/>
      <c r="J11" s="1378"/>
      <c r="K11" s="1378"/>
      <c r="L11" s="1378"/>
      <c r="M11" s="1378"/>
      <c r="N11" s="1379"/>
    </row>
    <row r="12" spans="1:14" ht="13.5" customHeight="1">
      <c r="A12" s="1773"/>
      <c r="B12" s="1774"/>
      <c r="C12" s="1774"/>
      <c r="D12" s="1774"/>
      <c r="E12" s="1774"/>
      <c r="F12" s="1774"/>
      <c r="G12" s="2154"/>
      <c r="H12" s="55"/>
      <c r="I12" s="1706"/>
      <c r="J12" s="1378"/>
      <c r="K12" s="308" t="s">
        <v>946</v>
      </c>
      <c r="L12" s="308" t="s">
        <v>947</v>
      </c>
      <c r="M12" s="308" t="s">
        <v>946</v>
      </c>
      <c r="N12" s="788" t="s">
        <v>947</v>
      </c>
    </row>
    <row r="13" spans="1:14" ht="13" customHeight="1">
      <c r="A13" s="1044"/>
      <c r="B13" s="55"/>
      <c r="C13" s="55"/>
      <c r="D13" s="2138"/>
      <c r="E13" s="2138"/>
      <c r="F13" s="2138"/>
      <c r="G13" s="2139"/>
      <c r="H13" s="55"/>
      <c r="I13" s="1051"/>
      <c r="J13" s="167"/>
      <c r="K13" s="151"/>
      <c r="L13" s="151"/>
      <c r="M13" s="151"/>
      <c r="N13" s="960"/>
    </row>
    <row r="14" spans="1:14" ht="13" customHeight="1">
      <c r="A14" s="2136" t="s">
        <v>1047</v>
      </c>
      <c r="B14" s="2137"/>
      <c r="C14" s="2137"/>
      <c r="D14" s="2134"/>
      <c r="E14" s="2134"/>
      <c r="F14" s="2134"/>
      <c r="G14" s="2135"/>
      <c r="H14" s="55"/>
      <c r="I14" s="1051"/>
      <c r="J14" s="167"/>
      <c r="K14" s="151"/>
      <c r="L14" s="151"/>
      <c r="M14" s="151"/>
      <c r="N14" s="960"/>
    </row>
    <row r="15" spans="1:14" ht="13" customHeight="1">
      <c r="A15" s="1044"/>
      <c r="B15" s="55"/>
      <c r="C15" s="55"/>
      <c r="D15" s="2134"/>
      <c r="E15" s="2134"/>
      <c r="F15" s="2134"/>
      <c r="G15" s="2135"/>
      <c r="H15" s="55"/>
      <c r="I15" s="1051"/>
      <c r="J15" s="167"/>
      <c r="K15" s="151"/>
      <c r="L15" s="151"/>
      <c r="M15" s="151"/>
      <c r="N15" s="960"/>
    </row>
    <row r="16" spans="1:14" ht="13" customHeight="1">
      <c r="A16" s="1045"/>
      <c r="B16" s="3"/>
      <c r="C16" s="3"/>
      <c r="D16" s="2134"/>
      <c r="E16" s="2134"/>
      <c r="F16" s="2134"/>
      <c r="G16" s="2135"/>
      <c r="H16" s="55"/>
      <c r="I16" s="1051"/>
      <c r="J16" s="167"/>
      <c r="K16" s="151"/>
      <c r="L16" s="151"/>
      <c r="M16" s="151"/>
      <c r="N16" s="960"/>
    </row>
    <row r="17" spans="1:14" ht="13" customHeight="1">
      <c r="A17" s="1891" t="s">
        <v>1048</v>
      </c>
      <c r="B17" s="1892"/>
      <c r="C17" s="1892"/>
      <c r="D17" s="2134"/>
      <c r="E17" s="2134"/>
      <c r="F17" s="2134"/>
      <c r="G17" s="2135"/>
      <c r="H17" s="55"/>
      <c r="I17" s="1051"/>
      <c r="J17" s="167"/>
      <c r="K17" s="151"/>
      <c r="L17" s="151"/>
      <c r="M17" s="151"/>
      <c r="N17" s="960"/>
    </row>
    <row r="18" spans="1:14" ht="13" customHeight="1">
      <c r="A18" s="968" t="s">
        <v>1049</v>
      </c>
      <c r="B18" s="122"/>
      <c r="C18" s="122"/>
      <c r="D18" s="2130"/>
      <c r="E18" s="2130"/>
      <c r="F18" s="2130"/>
      <c r="G18" s="2131"/>
      <c r="H18" s="55"/>
      <c r="I18" s="1051"/>
      <c r="J18" s="167"/>
      <c r="K18" s="151"/>
      <c r="L18" s="151"/>
      <c r="M18" s="151"/>
      <c r="N18" s="960"/>
    </row>
    <row r="19" spans="1:14" ht="13" customHeight="1">
      <c r="A19" s="2132" t="s">
        <v>1050</v>
      </c>
      <c r="B19" s="2133"/>
      <c r="C19" s="2133"/>
      <c r="D19" s="2100"/>
      <c r="E19" s="2100"/>
      <c r="F19" s="2100"/>
      <c r="G19" s="2101"/>
      <c r="H19" s="55"/>
      <c r="I19" s="1051"/>
      <c r="J19" s="167"/>
      <c r="K19" s="151"/>
      <c r="L19" s="151"/>
      <c r="M19" s="151"/>
      <c r="N19" s="960"/>
    </row>
    <row r="20" spans="1:14" ht="13" customHeight="1">
      <c r="A20" s="1044"/>
      <c r="B20" s="55"/>
      <c r="C20" s="55"/>
      <c r="D20" s="2134"/>
      <c r="E20" s="2134"/>
      <c r="F20" s="2134"/>
      <c r="G20" s="2135"/>
      <c r="H20" s="55"/>
      <c r="I20" s="1051"/>
      <c r="J20" s="167"/>
      <c r="K20" s="151"/>
      <c r="L20" s="151"/>
      <c r="M20" s="151"/>
      <c r="N20" s="960"/>
    </row>
    <row r="21" spans="1:14" ht="13" customHeight="1">
      <c r="A21" s="2136" t="s">
        <v>1051</v>
      </c>
      <c r="B21" s="2137"/>
      <c r="C21" s="2137"/>
      <c r="D21" s="2134"/>
      <c r="E21" s="2134"/>
      <c r="F21" s="2134"/>
      <c r="G21" s="2135"/>
      <c r="H21" s="55"/>
      <c r="I21" s="1051"/>
      <c r="J21" s="167"/>
      <c r="K21" s="151"/>
      <c r="L21" s="151"/>
      <c r="M21" s="151"/>
      <c r="N21" s="960"/>
    </row>
    <row r="22" spans="1:14" ht="13" customHeight="1">
      <c r="A22" s="2128"/>
      <c r="B22" s="2129"/>
      <c r="C22" s="2129"/>
      <c r="D22" s="2130"/>
      <c r="E22" s="2130"/>
      <c r="F22" s="2130"/>
      <c r="G22" s="2131"/>
      <c r="H22" s="55"/>
      <c r="I22" s="1051"/>
      <c r="J22" s="167"/>
      <c r="K22" s="151"/>
      <c r="L22" s="151"/>
      <c r="M22" s="151"/>
      <c r="N22" s="960"/>
    </row>
    <row r="23" spans="1:14" ht="13" customHeight="1">
      <c r="A23" s="2122"/>
      <c r="B23" s="2123"/>
      <c r="C23" s="2123"/>
      <c r="D23" s="2100"/>
      <c r="E23" s="2100"/>
      <c r="F23" s="2100"/>
      <c r="G23" s="2101"/>
      <c r="H23" s="55"/>
      <c r="I23" s="1051"/>
      <c r="J23" s="167"/>
      <c r="K23" s="151"/>
      <c r="L23" s="151"/>
      <c r="M23" s="151"/>
      <c r="N23" s="960"/>
    </row>
    <row r="24" spans="1:14" ht="13" customHeight="1">
      <c r="A24" s="2122"/>
      <c r="B24" s="2123"/>
      <c r="C24" s="2123"/>
      <c r="D24" s="2100"/>
      <c r="E24" s="2100"/>
      <c r="F24" s="2100"/>
      <c r="G24" s="2101"/>
      <c r="H24" s="55"/>
      <c r="I24" s="1051"/>
      <c r="J24" s="167"/>
      <c r="K24" s="151"/>
      <c r="L24" s="151"/>
      <c r="M24" s="151"/>
      <c r="N24" s="960"/>
    </row>
    <row r="25" spans="1:14" ht="13" customHeight="1">
      <c r="A25" s="2122"/>
      <c r="B25" s="2123"/>
      <c r="C25" s="2123"/>
      <c r="D25" s="2100"/>
      <c r="E25" s="2100"/>
      <c r="F25" s="2100"/>
      <c r="G25" s="2101"/>
      <c r="H25" s="55"/>
      <c r="I25" s="1051"/>
      <c r="J25" s="167"/>
      <c r="K25" s="151"/>
      <c r="L25" s="151"/>
      <c r="M25" s="151"/>
      <c r="N25" s="960"/>
    </row>
    <row r="26" spans="1:14" ht="13" customHeight="1">
      <c r="A26" s="2122"/>
      <c r="B26" s="2123"/>
      <c r="C26" s="2123"/>
      <c r="D26" s="2100"/>
      <c r="E26" s="2100"/>
      <c r="F26" s="2100"/>
      <c r="G26" s="2101"/>
      <c r="H26" s="55"/>
      <c r="I26" s="1051"/>
      <c r="J26" s="167"/>
      <c r="K26" s="151"/>
      <c r="L26" s="151"/>
      <c r="M26" s="151"/>
      <c r="N26" s="960"/>
    </row>
    <row r="27" spans="1:14" ht="13" customHeight="1">
      <c r="A27" s="2122"/>
      <c r="B27" s="2123"/>
      <c r="C27" s="2123"/>
      <c r="D27" s="2100"/>
      <c r="E27" s="2100"/>
      <c r="F27" s="2100"/>
      <c r="G27" s="2101"/>
      <c r="H27" s="55"/>
      <c r="I27" s="1051"/>
      <c r="J27" s="167"/>
      <c r="K27" s="151"/>
      <c r="L27" s="151"/>
      <c r="M27" s="151"/>
      <c r="N27" s="960"/>
    </row>
    <row r="28" spans="1:14" ht="13" customHeight="1">
      <c r="A28" s="2122"/>
      <c r="B28" s="2123"/>
      <c r="C28" s="2123"/>
      <c r="D28" s="2100"/>
      <c r="E28" s="2100"/>
      <c r="F28" s="2100"/>
      <c r="G28" s="2101"/>
      <c r="H28" s="55"/>
      <c r="I28" s="1051"/>
      <c r="J28" s="167"/>
      <c r="K28" s="151"/>
      <c r="L28" s="151"/>
      <c r="M28" s="151"/>
      <c r="N28" s="960"/>
    </row>
    <row r="29" spans="1:14" ht="13" customHeight="1">
      <c r="A29" s="2122"/>
      <c r="B29" s="2123"/>
      <c r="C29" s="2123"/>
      <c r="D29" s="2100"/>
      <c r="E29" s="2100"/>
      <c r="F29" s="2100"/>
      <c r="G29" s="2101"/>
      <c r="H29" s="55"/>
      <c r="I29" s="1051"/>
      <c r="J29" s="167"/>
      <c r="K29" s="151"/>
      <c r="L29" s="151"/>
      <c r="M29" s="151"/>
      <c r="N29" s="960"/>
    </row>
    <row r="30" spans="1:14" ht="13" customHeight="1">
      <c r="A30" s="2122"/>
      <c r="B30" s="2123"/>
      <c r="C30" s="2123"/>
      <c r="D30" s="2100"/>
      <c r="E30" s="2100"/>
      <c r="F30" s="2100"/>
      <c r="G30" s="2101"/>
      <c r="H30" s="55"/>
      <c r="I30" s="2140" t="s">
        <v>948</v>
      </c>
      <c r="J30" s="2141"/>
      <c r="K30" s="151"/>
      <c r="L30" s="151"/>
      <c r="M30" s="151"/>
      <c r="N30" s="960"/>
    </row>
    <row r="31" spans="1:14" ht="13" customHeight="1" thickBot="1">
      <c r="A31" s="2122"/>
      <c r="B31" s="2123"/>
      <c r="C31" s="2127"/>
      <c r="D31" s="2103"/>
      <c r="E31" s="2103"/>
      <c r="F31" s="2103"/>
      <c r="G31" s="2104"/>
      <c r="H31" s="55"/>
      <c r="I31" s="2142" t="s">
        <v>480</v>
      </c>
      <c r="J31" s="2143"/>
      <c r="K31" s="1052">
        <f>SUM(K13:K30)</f>
        <v>0</v>
      </c>
      <c r="L31" s="1052">
        <f t="shared" ref="L31:N31" si="0">SUM(L13:L30)</f>
        <v>0</v>
      </c>
      <c r="M31" s="1052">
        <f t="shared" si="0"/>
        <v>0</v>
      </c>
      <c r="N31" s="1053">
        <f t="shared" si="0"/>
        <v>0</v>
      </c>
    </row>
    <row r="32" spans="1:14" ht="2.25" customHeight="1" thickBot="1">
      <c r="A32" s="1044"/>
      <c r="B32" s="55"/>
      <c r="C32" s="55"/>
      <c r="D32" s="55"/>
      <c r="E32" s="55"/>
      <c r="F32" s="55"/>
      <c r="G32" s="1046"/>
      <c r="H32" s="55"/>
      <c r="I32" s="55"/>
      <c r="J32" s="55"/>
      <c r="K32" s="55"/>
      <c r="L32" s="55"/>
      <c r="M32" s="55"/>
      <c r="N32" s="55"/>
    </row>
    <row r="33" spans="1:14" ht="13.5" customHeight="1">
      <c r="A33" s="1054" t="s">
        <v>1915</v>
      </c>
      <c r="B33" s="2124" t="s">
        <v>1052</v>
      </c>
      <c r="C33" s="2125"/>
      <c r="D33" s="2125"/>
      <c r="E33" s="2125"/>
      <c r="F33" s="2125"/>
      <c r="G33" s="2126"/>
      <c r="H33" s="55"/>
      <c r="I33" s="2113" t="s">
        <v>1914</v>
      </c>
      <c r="J33" s="2114"/>
      <c r="K33" s="2114"/>
      <c r="L33" s="2114"/>
      <c r="M33" s="2115" t="s">
        <v>591</v>
      </c>
      <c r="N33" s="2116"/>
    </row>
    <row r="34" spans="1:14" ht="22.5" customHeight="1">
      <c r="A34" s="2117" t="s">
        <v>1053</v>
      </c>
      <c r="B34" s="1777" t="s">
        <v>838</v>
      </c>
      <c r="C34" s="1777"/>
      <c r="D34" s="1777" t="s">
        <v>839</v>
      </c>
      <c r="E34" s="1777"/>
      <c r="F34" s="1777"/>
      <c r="G34" s="1768"/>
      <c r="H34" s="55"/>
      <c r="I34" s="2105" t="s">
        <v>1054</v>
      </c>
      <c r="J34" s="2106"/>
      <c r="K34" s="2106"/>
      <c r="L34" s="2107"/>
      <c r="M34" s="2108"/>
      <c r="N34" s="2109"/>
    </row>
    <row r="35" spans="1:14" ht="12" customHeight="1">
      <c r="A35" s="2117"/>
      <c r="B35" s="121" t="s">
        <v>846</v>
      </c>
      <c r="C35" s="121" t="s">
        <v>445</v>
      </c>
      <c r="D35" s="1777" t="s">
        <v>846</v>
      </c>
      <c r="E35" s="1777"/>
      <c r="F35" s="1777" t="s">
        <v>445</v>
      </c>
      <c r="G35" s="1768"/>
      <c r="H35" s="55"/>
      <c r="I35" s="1891" t="s">
        <v>1055</v>
      </c>
      <c r="J35" s="1892"/>
      <c r="K35" s="1892"/>
      <c r="L35" s="1893"/>
      <c r="M35" s="2118"/>
      <c r="N35" s="2119"/>
    </row>
    <row r="36" spans="1:14" ht="13" customHeight="1">
      <c r="A36" s="1044" t="s">
        <v>1056</v>
      </c>
      <c r="B36" s="165"/>
      <c r="C36" s="165"/>
      <c r="D36" s="2100"/>
      <c r="E36" s="2100"/>
      <c r="F36" s="2100"/>
      <c r="G36" s="2101"/>
      <c r="H36" s="55"/>
      <c r="I36" s="968" t="s">
        <v>1057</v>
      </c>
      <c r="J36" s="122"/>
      <c r="K36" s="122"/>
      <c r="L36" s="123"/>
      <c r="M36" s="2120"/>
      <c r="N36" s="2121"/>
    </row>
    <row r="37" spans="1:14" ht="24.75" customHeight="1">
      <c r="A37" s="1044" t="s">
        <v>1058</v>
      </c>
      <c r="B37" s="166"/>
      <c r="C37" s="166"/>
      <c r="D37" s="2103"/>
      <c r="E37" s="2103"/>
      <c r="F37" s="2103"/>
      <c r="G37" s="2104"/>
      <c r="H37" s="55"/>
      <c r="I37" s="2110" t="s">
        <v>318</v>
      </c>
      <c r="J37" s="2111"/>
      <c r="K37" s="2111"/>
      <c r="L37" s="2112"/>
      <c r="M37" s="2093">
        <f>SUM(M34:N36)</f>
        <v>0</v>
      </c>
      <c r="N37" s="2095"/>
    </row>
    <row r="38" spans="1:14" ht="24.75" customHeight="1">
      <c r="A38" s="1044" t="s">
        <v>1059</v>
      </c>
      <c r="B38" s="166"/>
      <c r="C38" s="166"/>
      <c r="D38" s="2103"/>
      <c r="E38" s="2103"/>
      <c r="F38" s="2103"/>
      <c r="G38" s="2104"/>
      <c r="H38" s="55"/>
      <c r="I38" s="2105" t="s">
        <v>1060</v>
      </c>
      <c r="J38" s="2106"/>
      <c r="K38" s="2106"/>
      <c r="L38" s="2107"/>
      <c r="M38" s="2108"/>
      <c r="N38" s="2109"/>
    </row>
    <row r="39" spans="1:14" ht="24.75" customHeight="1">
      <c r="A39" s="1044" t="s">
        <v>1061</v>
      </c>
      <c r="B39" s="166"/>
      <c r="C39" s="166"/>
      <c r="D39" s="2103"/>
      <c r="E39" s="2103"/>
      <c r="F39" s="2103"/>
      <c r="G39" s="2104"/>
      <c r="H39" s="55"/>
      <c r="I39" s="1891" t="s">
        <v>1062</v>
      </c>
      <c r="J39" s="1892"/>
      <c r="K39" s="1892"/>
      <c r="L39" s="1893"/>
      <c r="M39" s="2108"/>
      <c r="N39" s="2109"/>
    </row>
    <row r="40" spans="1:14" s="1" customFormat="1" ht="13" customHeight="1">
      <c r="A40" s="1047" t="s">
        <v>480</v>
      </c>
      <c r="B40" s="315">
        <f>SUM(B36:B39)</f>
        <v>0</v>
      </c>
      <c r="C40" s="315">
        <f>SUM(C36:C39)</f>
        <v>0</v>
      </c>
      <c r="D40" s="2093">
        <f>SUM(D36:E39)</f>
        <v>0</v>
      </c>
      <c r="E40" s="2094"/>
      <c r="F40" s="2093">
        <f>SUM(F36:G39)</f>
        <v>0</v>
      </c>
      <c r="G40" s="2095"/>
      <c r="H40" s="55"/>
      <c r="I40" s="1937"/>
      <c r="J40" s="1938"/>
      <c r="K40" s="1938"/>
      <c r="L40" s="2096"/>
      <c r="M40" s="2097"/>
      <c r="N40" s="2098"/>
    </row>
    <row r="41" spans="1:14" s="1" customFormat="1" ht="13" customHeight="1">
      <c r="A41" s="1048" t="s">
        <v>1063</v>
      </c>
      <c r="B41" s="165"/>
      <c r="C41" s="165"/>
      <c r="D41" s="2099"/>
      <c r="E41" s="2099"/>
      <c r="F41" s="2100"/>
      <c r="G41" s="2101"/>
      <c r="H41" s="55"/>
      <c r="I41" s="1055"/>
      <c r="J41" s="56"/>
      <c r="K41" s="56"/>
      <c r="L41" s="57"/>
      <c r="M41" s="2102"/>
      <c r="N41" s="2098"/>
    </row>
    <row r="42" spans="1:14" s="1" customFormat="1" ht="13" customHeight="1" thickBot="1">
      <c r="A42" s="1049" t="s">
        <v>1064</v>
      </c>
      <c r="B42" s="1050"/>
      <c r="C42" s="1050"/>
      <c r="D42" s="2086"/>
      <c r="E42" s="2086"/>
      <c r="F42" s="2087"/>
      <c r="G42" s="2088"/>
      <c r="H42" s="164"/>
      <c r="I42" s="2089" t="s">
        <v>1065</v>
      </c>
      <c r="J42" s="2090"/>
      <c r="K42" s="2090"/>
      <c r="L42" s="2090"/>
      <c r="M42" s="2091">
        <f>SUM(M38:N41)</f>
        <v>0</v>
      </c>
      <c r="N42" s="2092"/>
    </row>
  </sheetData>
  <mergeCells count="109">
    <mergeCell ref="B6:G6"/>
    <mergeCell ref="I30:J30"/>
    <mergeCell ref="I31:J31"/>
    <mergeCell ref="A1:N1"/>
    <mergeCell ref="L2:N2"/>
    <mergeCell ref="B3:N3"/>
    <mergeCell ref="B4:K4"/>
    <mergeCell ref="M4:N4"/>
    <mergeCell ref="B5:G5"/>
    <mergeCell ref="J5:K5"/>
    <mergeCell ref="A7:N7"/>
    <mergeCell ref="A8:G8"/>
    <mergeCell ref="I8:N8"/>
    <mergeCell ref="A9:C12"/>
    <mergeCell ref="D9:E12"/>
    <mergeCell ref="F9:G12"/>
    <mergeCell ref="I9:I12"/>
    <mergeCell ref="J9:J12"/>
    <mergeCell ref="K9:L11"/>
    <mergeCell ref="M9:N11"/>
    <mergeCell ref="D16:E16"/>
    <mergeCell ref="F16:G16"/>
    <mergeCell ref="A17:C17"/>
    <mergeCell ref="D17:E17"/>
    <mergeCell ref="F17:G17"/>
    <mergeCell ref="D18:E18"/>
    <mergeCell ref="F18:G18"/>
    <mergeCell ref="D13:E13"/>
    <mergeCell ref="F13:G13"/>
    <mergeCell ref="A14:C14"/>
    <mergeCell ref="D14:E14"/>
    <mergeCell ref="F14:G14"/>
    <mergeCell ref="D15:E15"/>
    <mergeCell ref="F15:G15"/>
    <mergeCell ref="A22:C22"/>
    <mergeCell ref="D22:E22"/>
    <mergeCell ref="F22:G22"/>
    <mergeCell ref="A23:C23"/>
    <mergeCell ref="D23:E23"/>
    <mergeCell ref="F23:G23"/>
    <mergeCell ref="A19:C19"/>
    <mergeCell ref="D19:E19"/>
    <mergeCell ref="F19:G19"/>
    <mergeCell ref="D20:E20"/>
    <mergeCell ref="F20:G20"/>
    <mergeCell ref="A21:C21"/>
    <mergeCell ref="D21:E21"/>
    <mergeCell ref="F21:G21"/>
    <mergeCell ref="A26:C26"/>
    <mergeCell ref="D26:E26"/>
    <mergeCell ref="F26:G26"/>
    <mergeCell ref="A27:C27"/>
    <mergeCell ref="D27:E27"/>
    <mergeCell ref="F27:G27"/>
    <mergeCell ref="A24:C24"/>
    <mergeCell ref="D24:E24"/>
    <mergeCell ref="F24:G24"/>
    <mergeCell ref="A25:C25"/>
    <mergeCell ref="D25:E25"/>
    <mergeCell ref="F25:G25"/>
    <mergeCell ref="A30:C30"/>
    <mergeCell ref="D30:E30"/>
    <mergeCell ref="F30:G30"/>
    <mergeCell ref="D31:E31"/>
    <mergeCell ref="F31:G31"/>
    <mergeCell ref="B33:G33"/>
    <mergeCell ref="A28:C28"/>
    <mergeCell ref="D28:E28"/>
    <mergeCell ref="F28:G28"/>
    <mergeCell ref="A29:C29"/>
    <mergeCell ref="D29:E29"/>
    <mergeCell ref="F29:G29"/>
    <mergeCell ref="A31:C31"/>
    <mergeCell ref="I33:L33"/>
    <mergeCell ref="M33:N33"/>
    <mergeCell ref="A34:A35"/>
    <mergeCell ref="B34:C34"/>
    <mergeCell ref="D34:G34"/>
    <mergeCell ref="I34:L34"/>
    <mergeCell ref="M34:N34"/>
    <mergeCell ref="D35:E35"/>
    <mergeCell ref="F35:G35"/>
    <mergeCell ref="I35:L35"/>
    <mergeCell ref="M35:N36"/>
    <mergeCell ref="D38:E38"/>
    <mergeCell ref="F38:G38"/>
    <mergeCell ref="I38:L38"/>
    <mergeCell ref="M38:N38"/>
    <mergeCell ref="D39:E39"/>
    <mergeCell ref="F39:G39"/>
    <mergeCell ref="I39:L39"/>
    <mergeCell ref="M39:N39"/>
    <mergeCell ref="D36:E36"/>
    <mergeCell ref="F36:G36"/>
    <mergeCell ref="D37:E37"/>
    <mergeCell ref="F37:G37"/>
    <mergeCell ref="I37:L37"/>
    <mergeCell ref="M37:N37"/>
    <mergeCell ref="D42:E42"/>
    <mergeCell ref="F42:G42"/>
    <mergeCell ref="I42:L42"/>
    <mergeCell ref="M42:N42"/>
    <mergeCell ref="D40:E40"/>
    <mergeCell ref="F40:G40"/>
    <mergeCell ref="I40:L40"/>
    <mergeCell ref="M40:N40"/>
    <mergeCell ref="D41:E41"/>
    <mergeCell ref="F41:G41"/>
    <mergeCell ref="M41:N41"/>
  </mergeCells>
  <dataValidations count="1">
    <dataValidation type="whole" allowBlank="1" showInputMessage="1" showErrorMessage="1" errorTitle="Attention!" error="Valeur numérique attendue" sqref="D19:G19 D23:G31 K13:N30 B36:G39 B41:G42 M34:N36 M38:N39" xr:uid="{00000000-0002-0000-4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Feuil73">
    <pageSetUpPr fitToPage="1"/>
  </sheetPr>
  <dimension ref="A1:J31"/>
  <sheetViews>
    <sheetView showGridLines="0" topLeftCell="A9" workbookViewId="0">
      <selection activeCell="H11" sqref="H11"/>
    </sheetView>
  </sheetViews>
  <sheetFormatPr baseColWidth="10" defaultRowHeight="14.5"/>
  <cols>
    <col min="2" max="2" width="18.453125" customWidth="1"/>
    <col min="5" max="5" width="13.54296875" customWidth="1"/>
    <col min="6" max="6" width="17.453125" customWidth="1"/>
    <col min="7" max="10" width="15.54296875" customWidth="1"/>
  </cols>
  <sheetData>
    <row r="1" spans="1:10">
      <c r="A1" s="1134" t="s">
        <v>183</v>
      </c>
      <c r="B1" s="1134"/>
      <c r="C1" s="1134"/>
      <c r="D1" s="1134"/>
      <c r="E1" s="1134"/>
      <c r="F1" s="1134"/>
      <c r="G1" s="1134"/>
      <c r="H1" s="1134"/>
      <c r="I1" s="1134"/>
      <c r="J1" s="1134"/>
    </row>
    <row r="2" spans="1:10" ht="18" customHeight="1">
      <c r="A2" s="321"/>
      <c r="B2" s="321"/>
      <c r="C2" s="40"/>
      <c r="D2" s="40"/>
      <c r="E2" s="40"/>
      <c r="F2" s="40"/>
      <c r="G2" s="40"/>
      <c r="I2" s="2078" t="s">
        <v>1504</v>
      </c>
      <c r="J2" s="2079"/>
    </row>
    <row r="3" spans="1:10" s="132" customFormat="1" ht="22" customHeight="1">
      <c r="A3" s="7" t="s">
        <v>26</v>
      </c>
      <c r="B3" s="372"/>
      <c r="C3" s="1221">
        <f>'Liste ETATS SUPPL DGI'!C3</f>
        <v>0</v>
      </c>
      <c r="D3" s="1221"/>
      <c r="E3" s="1221"/>
      <c r="F3" s="1221"/>
      <c r="G3" s="1221"/>
      <c r="H3" s="1221"/>
      <c r="I3" s="1221"/>
      <c r="J3" s="1221"/>
    </row>
    <row r="4" spans="1:10" s="132" customFormat="1" ht="15" customHeight="1">
      <c r="A4" s="7" t="s">
        <v>27</v>
      </c>
      <c r="B4" s="1223">
        <f>'Liste ETATS SUPPL DGI'!B4</f>
        <v>0</v>
      </c>
      <c r="C4" s="1223"/>
      <c r="D4" s="1223"/>
      <c r="E4" s="1223"/>
      <c r="F4" s="1223"/>
      <c r="G4" s="1223"/>
      <c r="H4" s="1223"/>
      <c r="I4" s="61" t="s">
        <v>28</v>
      </c>
      <c r="J4" s="119">
        <f>'Liste ETATS SUPPL DGI'!I4</f>
        <v>0</v>
      </c>
    </row>
    <row r="5" spans="1:10" s="132" customFormat="1" ht="15" customHeight="1">
      <c r="A5" s="7" t="s">
        <v>2021</v>
      </c>
      <c r="C5" s="1223">
        <f>'Liste ETATS SUPPL DGI'!C5</f>
        <v>0</v>
      </c>
      <c r="D5" s="1223"/>
      <c r="E5" s="1223"/>
      <c r="F5" s="1223"/>
      <c r="G5" s="383" t="s">
        <v>30</v>
      </c>
      <c r="H5" s="365">
        <f>'Liste ETATS SUPPL DGI'!F5</f>
        <v>0</v>
      </c>
      <c r="I5" s="61" t="s">
        <v>31</v>
      </c>
      <c r="J5" s="119">
        <f>'Liste ETATS SUPPL DGI'!I5</f>
        <v>0</v>
      </c>
    </row>
    <row r="6" spans="1:10" s="132" customFormat="1" ht="15" customHeight="1">
      <c r="A6" s="268" t="s">
        <v>2024</v>
      </c>
      <c r="C6" s="1461">
        <f>'Liste ETATS SUPPL DGI'!C6</f>
        <v>0</v>
      </c>
      <c r="D6" s="1461"/>
      <c r="E6" s="1461"/>
      <c r="F6" s="1461"/>
      <c r="G6" s="262"/>
      <c r="H6" s="312"/>
      <c r="I6" s="263"/>
      <c r="J6" s="44"/>
    </row>
    <row r="7" spans="1:10" ht="30" customHeight="1" thickBot="1">
      <c r="A7" s="1169" t="s">
        <v>1066</v>
      </c>
      <c r="B7" s="1169"/>
      <c r="C7" s="1169"/>
      <c r="D7" s="1169"/>
      <c r="E7" s="1169"/>
      <c r="F7" s="1169"/>
      <c r="G7" s="1169"/>
      <c r="H7" s="1169"/>
      <c r="I7" s="1169"/>
      <c r="J7" s="1169"/>
    </row>
    <row r="8" spans="1:10" ht="78" customHeight="1">
      <c r="A8" s="1844" t="s">
        <v>1067</v>
      </c>
      <c r="B8" s="1782"/>
      <c r="C8" s="1782" t="s">
        <v>1068</v>
      </c>
      <c r="D8" s="1782"/>
      <c r="E8" s="1782"/>
      <c r="F8" s="883" t="s">
        <v>1069</v>
      </c>
      <c r="G8" s="883" t="s">
        <v>1070</v>
      </c>
      <c r="H8" s="883" t="s">
        <v>1071</v>
      </c>
      <c r="I8" s="883" t="s">
        <v>1072</v>
      </c>
      <c r="J8" s="932" t="s">
        <v>1073</v>
      </c>
    </row>
    <row r="9" spans="1:10" s="1" customFormat="1">
      <c r="A9" s="2155"/>
      <c r="B9" s="2156"/>
      <c r="C9" s="2163"/>
      <c r="D9" s="2156"/>
      <c r="E9" s="2164"/>
      <c r="F9" s="168"/>
      <c r="G9" s="169"/>
      <c r="H9" s="169"/>
      <c r="I9" s="169"/>
      <c r="J9" s="1056"/>
    </row>
    <row r="10" spans="1:10" s="1" customFormat="1">
      <c r="A10" s="2155"/>
      <c r="B10" s="2156"/>
      <c r="C10" s="2163"/>
      <c r="D10" s="2156"/>
      <c r="E10" s="2164"/>
      <c r="F10" s="168"/>
      <c r="G10" s="169"/>
      <c r="H10" s="169"/>
      <c r="I10" s="169"/>
      <c r="J10" s="1056"/>
    </row>
    <row r="11" spans="1:10" s="1" customFormat="1">
      <c r="A11" s="2155"/>
      <c r="B11" s="2156"/>
      <c r="C11" s="2163"/>
      <c r="D11" s="2156"/>
      <c r="E11" s="2164"/>
      <c r="F11" s="168"/>
      <c r="G11" s="169"/>
      <c r="H11" s="169"/>
      <c r="I11" s="169"/>
      <c r="J11" s="1056"/>
    </row>
    <row r="12" spans="1:10" s="1" customFormat="1">
      <c r="A12" s="2155"/>
      <c r="B12" s="2156"/>
      <c r="C12" s="2163"/>
      <c r="D12" s="2156"/>
      <c r="E12" s="2164"/>
      <c r="F12" s="168"/>
      <c r="G12" s="169"/>
      <c r="H12" s="169"/>
      <c r="I12" s="169"/>
      <c r="J12" s="1056"/>
    </row>
    <row r="13" spans="1:10" s="1" customFormat="1">
      <c r="A13" s="2155"/>
      <c r="B13" s="2156"/>
      <c r="C13" s="2163"/>
      <c r="D13" s="2156"/>
      <c r="E13" s="2164"/>
      <c r="F13" s="168"/>
      <c r="G13" s="169"/>
      <c r="H13" s="169"/>
      <c r="I13" s="169"/>
      <c r="J13" s="1056"/>
    </row>
    <row r="14" spans="1:10" s="1" customFormat="1">
      <c r="A14" s="2155"/>
      <c r="B14" s="2156"/>
      <c r="C14" s="2163"/>
      <c r="D14" s="2156"/>
      <c r="E14" s="2164"/>
      <c r="F14" s="168"/>
      <c r="G14" s="169"/>
      <c r="H14" s="169"/>
      <c r="I14" s="169"/>
      <c r="J14" s="1056"/>
    </row>
    <row r="15" spans="1:10" s="1" customFormat="1">
      <c r="A15" s="2155"/>
      <c r="B15" s="2156"/>
      <c r="C15" s="2163"/>
      <c r="D15" s="2156"/>
      <c r="E15" s="2164"/>
      <c r="F15" s="168"/>
      <c r="G15" s="169"/>
      <c r="H15" s="169"/>
      <c r="I15" s="169"/>
      <c r="J15" s="1056"/>
    </row>
    <row r="16" spans="1:10" s="1" customFormat="1">
      <c r="A16" s="2155"/>
      <c r="B16" s="2156"/>
      <c r="C16" s="2163"/>
      <c r="D16" s="2156"/>
      <c r="E16" s="2164"/>
      <c r="F16" s="168"/>
      <c r="G16" s="169"/>
      <c r="H16" s="169"/>
      <c r="I16" s="169"/>
      <c r="J16" s="1056"/>
    </row>
    <row r="17" spans="1:10" s="1" customFormat="1">
      <c r="A17" s="2155"/>
      <c r="B17" s="2156"/>
      <c r="C17" s="2163"/>
      <c r="D17" s="2156"/>
      <c r="E17" s="2164"/>
      <c r="F17" s="168"/>
      <c r="G17" s="169"/>
      <c r="H17" s="169"/>
      <c r="I17" s="169"/>
      <c r="J17" s="1056"/>
    </row>
    <row r="18" spans="1:10" s="1" customFormat="1">
      <c r="A18" s="2155"/>
      <c r="B18" s="2156"/>
      <c r="C18" s="2163"/>
      <c r="D18" s="2156"/>
      <c r="E18" s="2164"/>
      <c r="F18" s="168"/>
      <c r="G18" s="169"/>
      <c r="H18" s="169"/>
      <c r="I18" s="169"/>
      <c r="J18" s="1056"/>
    </row>
    <row r="19" spans="1:10" s="1" customFormat="1">
      <c r="A19" s="2155"/>
      <c r="B19" s="2156"/>
      <c r="C19" s="2163"/>
      <c r="D19" s="2156"/>
      <c r="E19" s="2164"/>
      <c r="F19" s="168"/>
      <c r="G19" s="169"/>
      <c r="H19" s="169"/>
      <c r="I19" s="169"/>
      <c r="J19" s="1056"/>
    </row>
    <row r="20" spans="1:10" s="1" customFormat="1">
      <c r="A20" s="2155"/>
      <c r="B20" s="2156"/>
      <c r="C20" s="2163"/>
      <c r="D20" s="2156"/>
      <c r="E20" s="2164"/>
      <c r="F20" s="168"/>
      <c r="G20" s="169"/>
      <c r="H20" s="169"/>
      <c r="I20" s="169"/>
      <c r="J20" s="1056"/>
    </row>
    <row r="21" spans="1:10" s="1" customFormat="1">
      <c r="A21" s="2155"/>
      <c r="B21" s="2156"/>
      <c r="C21" s="2163"/>
      <c r="D21" s="2156"/>
      <c r="E21" s="2164"/>
      <c r="F21" s="168"/>
      <c r="G21" s="169"/>
      <c r="H21" s="169"/>
      <c r="I21" s="169"/>
      <c r="J21" s="1056"/>
    </row>
    <row r="22" spans="1:10" s="1" customFormat="1">
      <c r="A22" s="2155"/>
      <c r="B22" s="2156"/>
      <c r="C22" s="2163"/>
      <c r="D22" s="2156"/>
      <c r="E22" s="2164"/>
      <c r="F22" s="168"/>
      <c r="G22" s="169"/>
      <c r="H22" s="169"/>
      <c r="I22" s="169"/>
      <c r="J22" s="1056"/>
    </row>
    <row r="23" spans="1:10" s="1" customFormat="1">
      <c r="A23" s="2155"/>
      <c r="B23" s="2156"/>
      <c r="C23" s="2163"/>
      <c r="D23" s="2156"/>
      <c r="E23" s="2164"/>
      <c r="F23" s="168"/>
      <c r="G23" s="169"/>
      <c r="H23" s="169"/>
      <c r="I23" s="169"/>
      <c r="J23" s="1056"/>
    </row>
    <row r="24" spans="1:10" s="1" customFormat="1">
      <c r="A24" s="2155"/>
      <c r="B24" s="2156"/>
      <c r="C24" s="2163"/>
      <c r="D24" s="2156"/>
      <c r="E24" s="2164"/>
      <c r="F24" s="168"/>
      <c r="G24" s="169"/>
      <c r="H24" s="169"/>
      <c r="I24" s="169"/>
      <c r="J24" s="1056"/>
    </row>
    <row r="25" spans="1:10" s="1" customFormat="1">
      <c r="A25" s="2155"/>
      <c r="B25" s="2156"/>
      <c r="C25" s="2163"/>
      <c r="D25" s="2156"/>
      <c r="E25" s="2164"/>
      <c r="F25" s="168"/>
      <c r="G25" s="169"/>
      <c r="H25" s="169"/>
      <c r="I25" s="169"/>
      <c r="J25" s="1056"/>
    </row>
    <row r="26" spans="1:10" s="1" customFormat="1">
      <c r="A26" s="2155"/>
      <c r="B26" s="2156"/>
      <c r="C26" s="2163"/>
      <c r="D26" s="2156"/>
      <c r="E26" s="2164"/>
      <c r="F26" s="168"/>
      <c r="G26" s="169"/>
      <c r="H26" s="169"/>
      <c r="I26" s="169"/>
      <c r="J26" s="1056"/>
    </row>
    <row r="27" spans="1:10" s="1" customFormat="1">
      <c r="A27" s="2155"/>
      <c r="B27" s="2156"/>
      <c r="C27" s="2163"/>
      <c r="D27" s="2156"/>
      <c r="E27" s="2164"/>
      <c r="F27" s="168"/>
      <c r="G27" s="169"/>
      <c r="H27" s="169"/>
      <c r="I27" s="169"/>
      <c r="J27" s="1056"/>
    </row>
    <row r="28" spans="1:10" s="1" customFormat="1">
      <c r="A28" s="2155"/>
      <c r="B28" s="2156"/>
      <c r="C28" s="2163"/>
      <c r="D28" s="2156"/>
      <c r="E28" s="2164"/>
      <c r="F28" s="168"/>
      <c r="G28" s="169"/>
      <c r="H28" s="169"/>
      <c r="I28" s="169"/>
      <c r="J28" s="1056"/>
    </row>
    <row r="29" spans="1:10" s="1" customFormat="1">
      <c r="A29" s="2155"/>
      <c r="B29" s="2156"/>
      <c r="C29" s="2157"/>
      <c r="D29" s="2158"/>
      <c r="E29" s="2159"/>
      <c r="F29" s="168"/>
      <c r="G29" s="169"/>
      <c r="H29" s="169"/>
      <c r="I29" s="169"/>
      <c r="J29" s="1056"/>
    </row>
    <row r="30" spans="1:10" s="1" customFormat="1">
      <c r="A30" s="1695"/>
      <c r="B30" s="1696"/>
      <c r="C30" s="1696"/>
      <c r="D30" s="1696"/>
      <c r="E30" s="1696"/>
      <c r="F30" s="168"/>
      <c r="G30" s="169"/>
      <c r="H30" s="169"/>
      <c r="I30" s="169"/>
      <c r="J30" s="1056"/>
    </row>
    <row r="31" spans="1:10" s="1" customFormat="1" ht="15" thickBot="1">
      <c r="A31" s="2160" t="s">
        <v>480</v>
      </c>
      <c r="B31" s="2161"/>
      <c r="C31" s="2161"/>
      <c r="D31" s="2161"/>
      <c r="E31" s="2161"/>
      <c r="F31" s="2162"/>
      <c r="G31" s="1057">
        <f>SUM(G9:G30)</f>
        <v>0</v>
      </c>
      <c r="H31" s="1057">
        <f t="shared" ref="H31:J31" si="0">SUM(H9:H30)</f>
        <v>0</v>
      </c>
      <c r="I31" s="1057">
        <f t="shared" si="0"/>
        <v>0</v>
      </c>
      <c r="J31" s="1058">
        <f t="shared" si="0"/>
        <v>0</v>
      </c>
    </row>
  </sheetData>
  <mergeCells count="54">
    <mergeCell ref="A7:J7"/>
    <mergeCell ref="A1:J1"/>
    <mergeCell ref="I2:J2"/>
    <mergeCell ref="C3:J3"/>
    <mergeCell ref="B4:H4"/>
    <mergeCell ref="C5:F5"/>
    <mergeCell ref="C6:F6"/>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F31"/>
  </mergeCell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Feuil74">
    <pageSetUpPr fitToPage="1"/>
  </sheetPr>
  <dimension ref="A1:K12"/>
  <sheetViews>
    <sheetView showGridLines="0" workbookViewId="0">
      <selection activeCell="A8" sqref="A8:K12"/>
    </sheetView>
  </sheetViews>
  <sheetFormatPr baseColWidth="10" defaultRowHeight="14.5"/>
  <cols>
    <col min="2" max="2" width="17.453125" customWidth="1"/>
    <col min="7" max="7" width="14.54296875" customWidth="1"/>
    <col min="8" max="8" width="11.453125" customWidth="1"/>
    <col min="9" max="9" width="14.453125" customWidth="1"/>
    <col min="10" max="10" width="16.81640625" customWidth="1"/>
    <col min="11" max="11" width="15" customWidth="1"/>
  </cols>
  <sheetData>
    <row r="1" spans="1:11">
      <c r="A1" s="1134" t="s">
        <v>183</v>
      </c>
      <c r="B1" s="1134"/>
      <c r="C1" s="1134"/>
      <c r="D1" s="1134"/>
      <c r="E1" s="1134"/>
      <c r="F1" s="1134"/>
      <c r="G1" s="1134"/>
      <c r="H1" s="1134"/>
      <c r="I1" s="1134"/>
      <c r="J1" s="1134"/>
      <c r="K1" s="1134"/>
    </row>
    <row r="2" spans="1:11" ht="18" customHeight="1">
      <c r="A2" s="321"/>
      <c r="B2" s="321"/>
      <c r="C2" s="40"/>
      <c r="D2" s="40"/>
      <c r="E2" s="40"/>
      <c r="F2" s="40"/>
      <c r="G2" s="40"/>
      <c r="J2" s="2078" t="s">
        <v>1505</v>
      </c>
      <c r="K2" s="2079"/>
    </row>
    <row r="3" spans="1:11" s="132" customFormat="1" ht="22" customHeight="1">
      <c r="A3" s="7" t="s">
        <v>26</v>
      </c>
      <c r="B3" s="372"/>
      <c r="C3" s="1221">
        <f>'Liste ETATS SUPPL DGI'!C3</f>
        <v>0</v>
      </c>
      <c r="D3" s="1221"/>
      <c r="E3" s="1221"/>
      <c r="F3" s="1221"/>
      <c r="G3" s="1221"/>
      <c r="H3" s="1221"/>
      <c r="I3" s="1221"/>
      <c r="J3" s="1221"/>
      <c r="K3" s="1221"/>
    </row>
    <row r="4" spans="1:11" s="132" customFormat="1" ht="15" customHeight="1">
      <c r="A4" s="7" t="s">
        <v>27</v>
      </c>
      <c r="B4" s="1223">
        <f>'Liste ETATS SUPPL DGI'!B4</f>
        <v>0</v>
      </c>
      <c r="C4" s="1221"/>
      <c r="D4" s="1221"/>
      <c r="E4" s="1221"/>
      <c r="F4" s="1221"/>
      <c r="G4" s="1221"/>
      <c r="H4" s="1221"/>
      <c r="I4" s="1221"/>
      <c r="J4" s="61" t="s">
        <v>28</v>
      </c>
      <c r="K4" s="119">
        <f>'Liste ETATS SUPPL DGI'!I4</f>
        <v>0</v>
      </c>
    </row>
    <row r="5" spans="1:11" s="132" customFormat="1" ht="15" customHeight="1">
      <c r="A5" s="7" t="s">
        <v>2021</v>
      </c>
      <c r="C5" s="1221">
        <f>'Liste ETATS SUPPL DGI'!C5</f>
        <v>0</v>
      </c>
      <c r="D5" s="1221"/>
      <c r="E5" s="1221"/>
      <c r="F5" s="1221"/>
      <c r="G5" s="43" t="s">
        <v>30</v>
      </c>
      <c r="H5" s="1215">
        <f>'Liste ETATS SUPPL DGI'!F5</f>
        <v>0</v>
      </c>
      <c r="I5" s="1215"/>
      <c r="J5" s="61" t="s">
        <v>31</v>
      </c>
      <c r="K5" s="119">
        <f>'Liste ETATS SUPPL DGI'!I5</f>
        <v>0</v>
      </c>
    </row>
    <row r="6" spans="1:11" s="132" customFormat="1" ht="15" customHeight="1">
      <c r="A6" s="268" t="s">
        <v>2024</v>
      </c>
      <c r="C6" s="1461">
        <f>'Liste ETATS SUPPL DGI'!C6</f>
        <v>0</v>
      </c>
      <c r="D6" s="1461"/>
      <c r="E6" s="1461"/>
      <c r="F6" s="1461"/>
      <c r="G6" s="262"/>
      <c r="H6" s="44"/>
      <c r="I6" s="44"/>
      <c r="J6" s="263"/>
      <c r="K6" s="44"/>
    </row>
    <row r="7" spans="1:11" ht="30" customHeight="1" thickBot="1">
      <c r="A7" s="1169" t="s">
        <v>1074</v>
      </c>
      <c r="B7" s="1169"/>
      <c r="C7" s="1169"/>
      <c r="D7" s="1169"/>
      <c r="E7" s="1169"/>
      <c r="F7" s="1169"/>
      <c r="G7" s="1169"/>
      <c r="H7" s="1169"/>
      <c r="I7" s="1169"/>
      <c r="J7" s="1169"/>
      <c r="K7" s="1169"/>
    </row>
    <row r="8" spans="1:11" ht="52.5" customHeight="1">
      <c r="A8" s="1059"/>
      <c r="B8" s="1060"/>
      <c r="C8" s="1060"/>
      <c r="D8" s="1060"/>
      <c r="E8" s="2175" t="s">
        <v>1075</v>
      </c>
      <c r="F8" s="2175"/>
      <c r="G8" s="2175"/>
      <c r="H8" s="1060"/>
      <c r="I8" s="1060"/>
      <c r="J8" s="1061"/>
      <c r="K8" s="865" t="s">
        <v>2013</v>
      </c>
    </row>
    <row r="9" spans="1:11" ht="30" customHeight="1">
      <c r="A9" s="2165" t="s">
        <v>1076</v>
      </c>
      <c r="B9" s="2166"/>
      <c r="C9" s="2166"/>
      <c r="D9" s="2166"/>
      <c r="E9" s="2166"/>
      <c r="F9" s="2166"/>
      <c r="G9" s="2166"/>
      <c r="H9" s="2167"/>
      <c r="I9" s="2168"/>
      <c r="J9" s="2169"/>
      <c r="K9" s="1062"/>
    </row>
    <row r="10" spans="1:11" ht="30" customHeight="1">
      <c r="A10" s="2165" t="s">
        <v>1077</v>
      </c>
      <c r="B10" s="2166"/>
      <c r="C10" s="2166"/>
      <c r="D10" s="2166"/>
      <c r="E10" s="2166"/>
      <c r="F10" s="2166"/>
      <c r="G10" s="2166"/>
      <c r="H10" s="2167"/>
      <c r="I10" s="2168"/>
      <c r="J10" s="2169"/>
      <c r="K10" s="1062"/>
    </row>
    <row r="11" spans="1:11" ht="30" customHeight="1">
      <c r="A11" s="2165" t="s">
        <v>1078</v>
      </c>
      <c r="B11" s="2166"/>
      <c r="C11" s="2166"/>
      <c r="D11" s="2166"/>
      <c r="E11" s="2166"/>
      <c r="F11" s="2166"/>
      <c r="G11" s="2166"/>
      <c r="H11" s="2167"/>
      <c r="I11" s="2168"/>
      <c r="J11" s="2169"/>
      <c r="K11" s="1062"/>
    </row>
    <row r="12" spans="1:11" ht="30" customHeight="1" thickBot="1">
      <c r="A12" s="2170" t="s">
        <v>1079</v>
      </c>
      <c r="B12" s="2171"/>
      <c r="C12" s="2171"/>
      <c r="D12" s="2171"/>
      <c r="E12" s="2171"/>
      <c r="F12" s="2171"/>
      <c r="G12" s="2171"/>
      <c r="H12" s="2172"/>
      <c r="I12" s="2173"/>
      <c r="J12" s="2174"/>
      <c r="K12" s="1063"/>
    </row>
  </sheetData>
  <mergeCells count="17">
    <mergeCell ref="C6:F6"/>
    <mergeCell ref="A1:K1"/>
    <mergeCell ref="J2:K2"/>
    <mergeCell ref="C3:K3"/>
    <mergeCell ref="B4:I4"/>
    <mergeCell ref="C5:F5"/>
    <mergeCell ref="H5:I5"/>
    <mergeCell ref="A11:H11"/>
    <mergeCell ref="I11:J11"/>
    <mergeCell ref="A12:H12"/>
    <mergeCell ref="I12:J12"/>
    <mergeCell ref="A7:K7"/>
    <mergeCell ref="E8:G8"/>
    <mergeCell ref="A9:H9"/>
    <mergeCell ref="I9:J9"/>
    <mergeCell ref="A10:H10"/>
    <mergeCell ref="I10:J10"/>
  </mergeCells>
  <dataValidations count="1">
    <dataValidation type="whole" allowBlank="1" showInputMessage="1" showErrorMessage="1" errorTitle="Attention!" error="Valeur numérique attendue" sqref="I9:J12" xr:uid="{00000000-0002-0000-4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Feuil75">
    <pageSetUpPr fitToPage="1"/>
  </sheetPr>
  <dimension ref="A1:N40"/>
  <sheetViews>
    <sheetView showGridLines="0" workbookViewId="0">
      <selection activeCell="A8" sqref="A8:N40"/>
    </sheetView>
  </sheetViews>
  <sheetFormatPr baseColWidth="10" defaultRowHeight="14.5"/>
  <cols>
    <col min="1" max="1" width="15.453125" customWidth="1"/>
    <col min="2" max="2" width="13.54296875" customWidth="1"/>
    <col min="4" max="4" width="11.54296875" customWidth="1"/>
    <col min="5" max="5" width="7.54296875" customWidth="1"/>
    <col min="6" max="6" width="9.81640625" style="45" customWidth="1"/>
    <col min="7" max="14" width="13.54296875" customWidth="1"/>
  </cols>
  <sheetData>
    <row r="1" spans="1:14">
      <c r="A1" s="1134" t="s">
        <v>183</v>
      </c>
      <c r="B1" s="1134"/>
      <c r="C1" s="1134"/>
      <c r="D1" s="1134"/>
      <c r="E1" s="1134"/>
      <c r="F1" s="1134"/>
      <c r="G1" s="1134"/>
      <c r="H1" s="1134"/>
      <c r="I1" s="1134"/>
      <c r="J1" s="1134"/>
      <c r="K1" s="1134"/>
      <c r="L1" s="1134"/>
      <c r="M1" s="1134"/>
      <c r="N1" s="1134"/>
    </row>
    <row r="2" spans="1:14" ht="18" customHeight="1">
      <c r="A2" s="321"/>
      <c r="B2" s="321"/>
      <c r="C2" s="40"/>
      <c r="D2" s="40"/>
      <c r="E2" s="40"/>
      <c r="F2" s="40"/>
      <c r="G2" s="40"/>
      <c r="M2" s="2178" t="s">
        <v>2069</v>
      </c>
      <c r="N2" s="2179"/>
    </row>
    <row r="3" spans="1:14" s="132" customFormat="1" ht="22" customHeight="1">
      <c r="A3" s="7" t="s">
        <v>26</v>
      </c>
      <c r="B3" s="372"/>
      <c r="C3" s="1221">
        <f>'Liste ETATS SUPPL DGI'!C3</f>
        <v>0</v>
      </c>
      <c r="D3" s="1221"/>
      <c r="E3" s="1221"/>
      <c r="F3" s="1221"/>
      <c r="G3" s="1221"/>
      <c r="H3" s="1221"/>
      <c r="I3" s="1221"/>
      <c r="J3" s="1221"/>
      <c r="K3" s="1221"/>
      <c r="L3" s="1221"/>
      <c r="M3" s="1221"/>
      <c r="N3" s="1221"/>
    </row>
    <row r="4" spans="1:14" s="132" customFormat="1" ht="15" customHeight="1">
      <c r="A4" s="7" t="s">
        <v>27</v>
      </c>
      <c r="B4" s="1221">
        <f>'Liste ETATS SUPPL DGI'!B4</f>
        <v>0</v>
      </c>
      <c r="C4" s="1221"/>
      <c r="D4" s="1221"/>
      <c r="E4" s="1221"/>
      <c r="F4" s="1221"/>
      <c r="G4" s="1221"/>
      <c r="H4" s="1221"/>
      <c r="I4" s="1221"/>
      <c r="J4" s="1221"/>
      <c r="K4" s="1221"/>
      <c r="L4" s="61" t="s">
        <v>28</v>
      </c>
      <c r="M4" s="1215">
        <f>'Liste ETATS SUPPL DGI'!I4</f>
        <v>0</v>
      </c>
      <c r="N4" s="1215"/>
    </row>
    <row r="5" spans="1:14" s="132" customFormat="1" ht="15" customHeight="1">
      <c r="A5" s="7" t="s">
        <v>2021</v>
      </c>
      <c r="C5" s="1221">
        <f>'Liste ETATS SUPPL DGI'!C5</f>
        <v>0</v>
      </c>
      <c r="D5" s="1221"/>
      <c r="E5" s="1221"/>
      <c r="F5" s="1221"/>
      <c r="G5" s="1386" t="s">
        <v>30</v>
      </c>
      <c r="H5" s="1386"/>
      <c r="I5" s="1215">
        <f>'Liste ETATS SUPPL DGI'!F5</f>
        <v>0</v>
      </c>
      <c r="J5" s="1215"/>
      <c r="L5" s="61" t="s">
        <v>31</v>
      </c>
      <c r="M5" s="1215">
        <f>'Liste ETATS SUPPL DGI'!I5</f>
        <v>0</v>
      </c>
      <c r="N5" s="1215"/>
    </row>
    <row r="6" spans="1:14" s="132" customFormat="1" ht="15" customHeight="1">
      <c r="A6" s="268" t="s">
        <v>2024</v>
      </c>
      <c r="C6" s="1461">
        <f>'Liste ETATS SUPPL DGI'!C6</f>
        <v>0</v>
      </c>
      <c r="D6" s="1461"/>
      <c r="E6" s="1461"/>
      <c r="F6" s="1461"/>
      <c r="G6" s="262"/>
      <c r="H6" s="262"/>
      <c r="I6" s="44"/>
      <c r="J6" s="44"/>
      <c r="K6" s="267"/>
      <c r="L6" s="263"/>
      <c r="M6" s="44"/>
      <c r="N6" s="44"/>
    </row>
    <row r="7" spans="1:14" ht="30" customHeight="1" thickBot="1">
      <c r="A7" s="1169" t="s">
        <v>2032</v>
      </c>
      <c r="B7" s="1169"/>
      <c r="C7" s="1169"/>
      <c r="D7" s="1169"/>
      <c r="E7" s="1169"/>
      <c r="F7" s="1169"/>
      <c r="G7" s="1169"/>
      <c r="H7" s="1169"/>
      <c r="I7" s="1169"/>
      <c r="J7" s="1169"/>
      <c r="K7" s="1169"/>
      <c r="L7" s="1169"/>
      <c r="M7" s="1169"/>
      <c r="N7" s="1169"/>
    </row>
    <row r="8" spans="1:14">
      <c r="A8" s="1844" t="s">
        <v>1080</v>
      </c>
      <c r="B8" s="1904" t="s">
        <v>1081</v>
      </c>
      <c r="C8" s="1904"/>
      <c r="D8" s="1904"/>
      <c r="E8" s="1782" t="s">
        <v>1082</v>
      </c>
      <c r="F8" s="1782" t="s">
        <v>1083</v>
      </c>
      <c r="G8" s="1782" t="s">
        <v>1084</v>
      </c>
      <c r="H8" s="2181" t="s">
        <v>1085</v>
      </c>
      <c r="I8" s="2181"/>
      <c r="J8" s="2181"/>
      <c r="K8" s="1782" t="s">
        <v>1086</v>
      </c>
      <c r="L8" s="1782" t="s">
        <v>1087</v>
      </c>
      <c r="M8" s="1782" t="s">
        <v>1088</v>
      </c>
      <c r="N8" s="1783" t="s">
        <v>1089</v>
      </c>
    </row>
    <row r="9" spans="1:14" ht="25.5" customHeight="1" thickBot="1">
      <c r="A9" s="1775"/>
      <c r="B9" s="2180"/>
      <c r="C9" s="2180"/>
      <c r="D9" s="2180"/>
      <c r="E9" s="1776"/>
      <c r="F9" s="1776"/>
      <c r="G9" s="1776"/>
      <c r="H9" s="316" t="s">
        <v>1090</v>
      </c>
      <c r="I9" s="316" t="s">
        <v>1091</v>
      </c>
      <c r="J9" s="316" t="s">
        <v>480</v>
      </c>
      <c r="K9" s="1776"/>
      <c r="L9" s="1776"/>
      <c r="M9" s="1776"/>
      <c r="N9" s="2152"/>
    </row>
    <row r="10" spans="1:14" s="1" customFormat="1" ht="14.15" customHeight="1">
      <c r="A10" s="1064"/>
      <c r="B10" s="2185"/>
      <c r="C10" s="2185"/>
      <c r="D10" s="2185"/>
      <c r="E10" s="170"/>
      <c r="F10" s="171"/>
      <c r="G10" s="172"/>
      <c r="H10" s="172"/>
      <c r="I10" s="172"/>
      <c r="J10" s="317">
        <f>H10+I10</f>
        <v>0</v>
      </c>
      <c r="K10" s="172"/>
      <c r="L10" s="172"/>
      <c r="M10" s="172"/>
      <c r="N10" s="1065"/>
    </row>
    <row r="11" spans="1:14" s="1" customFormat="1" ht="14.15" customHeight="1">
      <c r="A11" s="1066"/>
      <c r="B11" s="2176"/>
      <c r="C11" s="2176"/>
      <c r="D11" s="2176"/>
      <c r="E11" s="173"/>
      <c r="F11" s="174"/>
      <c r="G11" s="175"/>
      <c r="H11" s="175"/>
      <c r="I11" s="175"/>
      <c r="J11" s="318">
        <f t="shared" ref="J11:J39" si="0">H11+I11</f>
        <v>0</v>
      </c>
      <c r="K11" s="175"/>
      <c r="L11" s="175"/>
      <c r="M11" s="175"/>
      <c r="N11" s="1067"/>
    </row>
    <row r="12" spans="1:14" s="1" customFormat="1" ht="14.15" customHeight="1">
      <c r="A12" s="1066"/>
      <c r="B12" s="2176"/>
      <c r="C12" s="2176"/>
      <c r="D12" s="2176"/>
      <c r="E12" s="173"/>
      <c r="F12" s="174"/>
      <c r="G12" s="175"/>
      <c r="H12" s="175"/>
      <c r="I12" s="175"/>
      <c r="J12" s="318">
        <f t="shared" si="0"/>
        <v>0</v>
      </c>
      <c r="K12" s="175"/>
      <c r="L12" s="175"/>
      <c r="M12" s="175"/>
      <c r="N12" s="1067"/>
    </row>
    <row r="13" spans="1:14" s="1" customFormat="1" ht="14.15" customHeight="1">
      <c r="A13" s="1066"/>
      <c r="B13" s="2176"/>
      <c r="C13" s="2176"/>
      <c r="D13" s="2176"/>
      <c r="E13" s="173"/>
      <c r="F13" s="174"/>
      <c r="G13" s="175"/>
      <c r="H13" s="175"/>
      <c r="I13" s="175"/>
      <c r="J13" s="318">
        <f t="shared" si="0"/>
        <v>0</v>
      </c>
      <c r="K13" s="175"/>
      <c r="L13" s="175"/>
      <c r="M13" s="175"/>
      <c r="N13" s="1067"/>
    </row>
    <row r="14" spans="1:14" s="1" customFormat="1" ht="14.15" customHeight="1">
      <c r="A14" s="1066"/>
      <c r="B14" s="2176"/>
      <c r="C14" s="2176"/>
      <c r="D14" s="2176"/>
      <c r="E14" s="173"/>
      <c r="F14" s="174"/>
      <c r="G14" s="175"/>
      <c r="H14" s="175"/>
      <c r="I14" s="175"/>
      <c r="J14" s="318">
        <f t="shared" si="0"/>
        <v>0</v>
      </c>
      <c r="K14" s="175"/>
      <c r="L14" s="175"/>
      <c r="M14" s="175"/>
      <c r="N14" s="1067"/>
    </row>
    <row r="15" spans="1:14" s="1" customFormat="1" ht="14.15" customHeight="1">
      <c r="A15" s="1066"/>
      <c r="B15" s="2176"/>
      <c r="C15" s="2176"/>
      <c r="D15" s="2176"/>
      <c r="E15" s="173"/>
      <c r="F15" s="174"/>
      <c r="G15" s="175"/>
      <c r="H15" s="175"/>
      <c r="I15" s="175"/>
      <c r="J15" s="318">
        <f t="shared" si="0"/>
        <v>0</v>
      </c>
      <c r="K15" s="175"/>
      <c r="L15" s="175"/>
      <c r="M15" s="175"/>
      <c r="N15" s="1067"/>
    </row>
    <row r="16" spans="1:14" s="1" customFormat="1" ht="14.15" customHeight="1">
      <c r="A16" s="1066"/>
      <c r="B16" s="2176"/>
      <c r="C16" s="2176"/>
      <c r="D16" s="2176"/>
      <c r="E16" s="173"/>
      <c r="F16" s="174"/>
      <c r="G16" s="175"/>
      <c r="H16" s="175"/>
      <c r="I16" s="175"/>
      <c r="J16" s="318">
        <f t="shared" si="0"/>
        <v>0</v>
      </c>
      <c r="K16" s="175"/>
      <c r="L16" s="175"/>
      <c r="M16" s="175"/>
      <c r="N16" s="1067"/>
    </row>
    <row r="17" spans="1:14" s="1" customFormat="1" ht="14.15" customHeight="1">
      <c r="A17" s="1066"/>
      <c r="B17" s="2176"/>
      <c r="C17" s="2176"/>
      <c r="D17" s="2176"/>
      <c r="E17" s="173"/>
      <c r="F17" s="174"/>
      <c r="G17" s="175"/>
      <c r="H17" s="175"/>
      <c r="I17" s="175"/>
      <c r="J17" s="318">
        <f t="shared" si="0"/>
        <v>0</v>
      </c>
      <c r="K17" s="175"/>
      <c r="L17" s="175"/>
      <c r="M17" s="175"/>
      <c r="N17" s="1067"/>
    </row>
    <row r="18" spans="1:14" s="1" customFormat="1" ht="14.15" customHeight="1">
      <c r="A18" s="1066"/>
      <c r="B18" s="2176"/>
      <c r="C18" s="2176"/>
      <c r="D18" s="2176"/>
      <c r="E18" s="173"/>
      <c r="F18" s="174"/>
      <c r="G18" s="175"/>
      <c r="H18" s="175"/>
      <c r="I18" s="175"/>
      <c r="J18" s="318">
        <f t="shared" si="0"/>
        <v>0</v>
      </c>
      <c r="K18" s="175"/>
      <c r="L18" s="175"/>
      <c r="M18" s="175"/>
      <c r="N18" s="1067"/>
    </row>
    <row r="19" spans="1:14" s="1" customFormat="1" ht="14.15" customHeight="1">
      <c r="A19" s="1066"/>
      <c r="B19" s="2176"/>
      <c r="C19" s="2176"/>
      <c r="D19" s="2176"/>
      <c r="E19" s="173"/>
      <c r="F19" s="174"/>
      <c r="G19" s="175"/>
      <c r="H19" s="175"/>
      <c r="I19" s="175"/>
      <c r="J19" s="318">
        <f t="shared" si="0"/>
        <v>0</v>
      </c>
      <c r="K19" s="175"/>
      <c r="L19" s="175"/>
      <c r="M19" s="175"/>
      <c r="N19" s="1067"/>
    </row>
    <row r="20" spans="1:14" s="1" customFormat="1" ht="14.15" customHeight="1">
      <c r="A20" s="1066"/>
      <c r="B20" s="2176"/>
      <c r="C20" s="2176"/>
      <c r="D20" s="2176"/>
      <c r="E20" s="173"/>
      <c r="F20" s="174"/>
      <c r="G20" s="175"/>
      <c r="H20" s="175"/>
      <c r="I20" s="175"/>
      <c r="J20" s="318">
        <f t="shared" si="0"/>
        <v>0</v>
      </c>
      <c r="K20" s="175"/>
      <c r="L20" s="175"/>
      <c r="M20" s="175"/>
      <c r="N20" s="1067"/>
    </row>
    <row r="21" spans="1:14" s="1" customFormat="1" ht="14.15" customHeight="1">
      <c r="A21" s="1066"/>
      <c r="B21" s="2176"/>
      <c r="C21" s="2176"/>
      <c r="D21" s="2176"/>
      <c r="E21" s="173"/>
      <c r="F21" s="174"/>
      <c r="G21" s="175"/>
      <c r="H21" s="175"/>
      <c r="I21" s="175"/>
      <c r="J21" s="318">
        <f t="shared" si="0"/>
        <v>0</v>
      </c>
      <c r="K21" s="175"/>
      <c r="L21" s="175"/>
      <c r="M21" s="175"/>
      <c r="N21" s="1067"/>
    </row>
    <row r="22" spans="1:14" s="1" customFormat="1" ht="14.15" customHeight="1">
      <c r="A22" s="1066"/>
      <c r="B22" s="2176"/>
      <c r="C22" s="2176"/>
      <c r="D22" s="2176"/>
      <c r="E22" s="173"/>
      <c r="F22" s="174"/>
      <c r="G22" s="175"/>
      <c r="H22" s="175"/>
      <c r="I22" s="175"/>
      <c r="J22" s="318">
        <f t="shared" si="0"/>
        <v>0</v>
      </c>
      <c r="K22" s="175"/>
      <c r="L22" s="175"/>
      <c r="M22" s="175"/>
      <c r="N22" s="1067"/>
    </row>
    <row r="23" spans="1:14" s="1" customFormat="1" ht="14.15" customHeight="1">
      <c r="A23" s="1066"/>
      <c r="B23" s="2176"/>
      <c r="C23" s="2176"/>
      <c r="D23" s="2176"/>
      <c r="E23" s="173"/>
      <c r="F23" s="174"/>
      <c r="G23" s="175"/>
      <c r="H23" s="175"/>
      <c r="I23" s="175"/>
      <c r="J23" s="318">
        <f t="shared" si="0"/>
        <v>0</v>
      </c>
      <c r="K23" s="175"/>
      <c r="L23" s="175"/>
      <c r="M23" s="175"/>
      <c r="N23" s="1067"/>
    </row>
    <row r="24" spans="1:14" s="1" customFormat="1" ht="14.15" customHeight="1">
      <c r="A24" s="1066"/>
      <c r="B24" s="2176"/>
      <c r="C24" s="2176"/>
      <c r="D24" s="2176"/>
      <c r="E24" s="173"/>
      <c r="F24" s="174"/>
      <c r="G24" s="175"/>
      <c r="H24" s="175"/>
      <c r="I24" s="175"/>
      <c r="J24" s="318">
        <f t="shared" si="0"/>
        <v>0</v>
      </c>
      <c r="K24" s="175"/>
      <c r="L24" s="175"/>
      <c r="M24" s="175"/>
      <c r="N24" s="1067"/>
    </row>
    <row r="25" spans="1:14" s="1" customFormat="1" ht="14.15" customHeight="1">
      <c r="A25" s="1066"/>
      <c r="B25" s="2176"/>
      <c r="C25" s="2176"/>
      <c r="D25" s="2176"/>
      <c r="E25" s="173"/>
      <c r="F25" s="174"/>
      <c r="G25" s="175"/>
      <c r="H25" s="175"/>
      <c r="I25" s="175"/>
      <c r="J25" s="318">
        <f t="shared" si="0"/>
        <v>0</v>
      </c>
      <c r="K25" s="175"/>
      <c r="L25" s="175"/>
      <c r="M25" s="175"/>
      <c r="N25" s="1067"/>
    </row>
    <row r="26" spans="1:14" s="1" customFormat="1" ht="14.15" customHeight="1">
      <c r="A26" s="1066"/>
      <c r="B26" s="2176"/>
      <c r="C26" s="2176"/>
      <c r="D26" s="2176"/>
      <c r="E26" s="173"/>
      <c r="F26" s="174"/>
      <c r="G26" s="175"/>
      <c r="H26" s="175"/>
      <c r="I26" s="175"/>
      <c r="J26" s="318">
        <f t="shared" si="0"/>
        <v>0</v>
      </c>
      <c r="K26" s="175"/>
      <c r="L26" s="175"/>
      <c r="M26" s="175"/>
      <c r="N26" s="1067"/>
    </row>
    <row r="27" spans="1:14" s="1" customFormat="1" ht="14.15" customHeight="1">
      <c r="A27" s="1066"/>
      <c r="B27" s="2176"/>
      <c r="C27" s="2176"/>
      <c r="D27" s="2176"/>
      <c r="E27" s="173"/>
      <c r="F27" s="174"/>
      <c r="G27" s="175"/>
      <c r="H27" s="175"/>
      <c r="I27" s="175"/>
      <c r="J27" s="318">
        <f t="shared" si="0"/>
        <v>0</v>
      </c>
      <c r="K27" s="175"/>
      <c r="L27" s="175"/>
      <c r="M27" s="175"/>
      <c r="N27" s="1067"/>
    </row>
    <row r="28" spans="1:14" s="1" customFormat="1" ht="14.15" customHeight="1">
      <c r="A28" s="1066"/>
      <c r="B28" s="2176"/>
      <c r="C28" s="2176"/>
      <c r="D28" s="2176"/>
      <c r="E28" s="173"/>
      <c r="F28" s="174"/>
      <c r="G28" s="175"/>
      <c r="H28" s="175"/>
      <c r="I28" s="175"/>
      <c r="J28" s="318">
        <f t="shared" si="0"/>
        <v>0</v>
      </c>
      <c r="K28" s="175"/>
      <c r="L28" s="175"/>
      <c r="M28" s="175"/>
      <c r="N28" s="1067"/>
    </row>
    <row r="29" spans="1:14" s="1" customFormat="1" ht="14.15" customHeight="1">
      <c r="A29" s="1066"/>
      <c r="B29" s="2176"/>
      <c r="C29" s="2176"/>
      <c r="D29" s="2176"/>
      <c r="E29" s="173"/>
      <c r="F29" s="174"/>
      <c r="G29" s="175"/>
      <c r="H29" s="175"/>
      <c r="I29" s="175"/>
      <c r="J29" s="318">
        <f t="shared" si="0"/>
        <v>0</v>
      </c>
      <c r="K29" s="175"/>
      <c r="L29" s="175"/>
      <c r="M29" s="175"/>
      <c r="N29" s="1067"/>
    </row>
    <row r="30" spans="1:14" s="1" customFormat="1" ht="14.15" customHeight="1">
      <c r="A30" s="1066"/>
      <c r="B30" s="2176"/>
      <c r="C30" s="2176"/>
      <c r="D30" s="2176"/>
      <c r="E30" s="173"/>
      <c r="F30" s="174"/>
      <c r="G30" s="175"/>
      <c r="H30" s="175"/>
      <c r="I30" s="175"/>
      <c r="J30" s="318">
        <f t="shared" si="0"/>
        <v>0</v>
      </c>
      <c r="K30" s="175"/>
      <c r="L30" s="175"/>
      <c r="M30" s="175"/>
      <c r="N30" s="1067"/>
    </row>
    <row r="31" spans="1:14" s="1" customFormat="1" ht="14.15" customHeight="1">
      <c r="A31" s="1066"/>
      <c r="B31" s="2176"/>
      <c r="C31" s="2176"/>
      <c r="D31" s="2176"/>
      <c r="E31" s="173"/>
      <c r="F31" s="174"/>
      <c r="G31" s="175"/>
      <c r="H31" s="175"/>
      <c r="I31" s="175"/>
      <c r="J31" s="318">
        <f t="shared" si="0"/>
        <v>0</v>
      </c>
      <c r="K31" s="175"/>
      <c r="L31" s="175"/>
      <c r="M31" s="175"/>
      <c r="N31" s="1067"/>
    </row>
    <row r="32" spans="1:14" s="1" customFormat="1" ht="14.15" customHeight="1">
      <c r="A32" s="1066"/>
      <c r="B32" s="2176"/>
      <c r="C32" s="2176"/>
      <c r="D32" s="2176"/>
      <c r="E32" s="173"/>
      <c r="F32" s="174"/>
      <c r="G32" s="175"/>
      <c r="H32" s="175"/>
      <c r="I32" s="175"/>
      <c r="J32" s="318">
        <f t="shared" si="0"/>
        <v>0</v>
      </c>
      <c r="K32" s="175"/>
      <c r="L32" s="175"/>
      <c r="M32" s="175"/>
      <c r="N32" s="1067"/>
    </row>
    <row r="33" spans="1:14" s="1" customFormat="1" ht="14.15" customHeight="1">
      <c r="A33" s="1066"/>
      <c r="B33" s="2176"/>
      <c r="C33" s="2176"/>
      <c r="D33" s="2176"/>
      <c r="E33" s="173"/>
      <c r="F33" s="174"/>
      <c r="G33" s="175"/>
      <c r="H33" s="175"/>
      <c r="I33" s="175"/>
      <c r="J33" s="318">
        <f t="shared" si="0"/>
        <v>0</v>
      </c>
      <c r="K33" s="175"/>
      <c r="L33" s="175"/>
      <c r="M33" s="175"/>
      <c r="N33" s="1067"/>
    </row>
    <row r="34" spans="1:14" s="1" customFormat="1" ht="14.15" customHeight="1">
      <c r="A34" s="1066"/>
      <c r="B34" s="2176"/>
      <c r="C34" s="2176"/>
      <c r="D34" s="2176"/>
      <c r="E34" s="173"/>
      <c r="F34" s="174"/>
      <c r="G34" s="175"/>
      <c r="H34" s="175"/>
      <c r="I34" s="175"/>
      <c r="J34" s="318">
        <f t="shared" si="0"/>
        <v>0</v>
      </c>
      <c r="K34" s="175"/>
      <c r="L34" s="175"/>
      <c r="M34" s="175"/>
      <c r="N34" s="1067"/>
    </row>
    <row r="35" spans="1:14" s="1" customFormat="1" ht="14.15" customHeight="1">
      <c r="A35" s="1066"/>
      <c r="B35" s="2176"/>
      <c r="C35" s="2176"/>
      <c r="D35" s="2176"/>
      <c r="E35" s="173"/>
      <c r="F35" s="174"/>
      <c r="G35" s="175"/>
      <c r="H35" s="175"/>
      <c r="I35" s="175"/>
      <c r="J35" s="318">
        <f t="shared" si="0"/>
        <v>0</v>
      </c>
      <c r="K35" s="175"/>
      <c r="L35" s="175"/>
      <c r="M35" s="175"/>
      <c r="N35" s="1067"/>
    </row>
    <row r="36" spans="1:14" s="1" customFormat="1" ht="14.15" customHeight="1">
      <c r="A36" s="1066"/>
      <c r="B36" s="2176"/>
      <c r="C36" s="2176"/>
      <c r="D36" s="2176"/>
      <c r="E36" s="173"/>
      <c r="F36" s="174"/>
      <c r="G36" s="175"/>
      <c r="H36" s="175"/>
      <c r="I36" s="175"/>
      <c r="J36" s="318">
        <f t="shared" si="0"/>
        <v>0</v>
      </c>
      <c r="K36" s="175"/>
      <c r="L36" s="175"/>
      <c r="M36" s="175"/>
      <c r="N36" s="1067"/>
    </row>
    <row r="37" spans="1:14" s="1" customFormat="1" ht="14.15" customHeight="1">
      <c r="A37" s="1066"/>
      <c r="B37" s="2176"/>
      <c r="C37" s="2176"/>
      <c r="D37" s="2176"/>
      <c r="E37" s="173"/>
      <c r="F37" s="174"/>
      <c r="G37" s="175"/>
      <c r="H37" s="175"/>
      <c r="I37" s="175"/>
      <c r="J37" s="318">
        <f t="shared" si="0"/>
        <v>0</v>
      </c>
      <c r="K37" s="175"/>
      <c r="L37" s="175"/>
      <c r="M37" s="175"/>
      <c r="N37" s="1067"/>
    </row>
    <row r="38" spans="1:14" s="1" customFormat="1" ht="14.15" customHeight="1">
      <c r="A38" s="1066"/>
      <c r="B38" s="2176"/>
      <c r="C38" s="2176"/>
      <c r="D38" s="2176"/>
      <c r="E38" s="173"/>
      <c r="F38" s="174"/>
      <c r="G38" s="175"/>
      <c r="H38" s="175"/>
      <c r="I38" s="175"/>
      <c r="J38" s="318">
        <f t="shared" si="0"/>
        <v>0</v>
      </c>
      <c r="K38" s="175"/>
      <c r="L38" s="175"/>
      <c r="M38" s="175"/>
      <c r="N38" s="1067"/>
    </row>
    <row r="39" spans="1:14" s="1" customFormat="1" ht="14.15" customHeight="1" thickBot="1">
      <c r="A39" s="1068"/>
      <c r="B39" s="2177"/>
      <c r="C39" s="2177"/>
      <c r="D39" s="2177"/>
      <c r="E39" s="176"/>
      <c r="F39" s="177"/>
      <c r="G39" s="178"/>
      <c r="H39" s="178"/>
      <c r="I39" s="178"/>
      <c r="J39" s="319">
        <f t="shared" si="0"/>
        <v>0</v>
      </c>
      <c r="K39" s="178"/>
      <c r="L39" s="178"/>
      <c r="M39" s="178"/>
      <c r="N39" s="1069"/>
    </row>
    <row r="40" spans="1:14" s="1" customFormat="1" ht="14.15" customHeight="1" thickBot="1">
      <c r="A40" s="2182" t="s">
        <v>480</v>
      </c>
      <c r="B40" s="2183"/>
      <c r="C40" s="2183"/>
      <c r="D40" s="2183"/>
      <c r="E40" s="2183"/>
      <c r="F40" s="2184"/>
      <c r="G40" s="1070">
        <f>SUM(G10:G39)</f>
        <v>0</v>
      </c>
      <c r="H40" s="1070">
        <f t="shared" ref="H40:N40" si="1">SUM(H10:H39)</f>
        <v>0</v>
      </c>
      <c r="I40" s="1070">
        <f t="shared" si="1"/>
        <v>0</v>
      </c>
      <c r="J40" s="1070">
        <f t="shared" si="1"/>
        <v>0</v>
      </c>
      <c r="K40" s="1070">
        <f t="shared" si="1"/>
        <v>0</v>
      </c>
      <c r="L40" s="1070">
        <f t="shared" si="1"/>
        <v>0</v>
      </c>
      <c r="M40" s="1070">
        <f t="shared" si="1"/>
        <v>0</v>
      </c>
      <c r="N40" s="1071">
        <f t="shared" si="1"/>
        <v>0</v>
      </c>
    </row>
  </sheetData>
  <mergeCells count="52">
    <mergeCell ref="A40:F40"/>
    <mergeCell ref="C5:F5"/>
    <mergeCell ref="G5:H5"/>
    <mergeCell ref="I5:J5"/>
    <mergeCell ref="B20:D20"/>
    <mergeCell ref="B10:D10"/>
    <mergeCell ref="B11:D11"/>
    <mergeCell ref="B12:D12"/>
    <mergeCell ref="B13:D13"/>
    <mergeCell ref="B14:D14"/>
    <mergeCell ref="B15:D15"/>
    <mergeCell ref="B16:D16"/>
    <mergeCell ref="B17:D17"/>
    <mergeCell ref="B18:D18"/>
    <mergeCell ref="B19:D19"/>
    <mergeCell ref="B32:D32"/>
    <mergeCell ref="M5:N5"/>
    <mergeCell ref="A7:N7"/>
    <mergeCell ref="A8:A9"/>
    <mergeCell ref="B8:D9"/>
    <mergeCell ref="E8:E9"/>
    <mergeCell ref="F8:F9"/>
    <mergeCell ref="G8:G9"/>
    <mergeCell ref="H8:J8"/>
    <mergeCell ref="K8:K9"/>
    <mergeCell ref="L8:L9"/>
    <mergeCell ref="M8:M9"/>
    <mergeCell ref="N8:N9"/>
    <mergeCell ref="C6:F6"/>
    <mergeCell ref="A1:N1"/>
    <mergeCell ref="M2:N2"/>
    <mergeCell ref="C3:N3"/>
    <mergeCell ref="B4:K4"/>
    <mergeCell ref="M4:N4"/>
    <mergeCell ref="B21:D21"/>
    <mergeCell ref="B22:D22"/>
    <mergeCell ref="B23:D23"/>
    <mergeCell ref="B24:D24"/>
    <mergeCell ref="B25:D25"/>
    <mergeCell ref="B26:D26"/>
    <mergeCell ref="B27:D27"/>
    <mergeCell ref="B28:D28"/>
    <mergeCell ref="B29:D29"/>
    <mergeCell ref="B30:D30"/>
    <mergeCell ref="B31:D31"/>
    <mergeCell ref="B39:D39"/>
    <mergeCell ref="B33:D33"/>
    <mergeCell ref="B34:D34"/>
    <mergeCell ref="B35:D35"/>
    <mergeCell ref="B36:D36"/>
    <mergeCell ref="B37:D37"/>
    <mergeCell ref="B38:D38"/>
  </mergeCells>
  <dataValidations count="1">
    <dataValidation type="whole" allowBlank="1" showInputMessage="1" showErrorMessage="1" errorTitle="Attention!" error="Valeur numérique attendue" sqref="G10:I39 K10:N39" xr:uid="{00000000-0002-0000-4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9"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Feuil76">
    <pageSetUpPr fitToPage="1"/>
  </sheetPr>
  <dimension ref="A1:Q15"/>
  <sheetViews>
    <sheetView showGridLines="0" workbookViewId="0">
      <selection activeCell="A8" sqref="A8:Q15"/>
    </sheetView>
  </sheetViews>
  <sheetFormatPr baseColWidth="10" defaultRowHeight="14.5"/>
  <cols>
    <col min="1" max="1" width="10.453125" customWidth="1"/>
    <col min="2" max="2" width="18.81640625" customWidth="1"/>
    <col min="3" max="3" width="6" customWidth="1"/>
    <col min="4" max="17" width="8.453125" customWidth="1"/>
  </cols>
  <sheetData>
    <row r="1" spans="1:17">
      <c r="A1" s="1134" t="s">
        <v>183</v>
      </c>
      <c r="B1" s="1134"/>
      <c r="C1" s="1134"/>
      <c r="D1" s="1134"/>
      <c r="E1" s="1134"/>
      <c r="F1" s="1134"/>
      <c r="G1" s="1134"/>
      <c r="H1" s="1134"/>
      <c r="I1" s="1134"/>
      <c r="J1" s="1134"/>
      <c r="K1" s="1134"/>
      <c r="L1" s="1134"/>
      <c r="M1" s="1134"/>
      <c r="N1" s="1134"/>
      <c r="O1" s="1134"/>
      <c r="P1" s="1134"/>
      <c r="Q1" s="1134"/>
    </row>
    <row r="2" spans="1:17" ht="18" customHeight="1">
      <c r="A2" s="321"/>
      <c r="B2" s="321"/>
      <c r="C2" s="40"/>
      <c r="D2" s="40"/>
      <c r="E2" s="40"/>
      <c r="F2" s="40"/>
      <c r="G2" s="40"/>
      <c r="N2" s="29"/>
      <c r="O2" s="2193" t="s">
        <v>2070</v>
      </c>
      <c r="P2" s="2194"/>
      <c r="Q2" s="2195"/>
    </row>
    <row r="3" spans="1:17" s="132" customFormat="1" ht="15" customHeight="1">
      <c r="A3" s="7" t="s">
        <v>26</v>
      </c>
      <c r="B3" s="135"/>
      <c r="C3" s="1158">
        <f>'Liste ETATS SUPPL DGI'!C3</f>
        <v>0</v>
      </c>
      <c r="D3" s="1158"/>
      <c r="E3" s="1158"/>
      <c r="F3" s="1158"/>
      <c r="G3" s="1158"/>
      <c r="H3" s="1158"/>
      <c r="I3" s="1158"/>
      <c r="J3" s="1158"/>
      <c r="K3" s="1158"/>
      <c r="L3" s="1158"/>
      <c r="M3" s="1158"/>
      <c r="N3" s="1158"/>
      <c r="O3" s="1158"/>
      <c r="P3" s="1158"/>
      <c r="Q3" s="1158"/>
    </row>
    <row r="4" spans="1:17" s="132" customFormat="1" ht="15" customHeight="1">
      <c r="A4" s="7" t="s">
        <v>27</v>
      </c>
      <c r="B4" s="1158">
        <f>'Liste ETATS SUPPL DGI'!B4</f>
        <v>0</v>
      </c>
      <c r="C4" s="1158"/>
      <c r="D4" s="1158"/>
      <c r="E4" s="1158"/>
      <c r="F4" s="1158"/>
      <c r="G4" s="1158"/>
      <c r="H4" s="1158"/>
      <c r="I4" s="1158"/>
      <c r="J4" s="1158"/>
      <c r="K4" s="1158"/>
      <c r="L4" s="1158"/>
      <c r="M4" s="1158"/>
      <c r="N4" s="1386" t="s">
        <v>28</v>
      </c>
      <c r="O4" s="1386"/>
      <c r="P4" s="1638">
        <f>'Liste ETATS SUPPL DGI'!I4</f>
        <v>0</v>
      </c>
      <c r="Q4" s="1638"/>
    </row>
    <row r="5" spans="1:17" s="132" customFormat="1" ht="15" customHeight="1">
      <c r="A5" s="7" t="s">
        <v>2021</v>
      </c>
      <c r="C5" s="1158">
        <f>'Liste ETATS SUPPL DGI'!C5</f>
        <v>0</v>
      </c>
      <c r="D5" s="1158"/>
      <c r="E5" s="1158"/>
      <c r="F5" s="1158"/>
      <c r="G5" s="1158"/>
      <c r="H5" s="1158"/>
      <c r="I5" s="1386" t="s">
        <v>30</v>
      </c>
      <c r="J5" s="1386"/>
      <c r="K5" s="1638">
        <f>'Liste ETATS SUPPL DGI'!F5</f>
        <v>0</v>
      </c>
      <c r="L5" s="1638"/>
      <c r="M5" s="1638"/>
      <c r="N5" s="1386" t="s">
        <v>31</v>
      </c>
      <c r="O5" s="1386"/>
      <c r="P5" s="1638">
        <f>'Liste ETATS SUPPL DGI'!I5</f>
        <v>0</v>
      </c>
      <c r="Q5" s="1638"/>
    </row>
    <row r="6" spans="1:17" s="132" customFormat="1" ht="15" customHeight="1">
      <c r="A6" s="268" t="s">
        <v>2024</v>
      </c>
      <c r="C6" s="1158">
        <f>'Liste ETATS SUPPL DGI'!C6</f>
        <v>0</v>
      </c>
      <c r="D6" s="1158"/>
      <c r="E6" s="1158"/>
      <c r="F6" s="1158"/>
      <c r="G6" s="262"/>
      <c r="H6" s="262"/>
      <c r="I6" s="44"/>
      <c r="J6" s="44"/>
      <c r="K6" s="267"/>
      <c r="L6" s="263"/>
      <c r="M6" s="44"/>
      <c r="N6" s="44"/>
      <c r="O6" s="44"/>
      <c r="P6" s="263"/>
      <c r="Q6" s="263"/>
    </row>
    <row r="7" spans="1:17" ht="30" customHeight="1" thickBot="1">
      <c r="A7" s="1169" t="s">
        <v>1092</v>
      </c>
      <c r="B7" s="1169"/>
      <c r="C7" s="1169"/>
      <c r="D7" s="1169"/>
      <c r="E7" s="1169"/>
      <c r="F7" s="1169"/>
      <c r="G7" s="1169"/>
      <c r="H7" s="1169"/>
      <c r="I7" s="1169"/>
      <c r="J7" s="1169"/>
      <c r="K7" s="1169"/>
      <c r="L7" s="1169"/>
      <c r="M7" s="1169"/>
      <c r="N7" s="1169"/>
      <c r="O7" s="1169"/>
      <c r="P7" s="1169"/>
      <c r="Q7" s="1169"/>
    </row>
    <row r="8" spans="1:17" s="9" customFormat="1" ht="56.25" customHeight="1">
      <c r="A8" s="1632"/>
      <c r="B8" s="1633"/>
      <c r="C8" s="1633"/>
      <c r="D8" s="1633" t="s">
        <v>318</v>
      </c>
      <c r="E8" s="1633"/>
      <c r="F8" s="1633" t="s">
        <v>1716</v>
      </c>
      <c r="G8" s="1633"/>
      <c r="H8" s="1633" t="s">
        <v>1093</v>
      </c>
      <c r="I8" s="1633"/>
      <c r="J8" s="1633" t="s">
        <v>1094</v>
      </c>
      <c r="K8" s="1633"/>
      <c r="L8" s="1633" t="s">
        <v>351</v>
      </c>
      <c r="M8" s="1633"/>
      <c r="N8" s="1633" t="s">
        <v>1095</v>
      </c>
      <c r="O8" s="1633"/>
      <c r="P8" s="1633" t="s">
        <v>1715</v>
      </c>
      <c r="Q8" s="2196"/>
    </row>
    <row r="9" spans="1:17" s="10" customFormat="1" ht="21" customHeight="1">
      <c r="A9" s="1711" t="s">
        <v>1096</v>
      </c>
      <c r="B9" s="1712"/>
      <c r="C9" s="1712"/>
      <c r="D9" s="2190"/>
      <c r="E9" s="2190"/>
      <c r="F9" s="2190"/>
      <c r="G9" s="2190"/>
      <c r="H9" s="2190"/>
      <c r="I9" s="2190"/>
      <c r="J9" s="2190"/>
      <c r="K9" s="2190"/>
      <c r="L9" s="2190"/>
      <c r="M9" s="2190"/>
      <c r="N9" s="2189">
        <f>SUM(D9:M9)</f>
        <v>0</v>
      </c>
      <c r="O9" s="2189"/>
      <c r="P9" s="2190"/>
      <c r="Q9" s="2191"/>
    </row>
    <row r="10" spans="1:17" s="10" customFormat="1" ht="21" customHeight="1">
      <c r="A10" s="1711" t="s">
        <v>1097</v>
      </c>
      <c r="B10" s="1712"/>
      <c r="C10" s="1712"/>
      <c r="D10" s="2190"/>
      <c r="E10" s="2190"/>
      <c r="F10" s="2190"/>
      <c r="G10" s="2190"/>
      <c r="H10" s="2190"/>
      <c r="I10" s="2190"/>
      <c r="J10" s="2190"/>
      <c r="K10" s="2190"/>
      <c r="L10" s="2190"/>
      <c r="M10" s="2190"/>
      <c r="N10" s="2189">
        <f t="shared" ref="N10:N14" si="0">SUM(D10:M10)</f>
        <v>0</v>
      </c>
      <c r="O10" s="2189"/>
      <c r="P10" s="2190"/>
      <c r="Q10" s="2191"/>
    </row>
    <row r="11" spans="1:17" s="10" customFormat="1" ht="21" customHeight="1">
      <c r="A11" s="1711" t="s">
        <v>1098</v>
      </c>
      <c r="B11" s="1712"/>
      <c r="C11" s="1712"/>
      <c r="D11" s="2190"/>
      <c r="E11" s="2190"/>
      <c r="F11" s="2190"/>
      <c r="G11" s="2190"/>
      <c r="H11" s="2190"/>
      <c r="I11" s="2190"/>
      <c r="J11" s="2190"/>
      <c r="K11" s="2190"/>
      <c r="L11" s="2190"/>
      <c r="M11" s="2190"/>
      <c r="N11" s="2189">
        <f t="shared" si="0"/>
        <v>0</v>
      </c>
      <c r="O11" s="2189"/>
      <c r="P11" s="2190"/>
      <c r="Q11" s="2191"/>
    </row>
    <row r="12" spans="1:17" s="10" customFormat="1" ht="21" customHeight="1">
      <c r="A12" s="1711" t="s">
        <v>1099</v>
      </c>
      <c r="B12" s="1712"/>
      <c r="C12" s="1712"/>
      <c r="D12" s="2190"/>
      <c r="E12" s="2190"/>
      <c r="F12" s="2190"/>
      <c r="G12" s="2190"/>
      <c r="H12" s="2190"/>
      <c r="I12" s="2190"/>
      <c r="J12" s="2190"/>
      <c r="K12" s="2190"/>
      <c r="L12" s="2190"/>
      <c r="M12" s="2190"/>
      <c r="N12" s="2189">
        <f t="shared" si="0"/>
        <v>0</v>
      </c>
      <c r="O12" s="2189"/>
      <c r="P12" s="2190"/>
      <c r="Q12" s="2191"/>
    </row>
    <row r="13" spans="1:17" s="10" customFormat="1" ht="21" customHeight="1">
      <c r="A13" s="1711" t="s">
        <v>1100</v>
      </c>
      <c r="B13" s="1712"/>
      <c r="C13" s="1712"/>
      <c r="D13" s="2190"/>
      <c r="E13" s="2190"/>
      <c r="F13" s="2190"/>
      <c r="G13" s="2190"/>
      <c r="H13" s="2190"/>
      <c r="I13" s="2190"/>
      <c r="J13" s="2190"/>
      <c r="K13" s="2190"/>
      <c r="L13" s="2190"/>
      <c r="M13" s="2190"/>
      <c r="N13" s="2189">
        <f t="shared" si="0"/>
        <v>0</v>
      </c>
      <c r="O13" s="2189"/>
      <c r="P13" s="2190"/>
      <c r="Q13" s="2191"/>
    </row>
    <row r="14" spans="1:17" s="10" customFormat="1" ht="21" customHeight="1">
      <c r="A14" s="1711" t="s">
        <v>1101</v>
      </c>
      <c r="B14" s="1712"/>
      <c r="C14" s="1712"/>
      <c r="D14" s="2190"/>
      <c r="E14" s="2190"/>
      <c r="F14" s="2190"/>
      <c r="G14" s="2190"/>
      <c r="H14" s="2190"/>
      <c r="I14" s="2190"/>
      <c r="J14" s="2190"/>
      <c r="K14" s="2190"/>
      <c r="L14" s="2190"/>
      <c r="M14" s="2190"/>
      <c r="N14" s="2189">
        <f t="shared" si="0"/>
        <v>0</v>
      </c>
      <c r="O14" s="2189"/>
      <c r="P14" s="2190"/>
      <c r="Q14" s="2191"/>
    </row>
    <row r="15" spans="1:17" s="10" customFormat="1" ht="21" customHeight="1" thickBot="1">
      <c r="A15" s="2187" t="s">
        <v>1102</v>
      </c>
      <c r="B15" s="2188"/>
      <c r="C15" s="2188"/>
      <c r="D15" s="2186">
        <f>SUM(D9:E14)</f>
        <v>0</v>
      </c>
      <c r="E15" s="2186"/>
      <c r="F15" s="2186">
        <f t="shared" ref="F15" si="1">SUM(F9:G14)</f>
        <v>0</v>
      </c>
      <c r="G15" s="2186"/>
      <c r="H15" s="2186">
        <f t="shared" ref="H15" si="2">SUM(H9:I14)</f>
        <v>0</v>
      </c>
      <c r="I15" s="2186"/>
      <c r="J15" s="2186">
        <f t="shared" ref="J15" si="3">SUM(J9:K14)</f>
        <v>0</v>
      </c>
      <c r="K15" s="2186"/>
      <c r="L15" s="2186">
        <f t="shared" ref="L15" si="4">SUM(L9:M14)</f>
        <v>0</v>
      </c>
      <c r="M15" s="2186"/>
      <c r="N15" s="2186">
        <f t="shared" ref="N15" si="5">SUM(N9:O14)</f>
        <v>0</v>
      </c>
      <c r="O15" s="2186"/>
      <c r="P15" s="2186">
        <f>SUM(P9:Q14)</f>
        <v>0</v>
      </c>
      <c r="Q15" s="2192"/>
    </row>
  </sheetData>
  <mergeCells count="77">
    <mergeCell ref="P13:Q13"/>
    <mergeCell ref="P14:Q14"/>
    <mergeCell ref="P15:Q15"/>
    <mergeCell ref="O2:Q2"/>
    <mergeCell ref="C3:Q3"/>
    <mergeCell ref="P4:Q4"/>
    <mergeCell ref="P5:Q5"/>
    <mergeCell ref="B4:M4"/>
    <mergeCell ref="N4:O4"/>
    <mergeCell ref="N5:O5"/>
    <mergeCell ref="K5:M5"/>
    <mergeCell ref="I5:J5"/>
    <mergeCell ref="C5:H5"/>
    <mergeCell ref="A7:Q7"/>
    <mergeCell ref="P8:Q8"/>
    <mergeCell ref="P9:Q9"/>
    <mergeCell ref="P10:Q10"/>
    <mergeCell ref="P11:Q11"/>
    <mergeCell ref="P12:Q12"/>
    <mergeCell ref="C6:F6"/>
    <mergeCell ref="A1:Q1"/>
    <mergeCell ref="A8:C8"/>
    <mergeCell ref="D8:E8"/>
    <mergeCell ref="F8:G8"/>
    <mergeCell ref="H8:I8"/>
    <mergeCell ref="J8:K8"/>
    <mergeCell ref="L8:M8"/>
    <mergeCell ref="N8:O8"/>
    <mergeCell ref="N9:O9"/>
    <mergeCell ref="A10:C10"/>
    <mergeCell ref="D10:E10"/>
    <mergeCell ref="F10:G10"/>
    <mergeCell ref="H10:I10"/>
    <mergeCell ref="J10:K10"/>
    <mergeCell ref="L10:M10"/>
    <mergeCell ref="N10:O10"/>
    <mergeCell ref="A9:C9"/>
    <mergeCell ref="D9:E9"/>
    <mergeCell ref="F9:G9"/>
    <mergeCell ref="H9:I9"/>
    <mergeCell ref="J9:K9"/>
    <mergeCell ref="L9:M9"/>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5:O15"/>
    <mergeCell ref="A15:C15"/>
    <mergeCell ref="D15:E15"/>
    <mergeCell ref="F15:G15"/>
    <mergeCell ref="H15:I15"/>
    <mergeCell ref="J15:K15"/>
    <mergeCell ref="L15:M15"/>
  </mergeCells>
  <dataValidations count="1">
    <dataValidation type="whole" allowBlank="1" showInputMessage="1" showErrorMessage="1" errorTitle="Attention!" error="Valeur numérique attendue" sqref="D9:M14 P9:Q14" xr:uid="{00000000-0002-0000-4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Feuil77">
    <pageSetUpPr fitToPage="1"/>
  </sheetPr>
  <dimension ref="A1:H24"/>
  <sheetViews>
    <sheetView showGridLines="0" topLeftCell="A16" zoomScale="170" zoomScaleNormal="170" workbookViewId="0">
      <selection activeCell="A26" sqref="A26"/>
    </sheetView>
  </sheetViews>
  <sheetFormatPr baseColWidth="10" defaultRowHeight="14.5"/>
  <cols>
    <col min="2" max="2" width="17.54296875" customWidth="1"/>
    <col min="4" max="4" width="4.54296875" customWidth="1"/>
    <col min="5" max="5" width="13.54296875" customWidth="1"/>
    <col min="7" max="8" width="18.1796875" customWidth="1"/>
  </cols>
  <sheetData>
    <row r="1" spans="1:8">
      <c r="A1" s="1134" t="s">
        <v>183</v>
      </c>
      <c r="B1" s="1134"/>
      <c r="C1" s="1134"/>
      <c r="D1" s="1134"/>
      <c r="E1" s="1134"/>
      <c r="F1" s="1134"/>
      <c r="G1" s="1134"/>
      <c r="H1" s="1134"/>
    </row>
    <row r="2" spans="1:8" ht="18" customHeight="1">
      <c r="A2" s="2211"/>
      <c r="B2" s="2211"/>
      <c r="C2" s="40"/>
      <c r="D2" s="40"/>
      <c r="E2" s="40"/>
      <c r="F2" s="40"/>
      <c r="G2" s="2178" t="s">
        <v>2071</v>
      </c>
      <c r="H2" s="2179"/>
    </row>
    <row r="3" spans="1:8" s="132" customFormat="1" ht="22" customHeight="1">
      <c r="A3" s="7" t="s">
        <v>26</v>
      </c>
      <c r="B3" s="135"/>
      <c r="C3" s="1221">
        <f>'Liste ETATS SUPPL DGI'!C3</f>
        <v>0</v>
      </c>
      <c r="D3" s="1221"/>
      <c r="E3" s="1221"/>
      <c r="F3" s="1221"/>
      <c r="G3" s="1221"/>
      <c r="H3" s="1221"/>
    </row>
    <row r="4" spans="1:8" s="132" customFormat="1" ht="15" customHeight="1">
      <c r="A4" s="7" t="s">
        <v>27</v>
      </c>
      <c r="B4" s="1221">
        <f>'Liste ETATS SUPPL DGI'!B4</f>
        <v>0</v>
      </c>
      <c r="C4" s="1221"/>
      <c r="D4" s="1221"/>
      <c r="E4" s="1221"/>
      <c r="F4" s="1221"/>
      <c r="G4" s="61" t="s">
        <v>28</v>
      </c>
      <c r="H4" s="119">
        <f>'Liste ETATS SUPPL DGI'!I4</f>
        <v>0</v>
      </c>
    </row>
    <row r="5" spans="1:8" s="132" customFormat="1" ht="15" customHeight="1">
      <c r="A5" s="7" t="s">
        <v>2021</v>
      </c>
      <c r="C5" s="1223">
        <f>'Liste ETATS SUPPL DGI'!C5</f>
        <v>0</v>
      </c>
      <c r="D5" s="1223"/>
      <c r="E5" s="61" t="s">
        <v>30</v>
      </c>
      <c r="F5" s="119">
        <f>'Liste ETATS SUPPL DGI'!F5</f>
        <v>0</v>
      </c>
      <c r="G5" s="61" t="s">
        <v>31</v>
      </c>
      <c r="H5" s="119">
        <f>'Liste ETATS SUPPL DGI'!I5</f>
        <v>0</v>
      </c>
    </row>
    <row r="6" spans="1:8" s="132" customFormat="1" ht="15" customHeight="1">
      <c r="A6" s="268" t="s">
        <v>2024</v>
      </c>
      <c r="C6" s="1461">
        <f>'Liste ETATS SUPPL DGI'!C6</f>
        <v>0</v>
      </c>
      <c r="D6" s="1461"/>
      <c r="E6" s="263"/>
      <c r="F6" s="44"/>
      <c r="G6" s="263"/>
      <c r="H6" s="44"/>
    </row>
    <row r="7" spans="1:8" ht="42" customHeight="1" thickBot="1">
      <c r="A7" s="1212" t="s">
        <v>2342</v>
      </c>
      <c r="B7" s="1169"/>
      <c r="C7" s="1169"/>
      <c r="D7" s="1169"/>
      <c r="E7" s="1169"/>
      <c r="F7" s="1169"/>
      <c r="G7" s="1169"/>
      <c r="H7" s="1169"/>
    </row>
    <row r="8" spans="1:8" ht="36" customHeight="1">
      <c r="A8" s="2209"/>
      <c r="B8" s="2210"/>
      <c r="C8" s="2210"/>
      <c r="D8" s="2210"/>
      <c r="E8" s="2210"/>
      <c r="F8" s="2210"/>
      <c r="G8" s="1072" t="s">
        <v>1103</v>
      </c>
      <c r="H8" s="1073" t="s">
        <v>1104</v>
      </c>
    </row>
    <row r="9" spans="1:8" s="660" customFormat="1" ht="20.25" customHeight="1">
      <c r="A9" s="2205" t="s">
        <v>2034</v>
      </c>
      <c r="B9" s="2206"/>
      <c r="C9" s="2206"/>
      <c r="D9" s="2206"/>
      <c r="E9" s="2206"/>
      <c r="F9" s="2206"/>
      <c r="G9" s="659"/>
      <c r="H9" s="1074"/>
    </row>
    <row r="10" spans="1:8" s="660" customFormat="1" ht="20.25" customHeight="1">
      <c r="A10" s="2197" t="s">
        <v>2035</v>
      </c>
      <c r="B10" s="2198"/>
      <c r="C10" s="2198"/>
      <c r="D10" s="2198"/>
      <c r="E10" s="2198"/>
      <c r="F10" s="2199"/>
      <c r="G10" s="659"/>
      <c r="H10" s="1074"/>
    </row>
    <row r="11" spans="1:8" s="660" customFormat="1" ht="20.25" customHeight="1">
      <c r="A11" s="2205" t="s">
        <v>1105</v>
      </c>
      <c r="B11" s="2206"/>
      <c r="C11" s="2206"/>
      <c r="D11" s="2206"/>
      <c r="E11" s="2206"/>
      <c r="F11" s="2206"/>
      <c r="G11" s="659"/>
      <c r="H11" s="1074"/>
    </row>
    <row r="12" spans="1:8" s="660" customFormat="1" ht="20.25" customHeight="1">
      <c r="A12" s="2205" t="s">
        <v>1106</v>
      </c>
      <c r="B12" s="2206"/>
      <c r="C12" s="2206"/>
      <c r="D12" s="2206"/>
      <c r="E12" s="2206"/>
      <c r="F12" s="2206"/>
      <c r="G12" s="659"/>
      <c r="H12" s="1074"/>
    </row>
    <row r="13" spans="1:8" s="660" customFormat="1" ht="20.25" customHeight="1">
      <c r="A13" s="2205" t="s">
        <v>1107</v>
      </c>
      <c r="B13" s="2206"/>
      <c r="C13" s="2206"/>
      <c r="D13" s="2206"/>
      <c r="E13" s="2206"/>
      <c r="F13" s="2206"/>
      <c r="G13" s="659"/>
      <c r="H13" s="1074"/>
    </row>
    <row r="14" spans="1:8" s="660" customFormat="1" ht="20.25" customHeight="1">
      <c r="A14" s="2205" t="s">
        <v>1108</v>
      </c>
      <c r="B14" s="2206"/>
      <c r="C14" s="2206"/>
      <c r="D14" s="2206"/>
      <c r="E14" s="2206"/>
      <c r="F14" s="2206"/>
      <c r="G14" s="659"/>
      <c r="H14" s="1074"/>
    </row>
    <row r="15" spans="1:8" s="660" customFormat="1" ht="20.25" customHeight="1">
      <c r="A15" s="2205" t="s">
        <v>1109</v>
      </c>
      <c r="B15" s="2206"/>
      <c r="C15" s="2206"/>
      <c r="D15" s="2206"/>
      <c r="E15" s="2206"/>
      <c r="F15" s="2206"/>
      <c r="G15" s="659"/>
      <c r="H15" s="1074"/>
    </row>
    <row r="16" spans="1:8" s="660" customFormat="1" ht="20.25" customHeight="1">
      <c r="A16" s="2205" t="s">
        <v>1110</v>
      </c>
      <c r="B16" s="2206"/>
      <c r="C16" s="2206"/>
      <c r="D16" s="2206"/>
      <c r="E16" s="2206"/>
      <c r="F16" s="2206"/>
      <c r="G16" s="659"/>
      <c r="H16" s="1074"/>
    </row>
    <row r="17" spans="1:8" s="660" customFormat="1" ht="20.25" customHeight="1">
      <c r="A17" s="2205" t="s">
        <v>2033</v>
      </c>
      <c r="B17" s="2206"/>
      <c r="C17" s="2206"/>
      <c r="D17" s="2206"/>
      <c r="E17" s="2206"/>
      <c r="F17" s="2206"/>
      <c r="G17" s="659"/>
      <c r="H17" s="1074"/>
    </row>
    <row r="18" spans="1:8" ht="20.25" customHeight="1">
      <c r="A18" s="2207" t="s">
        <v>2036</v>
      </c>
      <c r="B18" s="2208"/>
      <c r="C18" s="2208"/>
      <c r="D18" s="2208"/>
      <c r="E18" s="2208"/>
      <c r="F18" s="2208"/>
      <c r="G18" s="179"/>
      <c r="H18" s="1075"/>
    </row>
    <row r="19" spans="1:8" ht="20.25" customHeight="1">
      <c r="A19" s="2200"/>
      <c r="B19" s="2201"/>
      <c r="C19" s="2201"/>
      <c r="D19" s="2201"/>
      <c r="E19" s="2201"/>
      <c r="F19" s="2201"/>
      <c r="G19" s="179"/>
      <c r="H19" s="1075"/>
    </row>
    <row r="20" spans="1:8" ht="20.25" customHeight="1">
      <c r="A20" s="2200"/>
      <c r="B20" s="2201"/>
      <c r="C20" s="2201"/>
      <c r="D20" s="2201"/>
      <c r="E20" s="2201"/>
      <c r="F20" s="2201"/>
      <c r="G20" s="179"/>
      <c r="H20" s="1075"/>
    </row>
    <row r="21" spans="1:8" ht="20.25" customHeight="1">
      <c r="A21" s="2200"/>
      <c r="B21" s="2201"/>
      <c r="C21" s="2201"/>
      <c r="D21" s="2201"/>
      <c r="E21" s="2201"/>
      <c r="F21" s="2201"/>
      <c r="G21" s="179"/>
      <c r="H21" s="1075"/>
    </row>
    <row r="22" spans="1:8" ht="20.25" customHeight="1">
      <c r="A22" s="2200"/>
      <c r="B22" s="2201"/>
      <c r="C22" s="2201"/>
      <c r="D22" s="2201"/>
      <c r="E22" s="2201"/>
      <c r="F22" s="2201"/>
      <c r="G22" s="179"/>
      <c r="H22" s="1075"/>
    </row>
    <row r="23" spans="1:8" ht="20.25" customHeight="1">
      <c r="A23" s="2200"/>
      <c r="B23" s="2201"/>
      <c r="C23" s="2201"/>
      <c r="D23" s="2201"/>
      <c r="E23" s="2201"/>
      <c r="F23" s="2201"/>
      <c r="G23" s="179"/>
      <c r="H23" s="1075"/>
    </row>
    <row r="24" spans="1:8" ht="20.25" customHeight="1" thickBot="1">
      <c r="A24" s="2202" t="s">
        <v>1111</v>
      </c>
      <c r="B24" s="2203"/>
      <c r="C24" s="2203"/>
      <c r="D24" s="2203"/>
      <c r="E24" s="2204"/>
      <c r="F24" s="2204"/>
      <c r="G24" s="1076">
        <f>SUM(G9:G23)</f>
        <v>0</v>
      </c>
      <c r="H24" s="1077">
        <f>SUM(H9:H23)</f>
        <v>0</v>
      </c>
    </row>
  </sheetData>
  <mergeCells count="26">
    <mergeCell ref="A9:F9"/>
    <mergeCell ref="A2:B2"/>
    <mergeCell ref="C6:D6"/>
    <mergeCell ref="B4:F4"/>
    <mergeCell ref="C3:H3"/>
    <mergeCell ref="A1:H1"/>
    <mergeCell ref="G2:H2"/>
    <mergeCell ref="C5:D5"/>
    <mergeCell ref="A7:H7"/>
    <mergeCell ref="A8:F8"/>
    <mergeCell ref="A10:F10"/>
    <mergeCell ref="A21:F21"/>
    <mergeCell ref="A22:F22"/>
    <mergeCell ref="A23:F23"/>
    <mergeCell ref="A24:D24"/>
    <mergeCell ref="E24:F24"/>
    <mergeCell ref="A20:F20"/>
    <mergeCell ref="A11:F11"/>
    <mergeCell ref="A12:F12"/>
    <mergeCell ref="A13:F13"/>
    <mergeCell ref="A14:F14"/>
    <mergeCell ref="A15:F15"/>
    <mergeCell ref="A16:F16"/>
    <mergeCell ref="A17:F17"/>
    <mergeCell ref="A18:F18"/>
    <mergeCell ref="A19:F19"/>
  </mergeCells>
  <dataValidations count="1">
    <dataValidation type="whole" allowBlank="1" showInputMessage="1" showErrorMessage="1" errorTitle="Attention!" error="Valeur numérique attendue" sqref="G9:H23" xr:uid="{00000000-0002-0000-4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Feuil78">
    <pageSetUpPr fitToPage="1"/>
  </sheetPr>
  <dimension ref="A1:I29"/>
  <sheetViews>
    <sheetView showGridLines="0" topLeftCell="A2" zoomScale="150" zoomScaleNormal="150" workbookViewId="0">
      <selection activeCell="A8" sqref="A8:I29"/>
    </sheetView>
  </sheetViews>
  <sheetFormatPr baseColWidth="10" defaultColWidth="11.453125" defaultRowHeight="14.5"/>
  <cols>
    <col min="2" max="2" width="17" customWidth="1"/>
    <col min="5" max="5" width="14.1796875" customWidth="1"/>
    <col min="7" max="7" width="7.453125" customWidth="1"/>
    <col min="8" max="9" width="15.453125" customWidth="1"/>
  </cols>
  <sheetData>
    <row r="1" spans="1:9">
      <c r="A1" s="1134" t="s">
        <v>183</v>
      </c>
      <c r="B1" s="1134"/>
      <c r="C1" s="1134"/>
      <c r="D1" s="1134"/>
      <c r="E1" s="1134"/>
      <c r="F1" s="1134"/>
      <c r="G1" s="1134"/>
      <c r="H1" s="1134"/>
      <c r="I1" s="1134"/>
    </row>
    <row r="2" spans="1:9" ht="18" customHeight="1">
      <c r="A2" s="321"/>
      <c r="B2" s="321"/>
      <c r="C2" s="40"/>
      <c r="D2" s="40"/>
      <c r="E2" s="40"/>
      <c r="F2" s="40"/>
      <c r="H2" s="2178" t="s">
        <v>2072</v>
      </c>
      <c r="I2" s="2179"/>
    </row>
    <row r="3" spans="1:9" s="132" customFormat="1" ht="15" customHeight="1">
      <c r="A3" s="7" t="s">
        <v>26</v>
      </c>
      <c r="B3" s="135"/>
      <c r="C3" s="1158">
        <f>'Liste ETATS SUPPL DGI'!C3</f>
        <v>0</v>
      </c>
      <c r="D3" s="1158"/>
      <c r="E3" s="1158"/>
      <c r="F3" s="1158"/>
      <c r="G3" s="1158"/>
      <c r="H3" s="1158"/>
      <c r="I3" s="1158"/>
    </row>
    <row r="4" spans="1:9" s="132" customFormat="1" ht="15" customHeight="1">
      <c r="A4" s="7" t="s">
        <v>27</v>
      </c>
      <c r="B4" s="1158">
        <f>'Liste ETATS SUPPL DGI'!B4</f>
        <v>0</v>
      </c>
      <c r="C4" s="1158"/>
      <c r="D4" s="1158"/>
      <c r="E4" s="1158"/>
      <c r="F4" s="1158"/>
      <c r="G4" s="1158"/>
      <c r="H4" s="61" t="s">
        <v>28</v>
      </c>
      <c r="I4" s="119">
        <f>'Liste ETATS SUPPL DGI'!I4</f>
        <v>0</v>
      </c>
    </row>
    <row r="5" spans="1:9" s="132" customFormat="1" ht="15" customHeight="1">
      <c r="A5" s="7" t="s">
        <v>2021</v>
      </c>
      <c r="C5" s="1221">
        <f>'Liste ETATS SUPPL DGI'!C5</f>
        <v>0</v>
      </c>
      <c r="D5" s="1221"/>
      <c r="E5" s="61" t="s">
        <v>30</v>
      </c>
      <c r="F5" s="1168">
        <f>'Liste ETATS SUPPL DGI'!F5</f>
        <v>0</v>
      </c>
      <c r="G5" s="1168"/>
      <c r="H5" s="61" t="s">
        <v>31</v>
      </c>
      <c r="I5" s="119">
        <f>'Liste ETATS SUPPL DGI'!I5</f>
        <v>0</v>
      </c>
    </row>
    <row r="6" spans="1:9" s="132" customFormat="1" ht="15" customHeight="1">
      <c r="A6" s="268" t="s">
        <v>2024</v>
      </c>
      <c r="C6" s="1461">
        <f>'Liste ETATS SUPPL DGI'!C6</f>
        <v>0</v>
      </c>
      <c r="D6" s="1461"/>
      <c r="E6" s="263"/>
      <c r="F6" s="44"/>
      <c r="G6" s="44"/>
      <c r="H6" s="263"/>
      <c r="I6" s="44"/>
    </row>
    <row r="7" spans="1:9" ht="42" customHeight="1" thickBot="1">
      <c r="A7" s="1212" t="s">
        <v>1506</v>
      </c>
      <c r="B7" s="1212"/>
      <c r="C7" s="1212"/>
      <c r="D7" s="1212"/>
      <c r="E7" s="1212"/>
      <c r="F7" s="1212"/>
      <c r="G7" s="1212"/>
      <c r="H7" s="1212"/>
      <c r="I7" s="1212"/>
    </row>
    <row r="8" spans="1:9" ht="19.5" customHeight="1">
      <c r="A8" s="2223" t="s">
        <v>1507</v>
      </c>
      <c r="B8" s="2224"/>
      <c r="C8" s="2224"/>
      <c r="D8" s="2224"/>
      <c r="E8" s="2224"/>
      <c r="F8" s="2224"/>
      <c r="G8" s="2224"/>
      <c r="H8" s="1078" t="s">
        <v>1508</v>
      </c>
      <c r="I8" s="1079" t="s">
        <v>1916</v>
      </c>
    </row>
    <row r="9" spans="1:9">
      <c r="A9" s="2212"/>
      <c r="B9" s="2213"/>
      <c r="C9" s="2213"/>
      <c r="D9" s="2213"/>
      <c r="E9" s="2213"/>
      <c r="F9" s="2213"/>
      <c r="G9" s="2213"/>
      <c r="H9" s="412"/>
      <c r="I9" s="1080"/>
    </row>
    <row r="10" spans="1:9">
      <c r="A10" s="2214"/>
      <c r="B10" s="2215"/>
      <c r="C10" s="2215"/>
      <c r="D10" s="2215"/>
      <c r="E10" s="2215"/>
      <c r="F10" s="2215"/>
      <c r="G10" s="2215"/>
      <c r="H10" s="413"/>
      <c r="I10" s="1081"/>
    </row>
    <row r="11" spans="1:9">
      <c r="A11" s="2214"/>
      <c r="B11" s="2215"/>
      <c r="C11" s="2215"/>
      <c r="D11" s="2215"/>
      <c r="E11" s="2215"/>
      <c r="F11" s="2215"/>
      <c r="G11" s="2215"/>
      <c r="H11" s="413"/>
      <c r="I11" s="1081"/>
    </row>
    <row r="12" spans="1:9">
      <c r="A12" s="2214"/>
      <c r="B12" s="2215"/>
      <c r="C12" s="2215"/>
      <c r="D12" s="2215"/>
      <c r="E12" s="2215"/>
      <c r="F12" s="2215"/>
      <c r="G12" s="2215"/>
      <c r="H12" s="413"/>
      <c r="I12" s="1081"/>
    </row>
    <row r="13" spans="1:9">
      <c r="A13" s="2214"/>
      <c r="B13" s="2215"/>
      <c r="C13" s="2215"/>
      <c r="D13" s="2215"/>
      <c r="E13" s="2215"/>
      <c r="F13" s="2215"/>
      <c r="G13" s="2215"/>
      <c r="H13" s="413"/>
      <c r="I13" s="1081"/>
    </row>
    <row r="14" spans="1:9">
      <c r="A14" s="2216"/>
      <c r="B14" s="2217"/>
      <c r="C14" s="2217"/>
      <c r="D14" s="2217"/>
      <c r="E14" s="2217"/>
      <c r="F14" s="2217"/>
      <c r="G14" s="2218"/>
      <c r="H14" s="413"/>
      <c r="I14" s="1081"/>
    </row>
    <row r="15" spans="1:9">
      <c r="A15" s="2214"/>
      <c r="B15" s="2215"/>
      <c r="C15" s="2215"/>
      <c r="D15" s="2215"/>
      <c r="E15" s="2215"/>
      <c r="F15" s="2215"/>
      <c r="G15" s="2215"/>
      <c r="H15" s="413"/>
      <c r="I15" s="1081"/>
    </row>
    <row r="16" spans="1:9">
      <c r="A16" s="2214"/>
      <c r="B16" s="2215"/>
      <c r="C16" s="2215"/>
      <c r="D16" s="2215"/>
      <c r="E16" s="2215"/>
      <c r="F16" s="2215"/>
      <c r="G16" s="2215"/>
      <c r="H16" s="413"/>
      <c r="I16" s="1081"/>
    </row>
    <row r="17" spans="1:9">
      <c r="A17" s="2214"/>
      <c r="B17" s="2215"/>
      <c r="C17" s="2215"/>
      <c r="D17" s="2215"/>
      <c r="E17" s="2215"/>
      <c r="F17" s="2215"/>
      <c r="G17" s="2215"/>
      <c r="H17" s="413"/>
      <c r="I17" s="1081"/>
    </row>
    <row r="18" spans="1:9">
      <c r="A18" s="2219"/>
      <c r="B18" s="2220"/>
      <c r="C18" s="2220"/>
      <c r="D18" s="2220"/>
      <c r="E18" s="2220"/>
      <c r="F18" s="2220"/>
      <c r="G18" s="2220"/>
      <c r="H18" s="414"/>
      <c r="I18" s="1082"/>
    </row>
    <row r="19" spans="1:9" ht="19.5" customHeight="1">
      <c r="A19" s="2221" t="s">
        <v>1509</v>
      </c>
      <c r="B19" s="2222"/>
      <c r="C19" s="2222"/>
      <c r="D19" s="2222"/>
      <c r="E19" s="2222"/>
      <c r="F19" s="2222"/>
      <c r="G19" s="2222"/>
      <c r="H19" s="415" t="s">
        <v>1508</v>
      </c>
      <c r="I19" s="1083" t="s">
        <v>1916</v>
      </c>
    </row>
    <row r="20" spans="1:9">
      <c r="A20" s="1354"/>
      <c r="B20" s="1354"/>
      <c r="C20" s="1354"/>
      <c r="D20" s="1354"/>
      <c r="E20" s="1354"/>
      <c r="F20" s="1354"/>
      <c r="G20" s="1354"/>
    </row>
    <row r="21" spans="1:9">
      <c r="A21" s="1354"/>
      <c r="B21" s="1354"/>
      <c r="C21" s="1354"/>
      <c r="D21" s="1354"/>
      <c r="E21" s="1354"/>
      <c r="F21" s="1354"/>
      <c r="G21" s="1354"/>
    </row>
    <row r="22" spans="1:9">
      <c r="A22" s="1354"/>
      <c r="B22" s="1354"/>
      <c r="C22" s="1354"/>
      <c r="D22" s="1354"/>
      <c r="E22" s="1354"/>
      <c r="F22" s="1354"/>
      <c r="G22" s="1354"/>
    </row>
    <row r="23" spans="1:9">
      <c r="A23" s="1354"/>
      <c r="B23" s="1354"/>
      <c r="C23" s="1354"/>
      <c r="D23" s="1354"/>
      <c r="E23" s="1354"/>
      <c r="F23" s="1354"/>
      <c r="G23" s="1354"/>
    </row>
    <row r="24" spans="1:9">
      <c r="A24" s="1354"/>
      <c r="B24" s="1354"/>
      <c r="C24" s="1354"/>
      <c r="D24" s="1354"/>
      <c r="E24" s="1354"/>
      <c r="F24" s="1354"/>
      <c r="G24" s="1354"/>
    </row>
    <row r="25" spans="1:9">
      <c r="A25" s="1354"/>
      <c r="B25" s="1354"/>
      <c r="C25" s="1354"/>
      <c r="D25" s="1354"/>
      <c r="E25" s="1354"/>
      <c r="F25" s="1354"/>
      <c r="G25" s="1354"/>
    </row>
    <row r="26" spans="1:9">
      <c r="A26" s="1354"/>
      <c r="B26" s="1354"/>
      <c r="C26" s="1354"/>
      <c r="D26" s="1354"/>
      <c r="E26" s="1354"/>
      <c r="F26" s="1354"/>
      <c r="G26" s="1354"/>
    </row>
    <row r="27" spans="1:9">
      <c r="A27" s="1354"/>
      <c r="B27" s="1354"/>
      <c r="C27" s="1354"/>
      <c r="D27" s="1354"/>
      <c r="E27" s="1354"/>
      <c r="F27" s="1354"/>
      <c r="G27" s="1354"/>
    </row>
    <row r="28" spans="1:9">
      <c r="A28" s="1354"/>
      <c r="B28" s="1354"/>
      <c r="C28" s="1354"/>
      <c r="D28" s="1354"/>
      <c r="E28" s="1354"/>
      <c r="F28" s="1354"/>
      <c r="G28" s="1354"/>
    </row>
    <row r="29" spans="1:9">
      <c r="A29" s="1354"/>
      <c r="B29" s="1354"/>
      <c r="C29" s="1354"/>
      <c r="D29" s="1354"/>
      <c r="E29" s="1354"/>
      <c r="F29" s="1354"/>
      <c r="G29" s="1354"/>
    </row>
  </sheetData>
  <mergeCells count="30">
    <mergeCell ref="F5:G5"/>
    <mergeCell ref="H2:I2"/>
    <mergeCell ref="C6:D6"/>
    <mergeCell ref="B4:G4"/>
    <mergeCell ref="C3:I3"/>
    <mergeCell ref="A1:I1"/>
    <mergeCell ref="A7:I7"/>
    <mergeCell ref="A20:G20"/>
    <mergeCell ref="A9:G9"/>
    <mergeCell ref="A10:G10"/>
    <mergeCell ref="A11:G11"/>
    <mergeCell ref="A12:G12"/>
    <mergeCell ref="A13:G13"/>
    <mergeCell ref="A14:G14"/>
    <mergeCell ref="A15:G15"/>
    <mergeCell ref="A16:G16"/>
    <mergeCell ref="A17:G17"/>
    <mergeCell ref="A18:G18"/>
    <mergeCell ref="A19:G19"/>
    <mergeCell ref="A8:G8"/>
    <mergeCell ref="C5:D5"/>
    <mergeCell ref="A27:G27"/>
    <mergeCell ref="A28:G28"/>
    <mergeCell ref="A29:G29"/>
    <mergeCell ref="A21:G21"/>
    <mergeCell ref="A22:G22"/>
    <mergeCell ref="A23:G23"/>
    <mergeCell ref="A24:G24"/>
    <mergeCell ref="A25:G25"/>
    <mergeCell ref="A26:G26"/>
  </mergeCells>
  <dataValidations count="1">
    <dataValidation type="whole" allowBlank="1" showInputMessage="1" showErrorMessage="1" errorTitle="Attention!" error="Valeur numérique attendue" sqref="H9:I18 H20:I29" xr:uid="{00000000-0002-0000-4C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2"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K20"/>
  <sheetViews>
    <sheetView showGridLines="0" topLeftCell="A4" workbookViewId="0">
      <selection activeCell="M12" sqref="M12"/>
    </sheetView>
  </sheetViews>
  <sheetFormatPr baseColWidth="10" defaultRowHeight="14.5"/>
  <cols>
    <col min="1" max="1" width="22.453125" customWidth="1"/>
    <col min="2" max="2" width="9.453125" customWidth="1"/>
    <col min="3" max="3" width="10.54296875" customWidth="1"/>
    <col min="4" max="4" width="11.54296875" customWidth="1"/>
    <col min="5" max="5" width="7.453125" customWidth="1"/>
    <col min="6" max="6" width="9.453125" customWidth="1"/>
    <col min="7" max="7" width="12.453125" customWidth="1"/>
    <col min="8" max="8" width="11.54296875" customWidth="1"/>
    <col min="9" max="9" width="10.453125" customWidth="1"/>
    <col min="10" max="10" width="10.1796875" customWidth="1"/>
    <col min="11" max="11" width="10" customWidth="1"/>
    <col min="12" max="12" width="10.453125" customWidth="1"/>
    <col min="13" max="13" width="9.54296875" customWidth="1"/>
  </cols>
  <sheetData>
    <row r="1" spans="1:11" ht="15" thickBot="1">
      <c r="A1" s="1134" t="s">
        <v>183</v>
      </c>
      <c r="B1" s="1134"/>
      <c r="C1" s="1134"/>
      <c r="D1" s="1134"/>
      <c r="E1" s="1134"/>
      <c r="F1" s="1134"/>
      <c r="G1" s="1134"/>
      <c r="H1" s="1134"/>
      <c r="I1" s="1134"/>
      <c r="J1" s="1134"/>
    </row>
    <row r="2" spans="1:11" ht="18" customHeight="1" thickBot="1">
      <c r="A2" s="321"/>
      <c r="B2" s="321"/>
      <c r="C2" s="40"/>
      <c r="D2" s="40"/>
      <c r="E2" s="40"/>
      <c r="F2" s="40"/>
      <c r="G2" s="40"/>
      <c r="I2" s="2232" t="s">
        <v>2073</v>
      </c>
      <c r="J2" s="2233"/>
      <c r="K2" s="2234"/>
    </row>
    <row r="3" spans="1:11" s="132" customFormat="1" ht="22" customHeight="1">
      <c r="A3" s="7" t="s">
        <v>26</v>
      </c>
      <c r="B3" s="372"/>
      <c r="C3" s="1221">
        <f>'Liste ETATS SUPPL DGI'!C3</f>
        <v>0</v>
      </c>
      <c r="D3" s="1221"/>
      <c r="E3" s="1221"/>
      <c r="F3" s="1221"/>
      <c r="G3" s="1221"/>
      <c r="H3" s="1221"/>
      <c r="I3" s="1221"/>
      <c r="J3" s="1221"/>
    </row>
    <row r="4" spans="1:11" s="132" customFormat="1" ht="15" customHeight="1">
      <c r="A4" s="7" t="s">
        <v>27</v>
      </c>
      <c r="B4" s="1223">
        <f>'Liste ETATS SUPPL DGI'!B4</f>
        <v>0</v>
      </c>
      <c r="C4" s="1223"/>
      <c r="D4" s="1223"/>
      <c r="E4" s="1223"/>
      <c r="F4" s="1223"/>
      <c r="G4" s="1223"/>
      <c r="H4" s="1223"/>
      <c r="I4" s="61" t="s">
        <v>28</v>
      </c>
      <c r="J4" s="119">
        <f>'Liste ETATS SUPPL DGI'!I4</f>
        <v>0</v>
      </c>
    </row>
    <row r="5" spans="1:11" s="132" customFormat="1" ht="15" customHeight="1">
      <c r="A5" s="7" t="s">
        <v>2021</v>
      </c>
      <c r="B5" s="1761">
        <f>'Liste ETATS SUPPL DGI'!C5</f>
        <v>0</v>
      </c>
      <c r="C5" s="1761"/>
      <c r="D5" s="692"/>
      <c r="E5" s="2235" t="s">
        <v>30</v>
      </c>
      <c r="F5" s="2235"/>
      <c r="G5" s="365">
        <f>'Liste ETATS SUPPL DGI'!F5</f>
        <v>0</v>
      </c>
      <c r="I5" s="61" t="s">
        <v>31</v>
      </c>
      <c r="J5" s="119">
        <f>'Liste ETATS SUPPL DGI'!I5</f>
        <v>0</v>
      </c>
    </row>
    <row r="6" spans="1:11" s="132" customFormat="1" ht="15" customHeight="1">
      <c r="A6" s="268" t="s">
        <v>2024</v>
      </c>
      <c r="C6" s="1761">
        <f>'Liste ETATS SUPPL DGI'!C6</f>
        <v>0</v>
      </c>
      <c r="D6" s="1761"/>
      <c r="E6" s="1761"/>
      <c r="F6" s="1761"/>
      <c r="G6" s="43"/>
      <c r="H6" s="135"/>
      <c r="I6" s="61"/>
      <c r="J6" s="244"/>
    </row>
    <row r="7" spans="1:11" ht="30" customHeight="1" thickBot="1">
      <c r="A7" s="2229" t="s">
        <v>2087</v>
      </c>
      <c r="B7" s="2229"/>
      <c r="C7" s="2229"/>
      <c r="D7" s="2229"/>
      <c r="E7" s="2229"/>
      <c r="F7" s="2229"/>
      <c r="G7" s="2229"/>
      <c r="H7" s="2229"/>
      <c r="I7" s="2229"/>
      <c r="J7" s="2229"/>
      <c r="K7" s="2229"/>
    </row>
    <row r="8" spans="1:11" ht="36" customHeight="1">
      <c r="A8" s="2230" t="s">
        <v>2126</v>
      </c>
      <c r="B8" s="2231"/>
      <c r="C8" s="2231"/>
      <c r="D8" s="2225" t="s">
        <v>2074</v>
      </c>
      <c r="E8" s="2225" t="s">
        <v>2075</v>
      </c>
      <c r="F8" s="2225" t="s">
        <v>2076</v>
      </c>
      <c r="G8" s="2225" t="s">
        <v>2077</v>
      </c>
      <c r="H8" s="2225" t="s">
        <v>2078</v>
      </c>
      <c r="I8" s="2225" t="s">
        <v>2079</v>
      </c>
      <c r="J8" s="2225" t="s">
        <v>2080</v>
      </c>
      <c r="K8" s="2227" t="s">
        <v>2081</v>
      </c>
    </row>
    <row r="9" spans="1:11" s="1" customFormat="1" ht="53" thickBot="1">
      <c r="A9" s="679" t="s">
        <v>2082</v>
      </c>
      <c r="B9" s="680" t="s">
        <v>2083</v>
      </c>
      <c r="C9" s="680" t="s">
        <v>2084</v>
      </c>
      <c r="D9" s="2226"/>
      <c r="E9" s="2226"/>
      <c r="F9" s="2226"/>
      <c r="G9" s="2226"/>
      <c r="H9" s="2226"/>
      <c r="I9" s="2226"/>
      <c r="J9" s="2226"/>
      <c r="K9" s="2228"/>
    </row>
    <row r="10" spans="1:11" s="1" customFormat="1">
      <c r="A10" s="661"/>
      <c r="B10" s="662"/>
      <c r="C10" s="663"/>
      <c r="D10" s="664"/>
      <c r="E10" s="665"/>
      <c r="F10" s="666"/>
      <c r="G10" s="665"/>
      <c r="H10" s="665"/>
      <c r="I10" s="665"/>
      <c r="J10" s="664"/>
      <c r="K10" s="681"/>
    </row>
    <row r="11" spans="1:11" s="1" customFormat="1">
      <c r="A11" s="667"/>
      <c r="B11" s="666"/>
      <c r="C11" s="663"/>
      <c r="D11" s="668"/>
      <c r="E11" s="666"/>
      <c r="F11" s="666"/>
      <c r="G11" s="666"/>
      <c r="H11" s="666"/>
      <c r="I11" s="666"/>
      <c r="J11" s="664"/>
      <c r="K11" s="682"/>
    </row>
    <row r="12" spans="1:11" s="1" customFormat="1">
      <c r="A12" s="670"/>
      <c r="B12" s="666"/>
      <c r="C12" s="663"/>
      <c r="D12" s="668"/>
      <c r="E12" s="666"/>
      <c r="F12" s="666"/>
      <c r="G12" s="666"/>
      <c r="H12" s="666"/>
      <c r="I12" s="666"/>
      <c r="J12" s="664"/>
      <c r="K12" s="682"/>
    </row>
    <row r="13" spans="1:11" s="1" customFormat="1">
      <c r="A13" s="670"/>
      <c r="B13" s="666"/>
      <c r="C13" s="663"/>
      <c r="D13" s="668"/>
      <c r="E13" s="666"/>
      <c r="F13" s="666"/>
      <c r="G13" s="666"/>
      <c r="H13" s="666"/>
      <c r="I13" s="666"/>
      <c r="J13" s="664"/>
      <c r="K13" s="682"/>
    </row>
    <row r="14" spans="1:11" s="1" customFormat="1">
      <c r="A14" s="671"/>
      <c r="B14" s="666"/>
      <c r="C14" s="666"/>
      <c r="D14" s="666"/>
      <c r="E14" s="666"/>
      <c r="F14" s="666"/>
      <c r="G14" s="666"/>
      <c r="H14" s="666"/>
      <c r="I14" s="666"/>
      <c r="J14" s="666"/>
      <c r="K14" s="669"/>
    </row>
    <row r="15" spans="1:11" s="1" customFormat="1">
      <c r="A15" s="671"/>
      <c r="B15" s="666"/>
      <c r="C15" s="666"/>
      <c r="D15" s="666"/>
      <c r="E15" s="666"/>
      <c r="F15" s="666"/>
      <c r="G15" s="666"/>
      <c r="H15" s="666"/>
      <c r="I15" s="666"/>
      <c r="J15" s="666"/>
      <c r="K15" s="669"/>
    </row>
    <row r="16" spans="1:11" s="1" customFormat="1">
      <c r="A16" s="671"/>
      <c r="B16" s="666"/>
      <c r="C16" s="666"/>
      <c r="D16" s="666"/>
      <c r="E16" s="666"/>
      <c r="F16" s="666"/>
      <c r="G16" s="666"/>
      <c r="H16" s="666"/>
      <c r="I16" s="666"/>
      <c r="J16" s="666"/>
      <c r="K16" s="669"/>
    </row>
    <row r="17" spans="1:11" s="1" customFormat="1">
      <c r="A17" s="671"/>
      <c r="B17" s="666"/>
      <c r="C17" s="666"/>
      <c r="D17" s="666"/>
      <c r="E17" s="666"/>
      <c r="F17" s="666"/>
      <c r="G17" s="666"/>
      <c r="H17" s="666"/>
      <c r="I17" s="666"/>
      <c r="J17" s="666"/>
      <c r="K17" s="669"/>
    </row>
    <row r="18" spans="1:11" s="1" customFormat="1">
      <c r="A18" s="671"/>
      <c r="B18" s="666"/>
      <c r="C18" s="666"/>
      <c r="D18" s="666"/>
      <c r="E18" s="666"/>
      <c r="F18" s="666"/>
      <c r="G18" s="666"/>
      <c r="H18" s="666"/>
      <c r="I18" s="666"/>
      <c r="J18" s="666"/>
      <c r="K18" s="669"/>
    </row>
    <row r="19" spans="1:11" s="1" customFormat="1" ht="15" thickBot="1">
      <c r="A19" s="672"/>
      <c r="B19" s="673"/>
      <c r="C19" s="673"/>
      <c r="D19" s="673"/>
      <c r="E19" s="673"/>
      <c r="F19" s="673"/>
      <c r="G19" s="673"/>
      <c r="H19" s="673"/>
      <c r="I19" s="673"/>
      <c r="J19" s="673"/>
      <c r="K19" s="674"/>
    </row>
    <row r="20" spans="1:11" s="1" customFormat="1" ht="15" thickBot="1">
      <c r="A20" s="675" t="s">
        <v>480</v>
      </c>
      <c r="B20" s="676"/>
      <c r="C20" s="676"/>
      <c r="D20" s="677">
        <f>SUM(D10:D19)</f>
        <v>0</v>
      </c>
      <c r="E20" s="678"/>
      <c r="F20" s="678"/>
      <c r="G20" s="678"/>
      <c r="H20" s="678"/>
      <c r="I20" s="678"/>
      <c r="J20" s="677">
        <f>SUM(J10:J19)</f>
        <v>0</v>
      </c>
      <c r="K20" s="683">
        <f>SUM(K10:K19)</f>
        <v>0</v>
      </c>
    </row>
  </sheetData>
  <mergeCells count="17">
    <mergeCell ref="A1:J1"/>
    <mergeCell ref="C3:J3"/>
    <mergeCell ref="B4:H4"/>
    <mergeCell ref="C6:F6"/>
    <mergeCell ref="I2:K2"/>
    <mergeCell ref="B5:C5"/>
    <mergeCell ref="E5:F5"/>
    <mergeCell ref="J8:J9"/>
    <mergeCell ref="K8:K9"/>
    <mergeCell ref="A7:K7"/>
    <mergeCell ref="A8:C8"/>
    <mergeCell ref="D8:D9"/>
    <mergeCell ref="E8:E9"/>
    <mergeCell ref="F8:F9"/>
    <mergeCell ref="G8:G9"/>
    <mergeCell ref="H8:H9"/>
    <mergeCell ref="I8:I9"/>
  </mergeCell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K19"/>
  <sheetViews>
    <sheetView workbookViewId="0">
      <selection activeCell="J12" sqref="J12"/>
    </sheetView>
  </sheetViews>
  <sheetFormatPr baseColWidth="10" defaultRowHeight="14.5"/>
  <cols>
    <col min="1" max="1" width="12.1796875" customWidth="1"/>
    <col min="2" max="2" width="15.453125" customWidth="1"/>
    <col min="3" max="3" width="8.453125" customWidth="1"/>
    <col min="4" max="4" width="6.54296875" customWidth="1"/>
    <col min="5" max="5" width="9.453125" customWidth="1"/>
    <col min="6" max="6" width="5.1796875" customWidth="1"/>
    <col min="7" max="7" width="11.54296875" customWidth="1"/>
    <col min="8" max="8" width="17.453125" customWidth="1"/>
    <col min="9" max="9" width="14.453125" customWidth="1"/>
    <col min="10" max="10" width="11.81640625" customWidth="1"/>
    <col min="11" max="11" width="17.453125" customWidth="1"/>
  </cols>
  <sheetData>
    <row r="1" spans="1:11" ht="15" customHeight="1">
      <c r="A1" s="321"/>
      <c r="B1" s="40"/>
      <c r="C1" s="40"/>
      <c r="D1" s="40"/>
      <c r="E1" s="40"/>
      <c r="F1" s="40"/>
      <c r="I1" s="2236" t="s">
        <v>2088</v>
      </c>
      <c r="J1" s="2236"/>
      <c r="K1" s="2236"/>
    </row>
    <row r="2" spans="1:11">
      <c r="A2" s="7" t="s">
        <v>26</v>
      </c>
      <c r="C2" s="372">
        <f>'Liste ETATS SUPPL DGI'!C2</f>
        <v>0</v>
      </c>
      <c r="D2" s="372"/>
      <c r="E2" s="372"/>
      <c r="F2" s="372"/>
      <c r="G2" s="372"/>
      <c r="H2" s="372"/>
      <c r="I2" s="372"/>
      <c r="J2" s="132"/>
      <c r="K2" s="132"/>
    </row>
    <row r="3" spans="1:11">
      <c r="A3" s="7" t="s">
        <v>27</v>
      </c>
      <c r="C3" s="692">
        <f>'Liste ETATS SUPPL DGI'!B3</f>
        <v>0</v>
      </c>
      <c r="D3" s="692"/>
      <c r="E3" s="692"/>
      <c r="F3" s="692"/>
      <c r="G3" s="692"/>
      <c r="I3" s="374" t="s">
        <v>28</v>
      </c>
      <c r="J3" s="119">
        <f>'Liste ETATS SUPPL DGI'!I3</f>
        <v>0</v>
      </c>
      <c r="K3" s="132"/>
    </row>
    <row r="4" spans="1:11">
      <c r="A4" s="7" t="s">
        <v>2021</v>
      </c>
      <c r="C4" s="700">
        <f>'Liste ETATS SUPPL DGI'!C4</f>
        <v>0</v>
      </c>
      <c r="D4" s="692"/>
      <c r="E4" s="1224" t="s">
        <v>30</v>
      </c>
      <c r="F4" s="1224"/>
      <c r="G4" s="365">
        <f>'Liste ETATS SUPPL DGI'!F4</f>
        <v>0</v>
      </c>
      <c r="I4" s="374" t="s">
        <v>31</v>
      </c>
      <c r="J4" s="119">
        <f>'Liste ETATS SUPPL DGI'!I4</f>
        <v>0</v>
      </c>
      <c r="K4" s="132"/>
    </row>
    <row r="5" spans="1:11" ht="15" thickBot="1">
      <c r="A5" s="268" t="s">
        <v>2024</v>
      </c>
      <c r="C5" s="700">
        <f>'Liste ETATS SUPPL DGI'!C5</f>
        <v>0</v>
      </c>
      <c r="D5" s="700"/>
      <c r="E5" s="700"/>
      <c r="F5" s="43"/>
      <c r="G5" s="135"/>
      <c r="H5" s="61"/>
      <c r="I5" s="244"/>
      <c r="J5" s="132"/>
      <c r="K5" s="132"/>
    </row>
    <row r="6" spans="1:11" ht="15" thickBot="1">
      <c r="A6" s="1697" t="s">
        <v>2090</v>
      </c>
      <c r="B6" s="1698"/>
      <c r="C6" s="1698"/>
      <c r="D6" s="1698"/>
      <c r="E6" s="1698"/>
      <c r="F6" s="1698"/>
      <c r="G6" s="1698"/>
      <c r="H6" s="1698"/>
      <c r="I6" s="1698"/>
      <c r="J6" s="1698"/>
      <c r="K6" s="1699"/>
    </row>
    <row r="7" spans="1:11" ht="21" customHeight="1" thickBot="1">
      <c r="A7" s="689" t="s">
        <v>2102</v>
      </c>
      <c r="B7" s="2261" t="s">
        <v>2103</v>
      </c>
      <c r="C7" s="2262"/>
      <c r="D7" s="2263"/>
      <c r="E7" s="2264" t="s">
        <v>2104</v>
      </c>
      <c r="F7" s="2265"/>
      <c r="G7" s="2266" t="s">
        <v>2125</v>
      </c>
      <c r="H7" s="2267"/>
      <c r="I7" s="689" t="s">
        <v>2107</v>
      </c>
      <c r="J7" s="688" t="s">
        <v>2060</v>
      </c>
      <c r="K7" s="684" t="s">
        <v>2108</v>
      </c>
    </row>
    <row r="8" spans="1:11" ht="15" thickBot="1">
      <c r="A8" s="693"/>
      <c r="B8" s="2256"/>
      <c r="C8" s="2257"/>
      <c r="D8" s="2258"/>
      <c r="E8" s="2259"/>
      <c r="F8" s="2260"/>
      <c r="G8" s="2256"/>
      <c r="H8" s="2258"/>
      <c r="I8" s="701"/>
      <c r="J8" s="686"/>
      <c r="K8" s="687"/>
    </row>
    <row r="9" spans="1:11">
      <c r="A9" s="694"/>
      <c r="B9" s="2251"/>
      <c r="C9" s="2252"/>
      <c r="D9" s="2253"/>
      <c r="E9" s="2251"/>
      <c r="F9" s="2253"/>
      <c r="G9" s="2254"/>
      <c r="H9" s="2255"/>
      <c r="I9" s="702"/>
      <c r="J9" s="664"/>
      <c r="K9" s="681"/>
    </row>
    <row r="10" spans="1:11">
      <c r="A10" s="695"/>
      <c r="B10" s="2248"/>
      <c r="C10" s="2249"/>
      <c r="D10" s="2250"/>
      <c r="E10" s="2248"/>
      <c r="F10" s="2250"/>
      <c r="G10" s="2245"/>
      <c r="H10" s="2247"/>
      <c r="I10" s="690"/>
      <c r="J10" s="664"/>
      <c r="K10" s="682"/>
    </row>
    <row r="11" spans="1:11">
      <c r="A11" s="696"/>
      <c r="B11" s="2248"/>
      <c r="C11" s="2249"/>
      <c r="D11" s="2250"/>
      <c r="E11" s="2248"/>
      <c r="F11" s="2250"/>
      <c r="G11" s="2245"/>
      <c r="H11" s="2247"/>
      <c r="I11" s="690"/>
      <c r="J11" s="664"/>
      <c r="K11" s="682"/>
    </row>
    <row r="12" spans="1:11">
      <c r="A12" s="696"/>
      <c r="B12" s="2248"/>
      <c r="C12" s="2249"/>
      <c r="D12" s="2250"/>
      <c r="E12" s="2248"/>
      <c r="F12" s="2250"/>
      <c r="G12" s="2245"/>
      <c r="H12" s="2247"/>
      <c r="I12" s="690"/>
      <c r="J12" s="664"/>
      <c r="K12" s="682"/>
    </row>
    <row r="13" spans="1:11">
      <c r="A13" s="697"/>
      <c r="B13" s="2245"/>
      <c r="C13" s="2246"/>
      <c r="D13" s="2247"/>
      <c r="E13" s="2245"/>
      <c r="F13" s="2247"/>
      <c r="G13" s="2245"/>
      <c r="H13" s="2247"/>
      <c r="I13" s="690"/>
      <c r="J13" s="666"/>
      <c r="K13" s="669"/>
    </row>
    <row r="14" spans="1:11">
      <c r="A14" s="697"/>
      <c r="B14" s="2245"/>
      <c r="C14" s="2246"/>
      <c r="D14" s="2247"/>
      <c r="E14" s="2245"/>
      <c r="F14" s="2247"/>
      <c r="G14" s="2245"/>
      <c r="H14" s="2247"/>
      <c r="I14" s="690"/>
      <c r="J14" s="666"/>
      <c r="K14" s="669"/>
    </row>
    <row r="15" spans="1:11">
      <c r="A15" s="697"/>
      <c r="B15" s="2245"/>
      <c r="C15" s="2246"/>
      <c r="D15" s="2247"/>
      <c r="E15" s="2245"/>
      <c r="F15" s="2247"/>
      <c r="G15" s="2245"/>
      <c r="H15" s="2247"/>
      <c r="I15" s="690"/>
      <c r="J15" s="666"/>
      <c r="K15" s="669"/>
    </row>
    <row r="16" spans="1:11">
      <c r="A16" s="697"/>
      <c r="B16" s="2245"/>
      <c r="C16" s="2246"/>
      <c r="D16" s="2247"/>
      <c r="E16" s="2245"/>
      <c r="F16" s="2247"/>
      <c r="G16" s="2245"/>
      <c r="H16" s="2247"/>
      <c r="I16" s="690"/>
      <c r="J16" s="666"/>
      <c r="K16" s="669"/>
    </row>
    <row r="17" spans="1:11">
      <c r="A17" s="697"/>
      <c r="B17" s="2245"/>
      <c r="C17" s="2246"/>
      <c r="D17" s="2247"/>
      <c r="E17" s="2245"/>
      <c r="F17" s="2247"/>
      <c r="G17" s="2245"/>
      <c r="H17" s="2247"/>
      <c r="I17" s="690"/>
      <c r="J17" s="666"/>
      <c r="K17" s="669"/>
    </row>
    <row r="18" spans="1:11" ht="15" thickBot="1">
      <c r="A18" s="698"/>
      <c r="B18" s="2242"/>
      <c r="C18" s="2243"/>
      <c r="D18" s="2244"/>
      <c r="E18" s="2242"/>
      <c r="F18" s="2244"/>
      <c r="G18" s="2242"/>
      <c r="H18" s="2244"/>
      <c r="I18" s="691"/>
      <c r="J18" s="673"/>
      <c r="K18" s="674"/>
    </row>
    <row r="19" spans="1:11" ht="15" thickBot="1">
      <c r="A19" s="699" t="s">
        <v>480</v>
      </c>
      <c r="B19" s="2237">
        <f>SUM(C9:C18)</f>
        <v>0</v>
      </c>
      <c r="C19" s="2238"/>
      <c r="D19" s="2239"/>
      <c r="E19" s="2237"/>
      <c r="F19" s="2239"/>
      <c r="G19" s="2240"/>
      <c r="H19" s="2241"/>
      <c r="I19" s="703"/>
      <c r="J19" s="677">
        <f>SUM(J9:J18)</f>
        <v>0</v>
      </c>
      <c r="K19" s="677">
        <f>SUM(K9:K18)</f>
        <v>0</v>
      </c>
    </row>
  </sheetData>
  <mergeCells count="42">
    <mergeCell ref="E4:F4"/>
    <mergeCell ref="B8:D8"/>
    <mergeCell ref="E8:F8"/>
    <mergeCell ref="G8:H8"/>
    <mergeCell ref="A6:K6"/>
    <mergeCell ref="B7:D7"/>
    <mergeCell ref="E7:F7"/>
    <mergeCell ref="G7:H7"/>
    <mergeCell ref="B10:D10"/>
    <mergeCell ref="E10:F10"/>
    <mergeCell ref="G10:H10"/>
    <mergeCell ref="B9:D9"/>
    <mergeCell ref="E9:F9"/>
    <mergeCell ref="G9:H9"/>
    <mergeCell ref="B12:D12"/>
    <mergeCell ref="E12:F12"/>
    <mergeCell ref="G12:H12"/>
    <mergeCell ref="B11:D11"/>
    <mergeCell ref="E11:F11"/>
    <mergeCell ref="G11:H11"/>
    <mergeCell ref="B14:D14"/>
    <mergeCell ref="E14:F14"/>
    <mergeCell ref="G14:H14"/>
    <mergeCell ref="B13:D13"/>
    <mergeCell ref="E13:F13"/>
    <mergeCell ref="G13:H13"/>
    <mergeCell ref="I1:K1"/>
    <mergeCell ref="B19:D19"/>
    <mergeCell ref="E19:F19"/>
    <mergeCell ref="G19:H19"/>
    <mergeCell ref="B18:D18"/>
    <mergeCell ref="E18:F18"/>
    <mergeCell ref="G18:H18"/>
    <mergeCell ref="B17:D17"/>
    <mergeCell ref="E17:F17"/>
    <mergeCell ref="G17:H17"/>
    <mergeCell ref="B16:D16"/>
    <mergeCell ref="E16:F16"/>
    <mergeCell ref="G16:H16"/>
    <mergeCell ref="B15:D15"/>
    <mergeCell ref="E15:F15"/>
    <mergeCell ref="G15:H15"/>
  </mergeCells>
  <pageMargins left="0.7" right="0.7" top="0.75" bottom="0.75" header="0.3" footer="0.3"/>
  <pageSetup paperSize="9"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22"/>
  <sheetViews>
    <sheetView workbookViewId="0">
      <selection activeCell="K19" sqref="K19"/>
    </sheetView>
  </sheetViews>
  <sheetFormatPr baseColWidth="10" defaultRowHeight="14.5"/>
  <cols>
    <col min="1" max="1" width="15" customWidth="1"/>
    <col min="2" max="2" width="15.453125" customWidth="1"/>
    <col min="3" max="3" width="11" customWidth="1"/>
    <col min="4" max="4" width="12.54296875" customWidth="1"/>
    <col min="5" max="5" width="9.453125" customWidth="1"/>
    <col min="6" max="6" width="8.54296875" customWidth="1"/>
    <col min="7" max="7" width="13.54296875" customWidth="1"/>
    <col min="8" max="8" width="21.54296875" customWidth="1"/>
    <col min="9" max="9" width="17.453125" customWidth="1"/>
    <col min="10" max="10" width="11.81640625" customWidth="1"/>
    <col min="11" max="11" width="17.453125" customWidth="1"/>
  </cols>
  <sheetData>
    <row r="1" spans="1:9" ht="15" customHeight="1">
      <c r="A1" s="1084"/>
      <c r="B1" s="1084"/>
      <c r="C1" s="1085"/>
      <c r="D1" s="1085"/>
      <c r="E1" s="1085"/>
      <c r="F1" s="1085"/>
      <c r="G1" s="2268" t="s">
        <v>2089</v>
      </c>
      <c r="H1" s="2269"/>
      <c r="I1" s="1086"/>
    </row>
    <row r="2" spans="1:9" ht="15" customHeight="1">
      <c r="A2" s="1084"/>
      <c r="B2" s="1085"/>
      <c r="C2" s="1085"/>
      <c r="D2" s="1085"/>
      <c r="E2" s="1085"/>
      <c r="F2" s="1085"/>
      <c r="G2" s="660"/>
      <c r="H2" s="660"/>
      <c r="I2" s="660"/>
    </row>
    <row r="3" spans="1:9">
      <c r="A3" s="1087" t="s">
        <v>26</v>
      </c>
      <c r="B3" s="660"/>
      <c r="C3" s="2270">
        <f>'Liste ETATS SUPPL DGI'!C3</f>
        <v>0</v>
      </c>
      <c r="D3" s="2270"/>
      <c r="E3" s="2270"/>
      <c r="F3" s="2270"/>
      <c r="G3" s="2270"/>
      <c r="H3" s="2270"/>
      <c r="I3" s="2270"/>
    </row>
    <row r="4" spans="1:9">
      <c r="A4" s="1087" t="s">
        <v>27</v>
      </c>
      <c r="B4" s="660"/>
      <c r="C4" s="2271">
        <f>'Liste ETATS SUPPL DGI'!B4</f>
        <v>0</v>
      </c>
      <c r="D4" s="2271"/>
      <c r="E4" s="2271"/>
      <c r="F4" s="1088"/>
      <c r="G4" s="1088"/>
      <c r="H4" s="1089" t="s">
        <v>28</v>
      </c>
      <c r="I4" s="1090">
        <f>'Liste ETATS SUPPL DGI'!I4</f>
        <v>0</v>
      </c>
    </row>
    <row r="5" spans="1:9">
      <c r="A5" s="1087" t="s">
        <v>2021</v>
      </c>
      <c r="B5" s="660"/>
      <c r="C5" s="2271">
        <f>'Liste ETATS SUPPL DGI'!C5</f>
        <v>0</v>
      </c>
      <c r="D5" s="2271"/>
      <c r="E5" s="2277" t="s">
        <v>30</v>
      </c>
      <c r="F5" s="2277"/>
      <c r="G5" s="1091">
        <f>'Liste ETATS SUPPL DGI'!F5</f>
        <v>0</v>
      </c>
      <c r="H5" s="1089" t="s">
        <v>31</v>
      </c>
      <c r="I5" s="1090">
        <f>'Liste ETATS SUPPL DGI'!I5</f>
        <v>0</v>
      </c>
    </row>
    <row r="6" spans="1:9">
      <c r="A6" s="1092" t="s">
        <v>2024</v>
      </c>
      <c r="B6" s="660"/>
      <c r="C6" s="1093">
        <f>'Liste ETATS SUPPL DGI'!C6</f>
        <v>0</v>
      </c>
      <c r="D6" s="1093"/>
      <c r="E6" s="1093"/>
      <c r="F6" s="1094"/>
      <c r="G6" s="1095"/>
      <c r="H6" s="1096"/>
      <c r="I6" s="1097"/>
    </row>
    <row r="7" spans="1:9">
      <c r="A7" s="1092"/>
      <c r="B7" s="660"/>
      <c r="C7" s="1095"/>
      <c r="D7" s="1095"/>
      <c r="E7" s="1095"/>
      <c r="F7" s="1094"/>
      <c r="G7" s="1095"/>
      <c r="H7" s="1096"/>
      <c r="I7" s="1097"/>
    </row>
    <row r="8" spans="1:9">
      <c r="A8" s="2280" t="s">
        <v>2091</v>
      </c>
      <c r="B8" s="2280"/>
      <c r="C8" s="2280"/>
      <c r="D8" s="2280"/>
      <c r="E8" s="2280"/>
      <c r="F8" s="2280"/>
      <c r="G8" s="2280"/>
      <c r="H8" s="2280"/>
      <c r="I8" s="2280"/>
    </row>
    <row r="9" spans="1:9" ht="15" thickBot="1">
      <c r="A9" s="1096"/>
      <c r="B9" s="1096"/>
      <c r="C9" s="1096"/>
      <c r="D9" s="1096"/>
      <c r="E9" s="1096"/>
      <c r="F9" s="1096"/>
      <c r="G9" s="1096"/>
      <c r="H9" s="1096"/>
      <c r="I9" s="1096"/>
    </row>
    <row r="10" spans="1:9" ht="23.25" customHeight="1">
      <c r="A10" s="1098" t="s">
        <v>2102</v>
      </c>
      <c r="B10" s="2276" t="s">
        <v>2103</v>
      </c>
      <c r="C10" s="2276"/>
      <c r="D10" s="2276"/>
      <c r="E10" s="2276" t="s">
        <v>2104</v>
      </c>
      <c r="F10" s="2276"/>
      <c r="G10" s="2276" t="s">
        <v>2128</v>
      </c>
      <c r="H10" s="2276"/>
      <c r="I10" s="1099" t="s">
        <v>2127</v>
      </c>
    </row>
    <row r="11" spans="1:9">
      <c r="A11" s="1100"/>
      <c r="B11" s="2278"/>
      <c r="C11" s="2278"/>
      <c r="D11" s="2278"/>
      <c r="E11" s="2279"/>
      <c r="F11" s="2279"/>
      <c r="G11" s="2278"/>
      <c r="H11" s="2278"/>
      <c r="I11" s="1101"/>
    </row>
    <row r="12" spans="1:9">
      <c r="A12" s="1102"/>
      <c r="B12" s="2273"/>
      <c r="C12" s="2273"/>
      <c r="D12" s="2273"/>
      <c r="E12" s="2273"/>
      <c r="F12" s="2273"/>
      <c r="G12" s="2272"/>
      <c r="H12" s="2272"/>
      <c r="I12" s="1103"/>
    </row>
    <row r="13" spans="1:9">
      <c r="A13" s="1102"/>
      <c r="B13" s="2273"/>
      <c r="C13" s="2273"/>
      <c r="D13" s="2273"/>
      <c r="E13" s="2273"/>
      <c r="F13" s="2273"/>
      <c r="G13" s="2272"/>
      <c r="H13" s="2272"/>
      <c r="I13" s="1103"/>
    </row>
    <row r="14" spans="1:9">
      <c r="A14" s="1104"/>
      <c r="B14" s="2273"/>
      <c r="C14" s="2273"/>
      <c r="D14" s="2273"/>
      <c r="E14" s="2273"/>
      <c r="F14" s="2273"/>
      <c r="G14" s="2272"/>
      <c r="H14" s="2272"/>
      <c r="I14" s="1103"/>
    </row>
    <row r="15" spans="1:9">
      <c r="A15" s="1104"/>
      <c r="B15" s="2273"/>
      <c r="C15" s="2273"/>
      <c r="D15" s="2273"/>
      <c r="E15" s="2273"/>
      <c r="F15" s="2273"/>
      <c r="G15" s="2272"/>
      <c r="H15" s="2272"/>
      <c r="I15" s="1103"/>
    </row>
    <row r="16" spans="1:9">
      <c r="A16" s="1105"/>
      <c r="B16" s="2272"/>
      <c r="C16" s="2272"/>
      <c r="D16" s="2272"/>
      <c r="E16" s="2272"/>
      <c r="F16" s="2272"/>
      <c r="G16" s="2272"/>
      <c r="H16" s="2272"/>
      <c r="I16" s="1103"/>
    </row>
    <row r="17" spans="1:9">
      <c r="A17" s="1105"/>
      <c r="B17" s="2272"/>
      <c r="C17" s="2272"/>
      <c r="D17" s="2272"/>
      <c r="E17" s="2272"/>
      <c r="F17" s="2272"/>
      <c r="G17" s="2272"/>
      <c r="H17" s="2272"/>
      <c r="I17" s="1103"/>
    </row>
    <row r="18" spans="1:9">
      <c r="A18" s="1105"/>
      <c r="B18" s="2272"/>
      <c r="C18" s="2272"/>
      <c r="D18" s="2272"/>
      <c r="E18" s="2272"/>
      <c r="F18" s="2272"/>
      <c r="G18" s="2272"/>
      <c r="H18" s="2272"/>
      <c r="I18" s="1103"/>
    </row>
    <row r="19" spans="1:9">
      <c r="A19" s="1105"/>
      <c r="B19" s="2272"/>
      <c r="C19" s="2272"/>
      <c r="D19" s="2272"/>
      <c r="E19" s="2272"/>
      <c r="F19" s="2272"/>
      <c r="G19" s="2272"/>
      <c r="H19" s="2272"/>
      <c r="I19" s="1103"/>
    </row>
    <row r="20" spans="1:9">
      <c r="A20" s="1105"/>
      <c r="B20" s="2272"/>
      <c r="C20" s="2272"/>
      <c r="D20" s="2272"/>
      <c r="E20" s="2272"/>
      <c r="F20" s="2272"/>
      <c r="G20" s="2272"/>
      <c r="H20" s="2272"/>
      <c r="I20" s="1103"/>
    </row>
    <row r="21" spans="1:9">
      <c r="A21" s="1105"/>
      <c r="B21" s="2272"/>
      <c r="C21" s="2272"/>
      <c r="D21" s="2272"/>
      <c r="E21" s="2272"/>
      <c r="F21" s="2272"/>
      <c r="G21" s="2272"/>
      <c r="H21" s="2272"/>
      <c r="I21" s="1103"/>
    </row>
    <row r="22" spans="1:9" ht="15" thickBot="1">
      <c r="A22" s="1106" t="s">
        <v>480</v>
      </c>
      <c r="B22" s="2274"/>
      <c r="C22" s="2274"/>
      <c r="D22" s="2274"/>
      <c r="E22" s="2274"/>
      <c r="F22" s="2274"/>
      <c r="G22" s="2275"/>
      <c r="H22" s="2275"/>
      <c r="I22" s="1107"/>
    </row>
  </sheetData>
  <mergeCells count="45">
    <mergeCell ref="B10:D10"/>
    <mergeCell ref="E10:F10"/>
    <mergeCell ref="G10:H10"/>
    <mergeCell ref="E5:F5"/>
    <mergeCell ref="B11:D11"/>
    <mergeCell ref="E11:F11"/>
    <mergeCell ref="G11:H11"/>
    <mergeCell ref="A8:I8"/>
    <mergeCell ref="B12:D12"/>
    <mergeCell ref="E12:F12"/>
    <mergeCell ref="G12:H12"/>
    <mergeCell ref="B16:D16"/>
    <mergeCell ref="E16:F16"/>
    <mergeCell ref="G16:H16"/>
    <mergeCell ref="B13:D13"/>
    <mergeCell ref="E13:F13"/>
    <mergeCell ref="G13:H13"/>
    <mergeCell ref="B14:D14"/>
    <mergeCell ref="E14:F14"/>
    <mergeCell ref="G14:H14"/>
    <mergeCell ref="B22:D22"/>
    <mergeCell ref="E22:F22"/>
    <mergeCell ref="G22:H22"/>
    <mergeCell ref="B19:D19"/>
    <mergeCell ref="E19:F19"/>
    <mergeCell ref="G19:H19"/>
    <mergeCell ref="B20:D20"/>
    <mergeCell ref="E20:F20"/>
    <mergeCell ref="G20:H20"/>
    <mergeCell ref="G1:H1"/>
    <mergeCell ref="C3:I3"/>
    <mergeCell ref="C4:E4"/>
    <mergeCell ref="C5:D5"/>
    <mergeCell ref="B21:D21"/>
    <mergeCell ref="E21:F21"/>
    <mergeCell ref="G21:H21"/>
    <mergeCell ref="B17:D17"/>
    <mergeCell ref="E17:F17"/>
    <mergeCell ref="G17:H17"/>
    <mergeCell ref="B18:D18"/>
    <mergeCell ref="E18:F18"/>
    <mergeCell ref="G18:H18"/>
    <mergeCell ref="B15:D15"/>
    <mergeCell ref="E15:F15"/>
    <mergeCell ref="G15:H15"/>
  </mergeCells>
  <pageMargins left="0.7" right="0.7" top="0.75" bottom="0.75" header="0.3" footer="0.3"/>
  <pageSetup paperSize="9"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20"/>
  <sheetViews>
    <sheetView workbookViewId="0">
      <selection activeCell="M19" sqref="M19"/>
    </sheetView>
  </sheetViews>
  <sheetFormatPr baseColWidth="10" defaultRowHeight="14.5"/>
  <cols>
    <col min="1" max="1" width="16.453125" customWidth="1"/>
    <col min="2" max="2" width="13" customWidth="1"/>
    <col min="3" max="3" width="11.54296875" customWidth="1"/>
    <col min="4" max="4" width="9" customWidth="1"/>
    <col min="5" max="5" width="24.453125" customWidth="1"/>
    <col min="6" max="6" width="12.54296875" customWidth="1"/>
    <col min="7" max="7" width="7.453125" customWidth="1"/>
    <col min="8" max="8" width="14.54296875" customWidth="1"/>
    <col min="9" max="9" width="16.453125" customWidth="1"/>
    <col min="10" max="10" width="10.1796875" customWidth="1"/>
    <col min="11" max="11" width="10" customWidth="1"/>
  </cols>
  <sheetData>
    <row r="1" spans="1:9">
      <c r="A1" s="321"/>
      <c r="B1" s="40"/>
      <c r="C1" s="40"/>
      <c r="D1" s="40"/>
      <c r="E1" s="40"/>
      <c r="F1" s="2287" t="s">
        <v>2093</v>
      </c>
      <c r="G1" s="2288"/>
      <c r="H1" s="2289"/>
    </row>
    <row r="2" spans="1:9">
      <c r="A2" s="7" t="s">
        <v>26</v>
      </c>
      <c r="C2" s="1215">
        <f>'[1]Liste ETATS SUPPL DGI'!C2</f>
        <v>0</v>
      </c>
      <c r="D2" s="1215"/>
      <c r="E2" s="372"/>
      <c r="F2" s="372"/>
      <c r="G2" s="372"/>
      <c r="H2" s="372"/>
      <c r="I2" s="372"/>
    </row>
    <row r="3" spans="1:9">
      <c r="A3" s="7" t="s">
        <v>27</v>
      </c>
      <c r="C3" s="1214">
        <f>'[1]Liste ETATS SUPPL DGI'!B3</f>
        <v>0</v>
      </c>
      <c r="D3" s="1214"/>
      <c r="E3" s="692"/>
      <c r="F3" s="692"/>
      <c r="G3" s="692"/>
      <c r="H3" s="61" t="s">
        <v>28</v>
      </c>
      <c r="I3" s="119">
        <f>'[1]Liste ETATS SUPPL DGI'!I3</f>
        <v>0</v>
      </c>
    </row>
    <row r="4" spans="1:9">
      <c r="A4" s="7" t="s">
        <v>2021</v>
      </c>
      <c r="C4" s="1214">
        <f>'[1]Liste ETATS SUPPL DGI'!C4</f>
        <v>0</v>
      </c>
      <c r="D4" s="1214"/>
      <c r="E4" s="383" t="s">
        <v>30</v>
      </c>
      <c r="F4" s="365">
        <f>'[1]Liste ETATS SUPPL DGI'!F4</f>
        <v>0</v>
      </c>
      <c r="H4" s="61" t="s">
        <v>31</v>
      </c>
      <c r="I4" s="119">
        <f>'[1]Liste ETATS SUPPL DGI'!I4</f>
        <v>0</v>
      </c>
    </row>
    <row r="5" spans="1:9">
      <c r="A5" s="268" t="s">
        <v>2024</v>
      </c>
      <c r="C5" s="2290">
        <f>'[1]Liste ETATS SUPPL DGI'!C5</f>
        <v>0</v>
      </c>
      <c r="D5" s="2290"/>
      <c r="E5" s="700"/>
      <c r="F5" s="43"/>
      <c r="G5" s="135"/>
      <c r="H5" s="61"/>
      <c r="I5" s="244"/>
    </row>
    <row r="6" spans="1:9">
      <c r="A6" s="268"/>
      <c r="C6" s="2290"/>
      <c r="D6" s="2290"/>
      <c r="E6" s="135"/>
      <c r="F6" s="43"/>
      <c r="G6" s="135"/>
      <c r="H6" s="61"/>
      <c r="I6" s="244"/>
    </row>
    <row r="7" spans="1:9" ht="15" thickBot="1">
      <c r="A7" s="2291" t="s">
        <v>2092</v>
      </c>
      <c r="B7" s="2291"/>
      <c r="C7" s="2291"/>
      <c r="D7" s="2291"/>
      <c r="E7" s="2291"/>
      <c r="F7" s="2291"/>
      <c r="G7" s="2291"/>
      <c r="H7" s="2291"/>
      <c r="I7" s="2291"/>
    </row>
    <row r="8" spans="1:9" ht="21">
      <c r="A8" s="1108" t="s">
        <v>2140</v>
      </c>
      <c r="B8" s="2285" t="s">
        <v>2141</v>
      </c>
      <c r="C8" s="2285"/>
      <c r="D8" s="2285"/>
      <c r="E8" s="1109" t="s">
        <v>2142</v>
      </c>
      <c r="F8" s="2285" t="s">
        <v>2143</v>
      </c>
      <c r="G8" s="2285"/>
      <c r="H8" s="1109" t="s">
        <v>2144</v>
      </c>
      <c r="I8" s="1110" t="s">
        <v>2145</v>
      </c>
    </row>
    <row r="9" spans="1:9">
      <c r="A9" s="1111"/>
      <c r="B9" s="2286"/>
      <c r="C9" s="2286"/>
      <c r="D9" s="2286"/>
      <c r="E9" s="704"/>
      <c r="F9" s="2286"/>
      <c r="G9" s="2286"/>
      <c r="H9" s="704"/>
      <c r="I9" s="1112"/>
    </row>
    <row r="10" spans="1:9">
      <c r="A10" s="667"/>
      <c r="B10" s="2284"/>
      <c r="C10" s="2284"/>
      <c r="D10" s="2284"/>
      <c r="E10" s="666"/>
      <c r="F10" s="2281"/>
      <c r="G10" s="2281"/>
      <c r="H10" s="666"/>
      <c r="I10" s="682"/>
    </row>
    <row r="11" spans="1:9">
      <c r="A11" s="667"/>
      <c r="B11" s="2284"/>
      <c r="C11" s="2284"/>
      <c r="D11" s="2284"/>
      <c r="E11" s="666"/>
      <c r="F11" s="2281"/>
      <c r="G11" s="2281"/>
      <c r="H11" s="666"/>
      <c r="I11" s="682"/>
    </row>
    <row r="12" spans="1:9">
      <c r="A12" s="670"/>
      <c r="B12" s="2284"/>
      <c r="C12" s="2284"/>
      <c r="D12" s="2284"/>
      <c r="E12" s="666"/>
      <c r="F12" s="2281"/>
      <c r="G12" s="2281"/>
      <c r="H12" s="666"/>
      <c r="I12" s="682"/>
    </row>
    <row r="13" spans="1:9">
      <c r="A13" s="670"/>
      <c r="B13" s="2284"/>
      <c r="C13" s="2284"/>
      <c r="D13" s="2284"/>
      <c r="E13" s="666"/>
      <c r="F13" s="2281"/>
      <c r="G13" s="2281"/>
      <c r="H13" s="666"/>
      <c r="I13" s="682"/>
    </row>
    <row r="14" spans="1:9">
      <c r="A14" s="671"/>
      <c r="B14" s="2281"/>
      <c r="C14" s="2281"/>
      <c r="D14" s="2281"/>
      <c r="E14" s="666"/>
      <c r="F14" s="2281"/>
      <c r="G14" s="2281"/>
      <c r="H14" s="666"/>
      <c r="I14" s="669"/>
    </row>
    <row r="15" spans="1:9">
      <c r="A15" s="671"/>
      <c r="B15" s="2281"/>
      <c r="C15" s="2281"/>
      <c r="D15" s="2281"/>
      <c r="E15" s="666"/>
      <c r="F15" s="2281"/>
      <c r="G15" s="2281"/>
      <c r="H15" s="666"/>
      <c r="I15" s="669"/>
    </row>
    <row r="16" spans="1:9">
      <c r="A16" s="671"/>
      <c r="B16" s="2281"/>
      <c r="C16" s="2281"/>
      <c r="D16" s="2281"/>
      <c r="E16" s="666"/>
      <c r="F16" s="2281"/>
      <c r="G16" s="2281"/>
      <c r="H16" s="666"/>
      <c r="I16" s="669"/>
    </row>
    <row r="17" spans="1:9">
      <c r="A17" s="671"/>
      <c r="B17" s="2281"/>
      <c r="C17" s="2281"/>
      <c r="D17" s="2281"/>
      <c r="E17" s="666"/>
      <c r="F17" s="2281"/>
      <c r="G17" s="2281"/>
      <c r="H17" s="666"/>
      <c r="I17" s="669"/>
    </row>
    <row r="18" spans="1:9">
      <c r="A18" s="671"/>
      <c r="B18" s="2281"/>
      <c r="C18" s="2281"/>
      <c r="D18" s="2281"/>
      <c r="E18" s="666"/>
      <c r="F18" s="2281"/>
      <c r="G18" s="2281"/>
      <c r="H18" s="666"/>
      <c r="I18" s="669"/>
    </row>
    <row r="19" spans="1:9">
      <c r="A19" s="671"/>
      <c r="B19" s="2281"/>
      <c r="C19" s="2281"/>
      <c r="D19" s="2281"/>
      <c r="E19" s="666"/>
      <c r="F19" s="2281"/>
      <c r="G19" s="2281"/>
      <c r="H19" s="666"/>
      <c r="I19" s="669"/>
    </row>
    <row r="20" spans="1:9" ht="15" thickBot="1">
      <c r="A20" s="1113" t="s">
        <v>480</v>
      </c>
      <c r="B20" s="2282"/>
      <c r="C20" s="2282"/>
      <c r="D20" s="2282"/>
      <c r="E20" s="1115"/>
      <c r="F20" s="2283"/>
      <c r="G20" s="2283"/>
      <c r="H20" s="1115"/>
      <c r="I20" s="1116">
        <f>SUM(I10:I19)</f>
        <v>0</v>
      </c>
    </row>
  </sheetData>
  <mergeCells count="33">
    <mergeCell ref="B8:D8"/>
    <mergeCell ref="F8:G8"/>
    <mergeCell ref="B9:D9"/>
    <mergeCell ref="F9:G9"/>
    <mergeCell ref="F1:H1"/>
    <mergeCell ref="C2:D2"/>
    <mergeCell ref="C3:D3"/>
    <mergeCell ref="C4:D4"/>
    <mergeCell ref="C5:D5"/>
    <mergeCell ref="A7:I7"/>
    <mergeCell ref="C6:D6"/>
    <mergeCell ref="B10:D10"/>
    <mergeCell ref="F10:G10"/>
    <mergeCell ref="B11:D11"/>
    <mergeCell ref="F11:G11"/>
    <mergeCell ref="B12:D12"/>
    <mergeCell ref="F12:G12"/>
    <mergeCell ref="B13:D13"/>
    <mergeCell ref="F13:G13"/>
    <mergeCell ref="B14:D14"/>
    <mergeCell ref="F14:G14"/>
    <mergeCell ref="B15:D15"/>
    <mergeCell ref="F15:G15"/>
    <mergeCell ref="B19:D19"/>
    <mergeCell ref="F19:G19"/>
    <mergeCell ref="B20:D20"/>
    <mergeCell ref="F20:G20"/>
    <mergeCell ref="B16:D16"/>
    <mergeCell ref="F16:G16"/>
    <mergeCell ref="B17:D17"/>
    <mergeCell ref="F17:G17"/>
    <mergeCell ref="B18:D18"/>
    <mergeCell ref="F18:G18"/>
  </mergeCells>
  <pageMargins left="0.7" right="0.7" top="0.75" bottom="0.75" header="0.3" footer="0.3"/>
  <pageSetup paperSize="9" orientation="landscape" horizontalDpi="300" verticalDpi="3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K19"/>
  <sheetViews>
    <sheetView workbookViewId="0">
      <selection activeCell="F22" sqref="F22"/>
    </sheetView>
  </sheetViews>
  <sheetFormatPr baseColWidth="10" defaultRowHeight="14.5"/>
  <cols>
    <col min="1" max="1" width="9.1796875" customWidth="1"/>
    <col min="2" max="2" width="2.81640625" customWidth="1"/>
    <col min="3" max="3" width="10.54296875" customWidth="1"/>
    <col min="4" max="4" width="11.54296875" customWidth="1"/>
    <col min="5" max="5" width="10.81640625" customWidth="1"/>
    <col min="6" max="6" width="12.54296875" customWidth="1"/>
    <col min="7" max="7" width="17" customWidth="1"/>
    <col min="8" max="8" width="17.81640625" customWidth="1"/>
    <col min="9" max="9" width="13" customWidth="1"/>
    <col min="10" max="10" width="11.453125" customWidth="1"/>
    <col min="11" max="11" width="14" customWidth="1"/>
  </cols>
  <sheetData>
    <row r="1" spans="1:11">
      <c r="A1" s="321"/>
      <c r="B1" s="321"/>
      <c r="C1" s="40"/>
      <c r="D1" s="40"/>
      <c r="E1" s="40"/>
      <c r="F1" s="40"/>
      <c r="G1" s="40"/>
      <c r="I1" s="2302" t="s">
        <v>2094</v>
      </c>
      <c r="J1" s="2302"/>
      <c r="K1" s="2302"/>
    </row>
    <row r="2" spans="1:11">
      <c r="A2" s="7" t="s">
        <v>26</v>
      </c>
      <c r="B2" s="372"/>
      <c r="D2" s="372"/>
      <c r="E2" s="1221">
        <f>'[1]Liste ETATS SUPPL DGI'!C2</f>
        <v>0</v>
      </c>
      <c r="F2" s="1221"/>
      <c r="G2" s="1221"/>
      <c r="H2" s="1221"/>
      <c r="I2" s="1221"/>
      <c r="J2" s="1221"/>
      <c r="K2" s="132"/>
    </row>
    <row r="3" spans="1:11">
      <c r="A3" s="1385" t="s">
        <v>27</v>
      </c>
      <c r="B3" s="1385"/>
      <c r="C3" s="1385"/>
      <c r="D3" s="692"/>
      <c r="E3" s="1223">
        <f>'[1]Liste ETATS SUPPL DGI'!B3</f>
        <v>0</v>
      </c>
      <c r="F3" s="1223"/>
      <c r="G3" s="1223"/>
      <c r="H3" s="1223"/>
      <c r="I3" s="61" t="s">
        <v>28</v>
      </c>
      <c r="J3" s="119">
        <f>'[1]Liste ETATS SUPPL DGI'!I3</f>
        <v>0</v>
      </c>
      <c r="K3" s="132"/>
    </row>
    <row r="4" spans="1:11">
      <c r="A4" s="1385" t="s">
        <v>2021</v>
      </c>
      <c r="B4" s="1385"/>
      <c r="C4" s="1385"/>
      <c r="D4" s="692"/>
      <c r="E4" s="1223">
        <f>'[1]Liste ETATS SUPPL DGI'!C4</f>
        <v>0</v>
      </c>
      <c r="F4" s="1223"/>
      <c r="G4" s="383" t="s">
        <v>30</v>
      </c>
      <c r="H4" s="365">
        <f>'[1]Liste ETATS SUPPL DGI'!F4</f>
        <v>0</v>
      </c>
      <c r="I4" s="1385" t="s">
        <v>31</v>
      </c>
      <c r="J4" s="1385"/>
      <c r="K4" s="119">
        <f>'[1]Liste ETATS SUPPL DGI'!I4</f>
        <v>0</v>
      </c>
    </row>
    <row r="5" spans="1:11">
      <c r="A5" s="2300" t="s">
        <v>2024</v>
      </c>
      <c r="B5" s="2300"/>
      <c r="C5" s="2300"/>
      <c r="D5" s="700"/>
      <c r="E5" s="2301">
        <f>'[1]Liste ETATS SUPPL DGI'!C5</f>
        <v>0</v>
      </c>
      <c r="F5" s="2301"/>
      <c r="G5" s="43"/>
      <c r="H5" s="135"/>
      <c r="I5" s="61"/>
      <c r="J5" s="244"/>
      <c r="K5" s="132"/>
    </row>
    <row r="6" spans="1:11" ht="15" thickBot="1">
      <c r="A6" s="2291" t="s">
        <v>2146</v>
      </c>
      <c r="B6" s="2291"/>
      <c r="C6" s="2291"/>
      <c r="D6" s="2291"/>
      <c r="E6" s="2291"/>
      <c r="F6" s="2291"/>
      <c r="G6" s="2291"/>
      <c r="H6" s="2291"/>
      <c r="I6" s="2291"/>
      <c r="J6" s="2291"/>
      <c r="K6" s="2291"/>
    </row>
    <row r="7" spans="1:11" ht="20">
      <c r="A7" s="2297" t="s">
        <v>2147</v>
      </c>
      <c r="B7" s="2298"/>
      <c r="C7" s="2298" t="s">
        <v>2103</v>
      </c>
      <c r="D7" s="2298"/>
      <c r="E7" s="2298"/>
      <c r="F7" s="1117" t="s">
        <v>2104</v>
      </c>
      <c r="G7" s="1117" t="s">
        <v>2105</v>
      </c>
      <c r="H7" s="1117" t="s">
        <v>2106</v>
      </c>
      <c r="I7" s="1117" t="s">
        <v>2148</v>
      </c>
      <c r="J7" s="1117" t="s">
        <v>2060</v>
      </c>
      <c r="K7" s="1118" t="s">
        <v>2108</v>
      </c>
    </row>
    <row r="8" spans="1:11">
      <c r="A8" s="2299"/>
      <c r="B8" s="2286"/>
      <c r="C8" s="2286"/>
      <c r="D8" s="2286"/>
      <c r="E8" s="2286"/>
      <c r="F8" s="704"/>
      <c r="G8" s="704"/>
      <c r="H8" s="704"/>
      <c r="I8" s="704"/>
      <c r="J8" s="704"/>
      <c r="K8" s="1112"/>
    </row>
    <row r="9" spans="1:11">
      <c r="A9" s="2296"/>
      <c r="B9" s="2284"/>
      <c r="C9" s="2284"/>
      <c r="D9" s="2284"/>
      <c r="E9" s="2284"/>
      <c r="F9" s="666"/>
      <c r="G9" s="666"/>
      <c r="H9" s="666"/>
      <c r="I9" s="666"/>
      <c r="J9" s="668"/>
      <c r="K9" s="682"/>
    </row>
    <row r="10" spans="1:11">
      <c r="A10" s="2296"/>
      <c r="B10" s="2284"/>
      <c r="C10" s="2284"/>
      <c r="D10" s="2284"/>
      <c r="E10" s="2284"/>
      <c r="F10" s="666"/>
      <c r="G10" s="666"/>
      <c r="H10" s="666"/>
      <c r="I10" s="666"/>
      <c r="J10" s="668"/>
      <c r="K10" s="682"/>
    </row>
    <row r="11" spans="1:11">
      <c r="A11" s="2294"/>
      <c r="B11" s="2295"/>
      <c r="C11" s="2284"/>
      <c r="D11" s="2284"/>
      <c r="E11" s="2284"/>
      <c r="F11" s="666"/>
      <c r="G11" s="666"/>
      <c r="H11" s="666"/>
      <c r="I11" s="666"/>
      <c r="J11" s="668"/>
      <c r="K11" s="682"/>
    </row>
    <row r="12" spans="1:11">
      <c r="A12" s="2294"/>
      <c r="B12" s="2295"/>
      <c r="C12" s="2284"/>
      <c r="D12" s="2284"/>
      <c r="E12" s="2284"/>
      <c r="F12" s="666"/>
      <c r="G12" s="666"/>
      <c r="H12" s="666"/>
      <c r="I12" s="666"/>
      <c r="J12" s="668"/>
      <c r="K12" s="682"/>
    </row>
    <row r="13" spans="1:11">
      <c r="A13" s="2292"/>
      <c r="B13" s="2281"/>
      <c r="C13" s="2281"/>
      <c r="D13" s="2281"/>
      <c r="E13" s="2281"/>
      <c r="F13" s="666"/>
      <c r="G13" s="666"/>
      <c r="H13" s="666"/>
      <c r="I13" s="666"/>
      <c r="J13" s="666"/>
      <c r="K13" s="669"/>
    </row>
    <row r="14" spans="1:11">
      <c r="A14" s="2292"/>
      <c r="B14" s="2281"/>
      <c r="C14" s="2281"/>
      <c r="D14" s="2281"/>
      <c r="E14" s="2281"/>
      <c r="F14" s="666"/>
      <c r="G14" s="666"/>
      <c r="H14" s="666"/>
      <c r="I14" s="666"/>
      <c r="J14" s="666"/>
      <c r="K14" s="669"/>
    </row>
    <row r="15" spans="1:11">
      <c r="A15" s="2292"/>
      <c r="B15" s="2281"/>
      <c r="C15" s="2281"/>
      <c r="D15" s="2281"/>
      <c r="E15" s="2281"/>
      <c r="F15" s="666"/>
      <c r="G15" s="666"/>
      <c r="H15" s="666"/>
      <c r="I15" s="666"/>
      <c r="J15" s="666"/>
      <c r="K15" s="669"/>
    </row>
    <row r="16" spans="1:11">
      <c r="A16" s="2292"/>
      <c r="B16" s="2281"/>
      <c r="C16" s="2281"/>
      <c r="D16" s="2281"/>
      <c r="E16" s="2281"/>
      <c r="F16" s="666"/>
      <c r="G16" s="666"/>
      <c r="H16" s="666"/>
      <c r="I16" s="666"/>
      <c r="J16" s="666"/>
      <c r="K16" s="669"/>
    </row>
    <row r="17" spans="1:11">
      <c r="A17" s="2292"/>
      <c r="B17" s="2281"/>
      <c r="C17" s="2281"/>
      <c r="D17" s="2281"/>
      <c r="E17" s="2281"/>
      <c r="F17" s="666"/>
      <c r="G17" s="666"/>
      <c r="H17" s="666"/>
      <c r="I17" s="666"/>
      <c r="J17" s="666"/>
      <c r="K17" s="669"/>
    </row>
    <row r="18" spans="1:11">
      <c r="A18" s="2292"/>
      <c r="B18" s="2281"/>
      <c r="C18" s="2281"/>
      <c r="D18" s="2281"/>
      <c r="E18" s="2281"/>
      <c r="F18" s="666"/>
      <c r="G18" s="666"/>
      <c r="H18" s="666"/>
      <c r="I18" s="666"/>
      <c r="J18" s="666"/>
      <c r="K18" s="669"/>
    </row>
    <row r="19" spans="1:11" ht="15" thickBot="1">
      <c r="A19" s="2293" t="s">
        <v>480</v>
      </c>
      <c r="B19" s="2283"/>
      <c r="C19" s="2282"/>
      <c r="D19" s="2282"/>
      <c r="E19" s="2282"/>
      <c r="F19" s="1115"/>
      <c r="G19" s="1115"/>
      <c r="H19" s="1115"/>
      <c r="I19" s="1114">
        <f>SUM(I8:I18)</f>
        <v>0</v>
      </c>
      <c r="J19" s="1114">
        <f>SUM(J8:J18)</f>
        <v>0</v>
      </c>
      <c r="K19" s="1116">
        <f>SUM(K8:K18)</f>
        <v>0</v>
      </c>
    </row>
  </sheetData>
  <mergeCells count="36">
    <mergeCell ref="A5:C5"/>
    <mergeCell ref="E5:F5"/>
    <mergeCell ref="I1:K1"/>
    <mergeCell ref="E2:J2"/>
    <mergeCell ref="A3:C3"/>
    <mergeCell ref="E3:H3"/>
    <mergeCell ref="A4:C4"/>
    <mergeCell ref="E4:F4"/>
    <mergeCell ref="I4:J4"/>
    <mergeCell ref="A7:B7"/>
    <mergeCell ref="C7:E7"/>
    <mergeCell ref="A8:B8"/>
    <mergeCell ref="C8:E8"/>
    <mergeCell ref="A6:K6"/>
    <mergeCell ref="A9:B9"/>
    <mergeCell ref="C9:E9"/>
    <mergeCell ref="A10:B10"/>
    <mergeCell ref="C10:E10"/>
    <mergeCell ref="A11:B11"/>
    <mergeCell ref="C11:E11"/>
    <mergeCell ref="A12:B12"/>
    <mergeCell ref="C12:E12"/>
    <mergeCell ref="A13:B13"/>
    <mergeCell ref="C13:E13"/>
    <mergeCell ref="A14:B14"/>
    <mergeCell ref="C14:E14"/>
    <mergeCell ref="A18:B18"/>
    <mergeCell ref="C18:E18"/>
    <mergeCell ref="A19:B19"/>
    <mergeCell ref="C19:E19"/>
    <mergeCell ref="A15:B15"/>
    <mergeCell ref="C15:E15"/>
    <mergeCell ref="A16:B16"/>
    <mergeCell ref="C16:E16"/>
    <mergeCell ref="A17:B17"/>
    <mergeCell ref="C17:E17"/>
  </mergeCells>
  <pageMargins left="0.7" right="0.7" top="0.75" bottom="0.75" header="0.3" footer="0.3"/>
  <pageSetup paperSize="9" orientation="landscape" horizontalDpi="300" verticalDpi="3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21"/>
  <sheetViews>
    <sheetView workbookViewId="0">
      <selection activeCell="M13" sqref="M13"/>
    </sheetView>
  </sheetViews>
  <sheetFormatPr baseColWidth="10" defaultRowHeight="14.5"/>
  <cols>
    <col min="1" max="1" width="10.54296875" customWidth="1"/>
    <col min="2" max="2" width="14.81640625" customWidth="1"/>
    <col min="3" max="3" width="8.81640625" customWidth="1"/>
    <col min="4" max="4" width="7.54296875" customWidth="1"/>
    <col min="5" max="5" width="14.81640625" customWidth="1"/>
    <col min="6" max="6" width="9.81640625" customWidth="1"/>
    <col min="7" max="8" width="15.54296875" customWidth="1"/>
    <col min="9" max="9" width="12.54296875" customWidth="1"/>
    <col min="10" max="10" width="13.54296875" customWidth="1"/>
  </cols>
  <sheetData>
    <row r="1" spans="1:10">
      <c r="A1" s="1134" t="s">
        <v>183</v>
      </c>
      <c r="B1" s="1134"/>
      <c r="C1" s="1134"/>
      <c r="D1" s="1134"/>
      <c r="E1" s="1134"/>
      <c r="F1" s="1134"/>
      <c r="G1" s="1134"/>
      <c r="H1" s="1134"/>
      <c r="I1" s="1134"/>
    </row>
    <row r="2" spans="1:10">
      <c r="A2" s="321"/>
      <c r="B2" s="40"/>
      <c r="C2" s="40"/>
      <c r="D2" s="40"/>
      <c r="E2" s="40"/>
      <c r="F2" s="40"/>
      <c r="H2" s="2302" t="s">
        <v>2099</v>
      </c>
      <c r="I2" s="2302"/>
      <c r="J2" s="2302"/>
    </row>
    <row r="3" spans="1:10">
      <c r="A3" s="7" t="s">
        <v>26</v>
      </c>
      <c r="D3" s="1221">
        <f>'[1]Liste ETATS SUPPL DGI'!C3</f>
        <v>0</v>
      </c>
      <c r="E3" s="1221"/>
      <c r="F3" s="1221"/>
      <c r="G3" s="1221"/>
      <c r="H3" s="1221"/>
      <c r="I3" s="1221"/>
    </row>
    <row r="4" spans="1:10">
      <c r="A4" s="7" t="s">
        <v>27</v>
      </c>
      <c r="B4" s="692"/>
      <c r="C4" s="692">
        <f>'[1]Liste ETATS SUPPL DGI'!B4</f>
        <v>0</v>
      </c>
      <c r="D4" s="692"/>
      <c r="E4" s="692"/>
      <c r="F4" s="692"/>
      <c r="G4" s="61" t="s">
        <v>28</v>
      </c>
      <c r="H4" s="1560">
        <f>'[1]Liste ETATS SUPPL DGI'!I4</f>
        <v>0</v>
      </c>
      <c r="I4" s="1560"/>
      <c r="J4" s="1560"/>
    </row>
    <row r="5" spans="1:10">
      <c r="A5" s="7" t="s">
        <v>2021</v>
      </c>
      <c r="C5" s="692">
        <f>'[1]Liste ETATS SUPPL DGI'!C5</f>
        <v>0</v>
      </c>
      <c r="D5" s="692"/>
      <c r="E5" s="383" t="s">
        <v>30</v>
      </c>
      <c r="F5" s="1761">
        <f>'[1]Liste ETATS SUPPL DGI'!F5</f>
        <v>0</v>
      </c>
      <c r="G5" s="1761"/>
      <c r="H5" s="1385" t="s">
        <v>31</v>
      </c>
      <c r="I5" s="1385"/>
      <c r="J5" s="119">
        <f>'[1]Liste ETATS SUPPL DGI'!I5</f>
        <v>0</v>
      </c>
    </row>
    <row r="6" spans="1:10">
      <c r="A6" s="268" t="s">
        <v>2024</v>
      </c>
      <c r="C6" s="700">
        <f>'[1]Liste ETATS SUPPL DGI'!C6</f>
        <v>0</v>
      </c>
      <c r="D6" s="700"/>
      <c r="E6" s="700"/>
      <c r="F6" s="43"/>
      <c r="G6" s="135"/>
      <c r="H6" s="61"/>
      <c r="I6" s="244"/>
    </row>
    <row r="7" spans="1:10" ht="15" thickBot="1">
      <c r="A7" s="2291" t="s">
        <v>2098</v>
      </c>
      <c r="B7" s="2291"/>
      <c r="C7" s="2291"/>
      <c r="D7" s="2291"/>
      <c r="E7" s="2291"/>
      <c r="F7" s="2291"/>
      <c r="G7" s="2291"/>
      <c r="H7" s="2291"/>
      <c r="I7" s="2291"/>
      <c r="J7" s="1119"/>
    </row>
    <row r="8" spans="1:10" ht="31.5">
      <c r="A8" s="1108" t="s">
        <v>2102</v>
      </c>
      <c r="B8" s="2285" t="s">
        <v>2103</v>
      </c>
      <c r="C8" s="2285"/>
      <c r="D8" s="2285"/>
      <c r="E8" s="1109" t="s">
        <v>2104</v>
      </c>
      <c r="F8" s="1109" t="s">
        <v>2105</v>
      </c>
      <c r="G8" s="1109" t="s">
        <v>2106</v>
      </c>
      <c r="H8" s="1109" t="s">
        <v>2107</v>
      </c>
      <c r="I8" s="1109" t="s">
        <v>2060</v>
      </c>
      <c r="J8" s="1110" t="s">
        <v>2108</v>
      </c>
    </row>
    <row r="9" spans="1:10">
      <c r="A9" s="1120"/>
      <c r="B9" s="2303"/>
      <c r="C9" s="2303"/>
      <c r="D9" s="2303"/>
      <c r="E9" s="721"/>
      <c r="F9" s="722"/>
      <c r="G9" s="722"/>
      <c r="H9" s="685"/>
      <c r="I9" s="685"/>
      <c r="J9" s="1121"/>
    </row>
    <row r="10" spans="1:10">
      <c r="A10" s="1120"/>
      <c r="B10" s="2303"/>
      <c r="C10" s="2303"/>
      <c r="D10" s="2303"/>
      <c r="E10" s="721"/>
      <c r="F10" s="722"/>
      <c r="G10" s="722"/>
      <c r="H10" s="685"/>
      <c r="I10" s="685"/>
      <c r="J10" s="1121"/>
    </row>
    <row r="11" spans="1:10">
      <c r="A11" s="1120"/>
      <c r="B11" s="2303"/>
      <c r="C11" s="2303"/>
      <c r="D11" s="2303"/>
      <c r="E11" s="721"/>
      <c r="F11" s="722"/>
      <c r="G11" s="722"/>
      <c r="H11" s="685"/>
      <c r="I11" s="685"/>
      <c r="J11" s="1121"/>
    </row>
    <row r="12" spans="1:10">
      <c r="A12" s="1120"/>
      <c r="B12" s="2303"/>
      <c r="C12" s="2303"/>
      <c r="D12" s="2303"/>
      <c r="E12" s="721"/>
      <c r="F12" s="722"/>
      <c r="G12" s="722"/>
      <c r="H12" s="685"/>
      <c r="I12" s="685"/>
      <c r="J12" s="1121"/>
    </row>
    <row r="13" spans="1:10">
      <c r="A13" s="1120"/>
      <c r="B13" s="2303"/>
      <c r="C13" s="2303"/>
      <c r="D13" s="2303"/>
      <c r="E13" s="721"/>
      <c r="F13" s="722"/>
      <c r="G13" s="722"/>
      <c r="H13" s="685"/>
      <c r="I13" s="685"/>
      <c r="J13" s="1121"/>
    </row>
    <row r="14" spans="1:10">
      <c r="A14" s="1120"/>
      <c r="B14" s="2303"/>
      <c r="C14" s="2303"/>
      <c r="D14" s="2303"/>
      <c r="E14" s="721"/>
      <c r="F14" s="722"/>
      <c r="G14" s="722"/>
      <c r="H14" s="685"/>
      <c r="I14" s="685"/>
      <c r="J14" s="1121"/>
    </row>
    <row r="15" spans="1:10">
      <c r="A15" s="1120"/>
      <c r="B15" s="2303"/>
      <c r="C15" s="2303"/>
      <c r="D15" s="2303"/>
      <c r="E15" s="721"/>
      <c r="F15" s="722"/>
      <c r="G15" s="722"/>
      <c r="H15" s="685"/>
      <c r="I15" s="685"/>
      <c r="J15" s="1121"/>
    </row>
    <row r="16" spans="1:10">
      <c r="A16" s="1120"/>
      <c r="B16" s="2303"/>
      <c r="C16" s="2303"/>
      <c r="D16" s="2303"/>
      <c r="E16" s="721"/>
      <c r="F16" s="722"/>
      <c r="G16" s="722"/>
      <c r="H16" s="685"/>
      <c r="I16" s="685"/>
      <c r="J16" s="1121"/>
    </row>
    <row r="17" spans="1:10">
      <c r="A17" s="1120"/>
      <c r="B17" s="2303"/>
      <c r="C17" s="2303"/>
      <c r="D17" s="2303"/>
      <c r="E17" s="721"/>
      <c r="F17" s="722"/>
      <c r="G17" s="722"/>
      <c r="H17" s="685"/>
      <c r="I17" s="685"/>
      <c r="J17" s="1121"/>
    </row>
    <row r="18" spans="1:10">
      <c r="A18" s="1120"/>
      <c r="B18" s="2303"/>
      <c r="C18" s="2303"/>
      <c r="D18" s="2303"/>
      <c r="E18" s="721"/>
      <c r="F18" s="722"/>
      <c r="G18" s="722"/>
      <c r="H18" s="685"/>
      <c r="I18" s="685"/>
      <c r="J18" s="1121"/>
    </row>
    <row r="19" spans="1:10">
      <c r="A19" s="1120"/>
      <c r="B19" s="2303"/>
      <c r="C19" s="2303"/>
      <c r="D19" s="2303"/>
      <c r="E19" s="721"/>
      <c r="F19" s="722"/>
      <c r="G19" s="722"/>
      <c r="H19" s="685"/>
      <c r="I19" s="685"/>
      <c r="J19" s="1121"/>
    </row>
    <row r="20" spans="1:10">
      <c r="A20" s="1120"/>
      <c r="B20" s="2303"/>
      <c r="C20" s="2303"/>
      <c r="D20" s="2303"/>
      <c r="E20" s="721"/>
      <c r="F20" s="722"/>
      <c r="G20" s="722"/>
      <c r="H20" s="685"/>
      <c r="I20" s="685"/>
      <c r="J20" s="1121"/>
    </row>
    <row r="21" spans="1:10" ht="15" thickBot="1">
      <c r="A21" s="2304" t="s">
        <v>480</v>
      </c>
      <c r="B21" s="2305"/>
      <c r="C21" s="2305"/>
      <c r="D21" s="2305"/>
      <c r="E21" s="2305"/>
      <c r="F21" s="1122"/>
      <c r="G21" s="1122"/>
      <c r="H21" s="1123">
        <f>SUM(H9:H20)</f>
        <v>0</v>
      </c>
      <c r="I21" s="1123">
        <f t="shared" ref="I21:J21" si="0">SUM(I9:I20)</f>
        <v>0</v>
      </c>
      <c r="J21" s="1124">
        <f t="shared" si="0"/>
        <v>0</v>
      </c>
    </row>
  </sheetData>
  <mergeCells count="21">
    <mergeCell ref="A1:I1"/>
    <mergeCell ref="H2:J2"/>
    <mergeCell ref="D3:I3"/>
    <mergeCell ref="B16:D16"/>
    <mergeCell ref="B13:D13"/>
    <mergeCell ref="B14:D14"/>
    <mergeCell ref="B15:D15"/>
    <mergeCell ref="B12:D12"/>
    <mergeCell ref="B9:D9"/>
    <mergeCell ref="B10:D10"/>
    <mergeCell ref="B11:D11"/>
    <mergeCell ref="H4:J4"/>
    <mergeCell ref="F5:G5"/>
    <mergeCell ref="H5:I5"/>
    <mergeCell ref="A7:I7"/>
    <mergeCell ref="B8:D8"/>
    <mergeCell ref="B19:D19"/>
    <mergeCell ref="B20:D20"/>
    <mergeCell ref="A21:E21"/>
    <mergeCell ref="B17:D17"/>
    <mergeCell ref="B18:D18"/>
  </mergeCells>
  <pageMargins left="0.7" right="0.7" top="0.75" bottom="0.75" header="0.3" footer="0.3"/>
  <pageSetup paperSize="9" orientation="landscape" horizontalDpi="300" verticalDpi="3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31"/>
  <sheetViews>
    <sheetView topLeftCell="A8" workbookViewId="0">
      <selection activeCell="M16" sqref="M16"/>
    </sheetView>
  </sheetViews>
  <sheetFormatPr baseColWidth="10" defaultRowHeight="14.5"/>
  <cols>
    <col min="1" max="1" width="10.54296875" customWidth="1"/>
    <col min="2" max="2" width="14.81640625" customWidth="1"/>
    <col min="3" max="3" width="8.81640625" customWidth="1"/>
    <col min="4" max="4" width="7.54296875" customWidth="1"/>
    <col min="5" max="5" width="14.81640625" customWidth="1"/>
    <col min="6" max="6" width="9.81640625" customWidth="1"/>
    <col min="7" max="8" width="15.54296875" customWidth="1"/>
    <col min="9" max="9" width="12.54296875" customWidth="1"/>
    <col min="10" max="10" width="13.54296875" customWidth="1"/>
  </cols>
  <sheetData>
    <row r="1" spans="1:10">
      <c r="A1" s="1134" t="s">
        <v>183</v>
      </c>
      <c r="B1" s="1134"/>
      <c r="C1" s="1134"/>
      <c r="D1" s="1134"/>
      <c r="E1" s="1134"/>
      <c r="F1" s="1134"/>
      <c r="G1" s="1134"/>
      <c r="H1" s="1134"/>
      <c r="I1" s="1134"/>
    </row>
    <row r="2" spans="1:10" ht="15" customHeight="1">
      <c r="A2" s="321"/>
      <c r="B2" s="40"/>
      <c r="C2" s="40"/>
      <c r="D2" s="40"/>
      <c r="E2" s="40"/>
      <c r="F2" s="40"/>
      <c r="H2" s="2302" t="s">
        <v>2101</v>
      </c>
      <c r="I2" s="2302"/>
      <c r="J2" s="2302"/>
    </row>
    <row r="3" spans="1:10">
      <c r="A3" s="7" t="s">
        <v>26</v>
      </c>
      <c r="D3" s="1221">
        <f>'[1]Liste ETATS SUPPL DGI'!C3</f>
        <v>0</v>
      </c>
      <c r="E3" s="1221"/>
      <c r="F3" s="1221"/>
      <c r="G3" s="1221"/>
      <c r="H3" s="1221"/>
      <c r="I3" s="1221"/>
    </row>
    <row r="4" spans="1:10">
      <c r="A4" s="7" t="s">
        <v>27</v>
      </c>
      <c r="B4" s="692"/>
      <c r="C4" s="692">
        <f>'[1]Liste ETATS SUPPL DGI'!B4</f>
        <v>0</v>
      </c>
      <c r="D4" s="692"/>
      <c r="E4" s="692"/>
      <c r="F4" s="692"/>
      <c r="G4" s="61" t="s">
        <v>28</v>
      </c>
      <c r="H4" s="1560">
        <f>'[1]Liste ETATS SUPPL DGI'!I4</f>
        <v>0</v>
      </c>
      <c r="I4" s="1560"/>
      <c r="J4" s="1560"/>
    </row>
    <row r="5" spans="1:10">
      <c r="A5" s="7" t="s">
        <v>2021</v>
      </c>
      <c r="C5" s="692">
        <f>'[1]Liste ETATS SUPPL DGI'!C5</f>
        <v>0</v>
      </c>
      <c r="D5" s="692"/>
      <c r="E5" s="383" t="s">
        <v>30</v>
      </c>
      <c r="F5" s="1761">
        <f>'[1]Liste ETATS SUPPL DGI'!F5</f>
        <v>0</v>
      </c>
      <c r="G5" s="1761"/>
      <c r="H5" s="1385" t="s">
        <v>31</v>
      </c>
      <c r="I5" s="1385"/>
      <c r="J5" s="119">
        <f>'[1]Liste ETATS SUPPL DGI'!I5</f>
        <v>0</v>
      </c>
    </row>
    <row r="6" spans="1:10">
      <c r="A6" s="268" t="s">
        <v>2024</v>
      </c>
      <c r="C6" s="700">
        <f>'[1]Liste ETATS SUPPL DGI'!C6</f>
        <v>0</v>
      </c>
      <c r="D6" s="700"/>
      <c r="E6" s="700"/>
      <c r="F6" s="43"/>
      <c r="G6" s="135"/>
      <c r="H6" s="61"/>
      <c r="I6" s="244"/>
    </row>
    <row r="7" spans="1:10" ht="16" thickBot="1">
      <c r="A7" s="2306" t="s">
        <v>2100</v>
      </c>
      <c r="B7" s="2306"/>
      <c r="C7" s="2306"/>
      <c r="D7" s="2306"/>
      <c r="E7" s="2306"/>
      <c r="F7" s="2306"/>
      <c r="G7" s="2306"/>
      <c r="H7" s="2306"/>
      <c r="I7" s="2306"/>
      <c r="J7" s="2306"/>
    </row>
    <row r="8" spans="1:10" ht="31.5">
      <c r="A8" s="1108" t="s">
        <v>2102</v>
      </c>
      <c r="B8" s="2285" t="s">
        <v>2103</v>
      </c>
      <c r="C8" s="2285"/>
      <c r="D8" s="2285"/>
      <c r="E8" s="1109" t="s">
        <v>2104</v>
      </c>
      <c r="F8" s="1109" t="s">
        <v>2105</v>
      </c>
      <c r="G8" s="1109" t="s">
        <v>2106</v>
      </c>
      <c r="H8" s="1109" t="s">
        <v>2107</v>
      </c>
      <c r="I8" s="1109" t="s">
        <v>2060</v>
      </c>
      <c r="J8" s="1110" t="s">
        <v>2108</v>
      </c>
    </row>
    <row r="9" spans="1:10">
      <c r="A9" s="1120"/>
      <c r="B9" s="2303"/>
      <c r="C9" s="2303"/>
      <c r="D9" s="2303"/>
      <c r="E9" s="721"/>
      <c r="F9" s="722"/>
      <c r="G9" s="722"/>
      <c r="H9" s="685"/>
      <c r="I9" s="685"/>
      <c r="J9" s="1121"/>
    </row>
    <row r="10" spans="1:10">
      <c r="A10" s="1120"/>
      <c r="B10" s="2303"/>
      <c r="C10" s="2303"/>
      <c r="D10" s="2303"/>
      <c r="E10" s="721"/>
      <c r="F10" s="722"/>
      <c r="G10" s="722"/>
      <c r="H10" s="685"/>
      <c r="I10" s="685"/>
      <c r="J10" s="1121"/>
    </row>
    <row r="11" spans="1:10">
      <c r="A11" s="1120"/>
      <c r="B11" s="2303"/>
      <c r="C11" s="2303"/>
      <c r="D11" s="2303"/>
      <c r="E11" s="721"/>
      <c r="F11" s="722"/>
      <c r="G11" s="722"/>
      <c r="H11" s="685"/>
      <c r="I11" s="685"/>
      <c r="J11" s="1121"/>
    </row>
    <row r="12" spans="1:10">
      <c r="A12" s="1120"/>
      <c r="B12" s="2303"/>
      <c r="C12" s="2303"/>
      <c r="D12" s="2303"/>
      <c r="E12" s="721"/>
      <c r="F12" s="722"/>
      <c r="G12" s="722"/>
      <c r="H12" s="685"/>
      <c r="I12" s="685"/>
      <c r="J12" s="1121"/>
    </row>
    <row r="13" spans="1:10">
      <c r="A13" s="1120"/>
      <c r="B13" s="2303"/>
      <c r="C13" s="2303"/>
      <c r="D13" s="2303"/>
      <c r="E13" s="721"/>
      <c r="F13" s="722"/>
      <c r="G13" s="722"/>
      <c r="H13" s="685"/>
      <c r="I13" s="685"/>
      <c r="J13" s="1121"/>
    </row>
    <row r="14" spans="1:10">
      <c r="A14" s="1120"/>
      <c r="B14" s="2303"/>
      <c r="C14" s="2303"/>
      <c r="D14" s="2303"/>
      <c r="E14" s="721"/>
      <c r="F14" s="722"/>
      <c r="G14" s="722"/>
      <c r="H14" s="685"/>
      <c r="I14" s="685"/>
      <c r="J14" s="1121"/>
    </row>
    <row r="15" spans="1:10">
      <c r="A15" s="1120"/>
      <c r="B15" s="2303"/>
      <c r="C15" s="2303"/>
      <c r="D15" s="2303"/>
      <c r="E15" s="721"/>
      <c r="F15" s="722"/>
      <c r="G15" s="722"/>
      <c r="H15" s="685"/>
      <c r="I15" s="685"/>
      <c r="J15" s="1121"/>
    </row>
    <row r="16" spans="1:10">
      <c r="A16" s="1120"/>
      <c r="B16" s="2303"/>
      <c r="C16" s="2303"/>
      <c r="D16" s="2303"/>
      <c r="E16" s="721"/>
      <c r="F16" s="722"/>
      <c r="G16" s="722"/>
      <c r="H16" s="685"/>
      <c r="I16" s="685"/>
      <c r="J16" s="1121"/>
    </row>
    <row r="17" spans="1:10">
      <c r="A17" s="1120"/>
      <c r="B17" s="2303"/>
      <c r="C17" s="2303"/>
      <c r="D17" s="2303"/>
      <c r="E17" s="721"/>
      <c r="F17" s="722"/>
      <c r="G17" s="722"/>
      <c r="H17" s="685"/>
      <c r="I17" s="685"/>
      <c r="J17" s="1121"/>
    </row>
    <row r="18" spans="1:10">
      <c r="A18" s="1120"/>
      <c r="B18" s="2303"/>
      <c r="C18" s="2303"/>
      <c r="D18" s="2303"/>
      <c r="E18" s="721"/>
      <c r="F18" s="722"/>
      <c r="G18" s="722"/>
      <c r="H18" s="685"/>
      <c r="I18" s="685"/>
      <c r="J18" s="1121"/>
    </row>
    <row r="19" spans="1:10">
      <c r="A19" s="1120"/>
      <c r="B19" s="2303"/>
      <c r="C19" s="2303"/>
      <c r="D19" s="2303"/>
      <c r="E19" s="721"/>
      <c r="F19" s="722"/>
      <c r="G19" s="722"/>
      <c r="H19" s="685"/>
      <c r="I19" s="685"/>
      <c r="J19" s="1121"/>
    </row>
    <row r="20" spans="1:10">
      <c r="A20" s="1120"/>
      <c r="B20" s="2303"/>
      <c r="C20" s="2303"/>
      <c r="D20" s="2303"/>
      <c r="E20" s="721"/>
      <c r="F20" s="722"/>
      <c r="G20" s="722"/>
      <c r="H20" s="685"/>
      <c r="I20" s="685"/>
      <c r="J20" s="1121"/>
    </row>
    <row r="21" spans="1:10">
      <c r="A21" s="1120"/>
      <c r="B21" s="2303"/>
      <c r="C21" s="2303"/>
      <c r="D21" s="2303"/>
      <c r="E21" s="721"/>
      <c r="F21" s="722"/>
      <c r="G21" s="722"/>
      <c r="H21" s="685"/>
      <c r="I21" s="685"/>
      <c r="J21" s="1121"/>
    </row>
    <row r="22" spans="1:10">
      <c r="A22" s="1120"/>
      <c r="B22" s="2303"/>
      <c r="C22" s="2303"/>
      <c r="D22" s="2303"/>
      <c r="E22" s="721"/>
      <c r="F22" s="722"/>
      <c r="G22" s="722"/>
      <c r="H22" s="685"/>
      <c r="I22" s="685"/>
      <c r="J22" s="1121"/>
    </row>
    <row r="23" spans="1:10">
      <c r="A23" s="1120"/>
      <c r="B23" s="2303"/>
      <c r="C23" s="2303"/>
      <c r="D23" s="2303"/>
      <c r="E23" s="721"/>
      <c r="F23" s="722"/>
      <c r="G23" s="722"/>
      <c r="H23" s="685"/>
      <c r="I23" s="685"/>
      <c r="J23" s="1121"/>
    </row>
    <row r="24" spans="1:10">
      <c r="A24" s="1120"/>
      <c r="B24" s="2303"/>
      <c r="C24" s="2303"/>
      <c r="D24" s="2303"/>
      <c r="E24" s="721"/>
      <c r="F24" s="722"/>
      <c r="G24" s="722"/>
      <c r="H24" s="685"/>
      <c r="I24" s="685"/>
      <c r="J24" s="1121"/>
    </row>
    <row r="25" spans="1:10">
      <c r="A25" s="1120"/>
      <c r="B25" s="2303"/>
      <c r="C25" s="2303"/>
      <c r="D25" s="2303"/>
      <c r="E25" s="721"/>
      <c r="F25" s="722"/>
      <c r="G25" s="722"/>
      <c r="H25" s="685"/>
      <c r="I25" s="685"/>
      <c r="J25" s="1121"/>
    </row>
    <row r="26" spans="1:10">
      <c r="A26" s="1120"/>
      <c r="B26" s="2303"/>
      <c r="C26" s="2303"/>
      <c r="D26" s="2303"/>
      <c r="E26" s="721"/>
      <c r="F26" s="722"/>
      <c r="G26" s="722"/>
      <c r="H26" s="685"/>
      <c r="I26" s="685"/>
      <c r="J26" s="1121"/>
    </row>
    <row r="27" spans="1:10">
      <c r="A27" s="1120"/>
      <c r="B27" s="2303"/>
      <c r="C27" s="2303"/>
      <c r="D27" s="2303"/>
      <c r="E27" s="721"/>
      <c r="F27" s="722"/>
      <c r="G27" s="722"/>
      <c r="H27" s="685"/>
      <c r="I27" s="685"/>
      <c r="J27" s="1121"/>
    </row>
    <row r="28" spans="1:10">
      <c r="A28" s="1120"/>
      <c r="B28" s="2303"/>
      <c r="C28" s="2303"/>
      <c r="D28" s="2303"/>
      <c r="E28" s="721"/>
      <c r="F28" s="722"/>
      <c r="G28" s="722"/>
      <c r="H28" s="685"/>
      <c r="I28" s="685"/>
      <c r="J28" s="1121"/>
    </row>
    <row r="29" spans="1:10">
      <c r="A29" s="1120"/>
      <c r="B29" s="2303"/>
      <c r="C29" s="2303"/>
      <c r="D29" s="2303"/>
      <c r="E29" s="721"/>
      <c r="F29" s="722"/>
      <c r="G29" s="722"/>
      <c r="H29" s="685"/>
      <c r="I29" s="685"/>
      <c r="J29" s="1121"/>
    </row>
    <row r="30" spans="1:10">
      <c r="A30" s="1120"/>
      <c r="B30" s="2303"/>
      <c r="C30" s="2303"/>
      <c r="D30" s="2303"/>
      <c r="E30" s="721"/>
      <c r="F30" s="722"/>
      <c r="G30" s="722"/>
      <c r="H30" s="685"/>
      <c r="I30" s="685"/>
      <c r="J30" s="1121"/>
    </row>
    <row r="31" spans="1:10" ht="15" thickBot="1">
      <c r="A31" s="2304" t="s">
        <v>480</v>
      </c>
      <c r="B31" s="2305"/>
      <c r="C31" s="2305"/>
      <c r="D31" s="2305"/>
      <c r="E31" s="2305"/>
      <c r="F31" s="1122"/>
      <c r="G31" s="1122"/>
      <c r="H31" s="1123">
        <f>SUM(H9:H30)</f>
        <v>0</v>
      </c>
      <c r="I31" s="1123">
        <f t="shared" ref="I31:J31" si="0">SUM(I9:I30)</f>
        <v>0</v>
      </c>
      <c r="J31" s="1124">
        <f t="shared" si="0"/>
        <v>0</v>
      </c>
    </row>
  </sheetData>
  <mergeCells count="31">
    <mergeCell ref="A1:I1"/>
    <mergeCell ref="H2:J2"/>
    <mergeCell ref="D3:I3"/>
    <mergeCell ref="B17:D17"/>
    <mergeCell ref="B18:D18"/>
    <mergeCell ref="H4:J4"/>
    <mergeCell ref="F5:G5"/>
    <mergeCell ref="H5:I5"/>
    <mergeCell ref="B8:D8"/>
    <mergeCell ref="B9:D9"/>
    <mergeCell ref="A7:J7"/>
    <mergeCell ref="B10:D10"/>
    <mergeCell ref="B11:D11"/>
    <mergeCell ref="B12:D12"/>
    <mergeCell ref="B13:D13"/>
    <mergeCell ref="B14:D14"/>
    <mergeCell ref="B19:D19"/>
    <mergeCell ref="B15:D15"/>
    <mergeCell ref="B16:D16"/>
    <mergeCell ref="B23:D23"/>
    <mergeCell ref="B24:D24"/>
    <mergeCell ref="B25:D25"/>
    <mergeCell ref="B20:D20"/>
    <mergeCell ref="B21:D21"/>
    <mergeCell ref="B22:D22"/>
    <mergeCell ref="B29:D29"/>
    <mergeCell ref="B30:D30"/>
    <mergeCell ref="A31:E31"/>
    <mergeCell ref="B26:D26"/>
    <mergeCell ref="B27:D27"/>
    <mergeCell ref="B28:D28"/>
  </mergeCells>
  <pageMargins left="0.7" right="0.7" top="0.75" bottom="0.75" header="0.3" footer="0.3"/>
  <pageSetup paperSize="9" orientation="landscape"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H39"/>
  <sheetViews>
    <sheetView showGridLines="0" zoomScaleNormal="100" workbookViewId="0">
      <selection activeCell="A8" sqref="A8:H37"/>
    </sheetView>
  </sheetViews>
  <sheetFormatPr baseColWidth="10" defaultColWidth="11.453125" defaultRowHeight="14.5"/>
  <cols>
    <col min="1" max="1" width="9.54296875" customWidth="1"/>
    <col min="2" max="2" width="13.453125" customWidth="1"/>
    <col min="3" max="3" width="12.1796875" customWidth="1"/>
    <col min="4" max="4" width="7.54296875" customWidth="1"/>
    <col min="5" max="5" width="14.81640625" customWidth="1"/>
    <col min="6" max="6" width="11.81640625" customWidth="1"/>
    <col min="7" max="7" width="14.453125" customWidth="1"/>
    <col min="8" max="8" width="19.453125" customWidth="1"/>
  </cols>
  <sheetData>
    <row r="1" spans="1:8">
      <c r="A1" s="1134" t="s">
        <v>183</v>
      </c>
      <c r="B1" s="1134"/>
      <c r="C1" s="1134"/>
      <c r="D1" s="1134"/>
      <c r="E1" s="1134"/>
      <c r="F1" s="1134"/>
      <c r="G1" s="1134"/>
      <c r="H1" s="1134"/>
    </row>
    <row r="2" spans="1:8" ht="25" customHeight="1">
      <c r="A2" s="40"/>
      <c r="B2" s="40"/>
      <c r="C2" s="40"/>
      <c r="D2" s="40"/>
      <c r="E2" s="40"/>
      <c r="F2" s="40"/>
      <c r="G2" s="2328" t="s">
        <v>2339</v>
      </c>
      <c r="H2" s="2329"/>
    </row>
    <row r="3" spans="1:8">
      <c r="A3" s="7" t="s">
        <v>26</v>
      </c>
      <c r="B3" s="7"/>
      <c r="C3" s="1221">
        <f>'NOTE 31'!C3</f>
        <v>0</v>
      </c>
      <c r="D3" s="1221"/>
      <c r="E3" s="1221"/>
      <c r="F3" s="1221"/>
      <c r="G3" s="1221"/>
      <c r="H3" s="1221"/>
    </row>
    <row r="4" spans="1:8">
      <c r="A4" s="7" t="s">
        <v>27</v>
      </c>
      <c r="B4" s="1158">
        <f>'NOTE 31'!B4</f>
        <v>0</v>
      </c>
      <c r="C4" s="1158"/>
      <c r="D4" s="1158"/>
      <c r="E4" s="1158"/>
      <c r="F4" s="1158"/>
      <c r="G4" s="61" t="s">
        <v>28</v>
      </c>
      <c r="H4" s="365">
        <f>'NOTE 31'!K4</f>
        <v>0</v>
      </c>
    </row>
    <row r="5" spans="1:8">
      <c r="A5" s="7" t="s">
        <v>2021</v>
      </c>
      <c r="B5" s="7"/>
      <c r="C5" s="1221">
        <f>'NOTE 31'!C5</f>
        <v>0</v>
      </c>
      <c r="D5" s="1221"/>
      <c r="E5" s="43" t="s">
        <v>30</v>
      </c>
      <c r="F5" s="119">
        <f>'NOTE 31'!H5</f>
        <v>0</v>
      </c>
      <c r="G5" s="61" t="s">
        <v>31</v>
      </c>
      <c r="H5" s="44">
        <f>'NOTE 31'!K5</f>
        <v>0</v>
      </c>
    </row>
    <row r="6" spans="1:8">
      <c r="A6" s="268" t="s">
        <v>2024</v>
      </c>
      <c r="B6" s="7"/>
      <c r="C6" s="1461">
        <f>'NOTE 31'!C6</f>
        <v>0</v>
      </c>
      <c r="D6" s="1461"/>
      <c r="E6" s="262"/>
      <c r="F6" s="44"/>
      <c r="G6" s="263"/>
      <c r="H6" s="44"/>
    </row>
    <row r="7" spans="1:8" ht="35.15" customHeight="1" thickBot="1">
      <c r="A7" s="2327" t="s">
        <v>2113</v>
      </c>
      <c r="B7" s="2327"/>
      <c r="C7" s="2327"/>
      <c r="D7" s="2327"/>
      <c r="E7" s="2327"/>
      <c r="F7" s="2327"/>
      <c r="G7" s="2327"/>
      <c r="H7" s="2327"/>
    </row>
    <row r="8" spans="1:8" s="7" customFormat="1" ht="21" customHeight="1">
      <c r="A8" s="2324" t="s">
        <v>525</v>
      </c>
      <c r="B8" s="2325"/>
      <c r="C8" s="2325"/>
      <c r="D8" s="2325"/>
      <c r="E8" s="2325"/>
      <c r="F8" s="2325"/>
      <c r="G8" s="2326"/>
      <c r="H8" s="1125" t="s">
        <v>1902</v>
      </c>
    </row>
    <row r="9" spans="1:8" s="7" customFormat="1" ht="17.149999999999999" customHeight="1">
      <c r="A9" s="2318" t="s">
        <v>1903</v>
      </c>
      <c r="B9" s="2319"/>
      <c r="C9" s="2319"/>
      <c r="D9" s="2319"/>
      <c r="E9" s="2319"/>
      <c r="F9" s="2319"/>
      <c r="G9" s="2320"/>
      <c r="H9" s="1126"/>
    </row>
    <row r="10" spans="1:8" s="7" customFormat="1" ht="17.149999999999999" customHeight="1">
      <c r="A10" s="2312"/>
      <c r="B10" s="2313"/>
      <c r="C10" s="2313"/>
      <c r="D10" s="2313"/>
      <c r="E10" s="2313"/>
      <c r="F10" s="2313"/>
      <c r="G10" s="2314"/>
      <c r="H10" s="1127"/>
    </row>
    <row r="11" spans="1:8" s="7" customFormat="1" ht="17.149999999999999" customHeight="1">
      <c r="A11" s="2318" t="s">
        <v>2114</v>
      </c>
      <c r="B11" s="2319"/>
      <c r="C11" s="2319"/>
      <c r="D11" s="2319"/>
      <c r="E11" s="2319"/>
      <c r="F11" s="2319"/>
      <c r="G11" s="2320"/>
      <c r="H11" s="1128">
        <f>SUM(H12:H16)</f>
        <v>0</v>
      </c>
    </row>
    <row r="12" spans="1:8" s="7" customFormat="1" ht="17.149999999999999" customHeight="1">
      <c r="A12" s="2321" t="s">
        <v>1904</v>
      </c>
      <c r="B12" s="2322"/>
      <c r="C12" s="2322"/>
      <c r="D12" s="2322"/>
      <c r="E12" s="2322"/>
      <c r="F12" s="2322"/>
      <c r="G12" s="2323"/>
      <c r="H12" s="1129"/>
    </row>
    <row r="13" spans="1:8" s="7" customFormat="1" ht="17.149999999999999" customHeight="1">
      <c r="A13" s="2321" t="s">
        <v>1904</v>
      </c>
      <c r="B13" s="2322"/>
      <c r="C13" s="2322"/>
      <c r="D13" s="2322"/>
      <c r="E13" s="2322"/>
      <c r="F13" s="2322"/>
      <c r="G13" s="2323"/>
      <c r="H13" s="1129"/>
    </row>
    <row r="14" spans="1:8" s="7" customFormat="1" ht="17.149999999999999" customHeight="1">
      <c r="A14" s="2321" t="s">
        <v>1904</v>
      </c>
      <c r="B14" s="2322"/>
      <c r="C14" s="2322"/>
      <c r="D14" s="2322"/>
      <c r="E14" s="2322"/>
      <c r="F14" s="2322"/>
      <c r="G14" s="2323"/>
      <c r="H14" s="1129"/>
    </row>
    <row r="15" spans="1:8" s="7" customFormat="1" ht="17.149999999999999" customHeight="1">
      <c r="A15" s="2321" t="s">
        <v>1904</v>
      </c>
      <c r="B15" s="2322"/>
      <c r="C15" s="2322"/>
      <c r="D15" s="2322"/>
      <c r="E15" s="2322"/>
      <c r="F15" s="2322"/>
      <c r="G15" s="2323"/>
      <c r="H15" s="1129"/>
    </row>
    <row r="16" spans="1:8" s="7" customFormat="1" ht="17.149999999999999" customHeight="1">
      <c r="A16" s="2321" t="s">
        <v>1904</v>
      </c>
      <c r="B16" s="2322"/>
      <c r="C16" s="2322"/>
      <c r="D16" s="2322"/>
      <c r="E16" s="2322"/>
      <c r="F16" s="2322"/>
      <c r="G16" s="2323"/>
      <c r="H16" s="1129"/>
    </row>
    <row r="17" spans="1:8" s="7" customFormat="1" ht="17.149999999999999" customHeight="1">
      <c r="A17" s="2318" t="s">
        <v>2115</v>
      </c>
      <c r="B17" s="2319"/>
      <c r="C17" s="2319"/>
      <c r="D17" s="2319"/>
      <c r="E17" s="2319"/>
      <c r="F17" s="2319"/>
      <c r="G17" s="2320"/>
      <c r="H17" s="1128">
        <f>SUM(H18:H22)</f>
        <v>0</v>
      </c>
    </row>
    <row r="18" spans="1:8" s="7" customFormat="1" ht="17.149999999999999" customHeight="1">
      <c r="A18" s="2321" t="s">
        <v>1904</v>
      </c>
      <c r="B18" s="2322"/>
      <c r="C18" s="2322"/>
      <c r="D18" s="2322"/>
      <c r="E18" s="2322"/>
      <c r="F18" s="2322"/>
      <c r="G18" s="2323"/>
      <c r="H18" s="1129"/>
    </row>
    <row r="19" spans="1:8" s="7" customFormat="1" ht="17.149999999999999" customHeight="1">
      <c r="A19" s="2321" t="s">
        <v>1904</v>
      </c>
      <c r="B19" s="2322"/>
      <c r="C19" s="2322"/>
      <c r="D19" s="2322"/>
      <c r="E19" s="2322"/>
      <c r="F19" s="2322"/>
      <c r="G19" s="2323"/>
      <c r="H19" s="1129"/>
    </row>
    <row r="20" spans="1:8" s="7" customFormat="1" ht="17.149999999999999" customHeight="1">
      <c r="A20" s="2321" t="s">
        <v>1904</v>
      </c>
      <c r="B20" s="2322"/>
      <c r="C20" s="2322"/>
      <c r="D20" s="2322"/>
      <c r="E20" s="2322"/>
      <c r="F20" s="2322"/>
      <c r="G20" s="2323"/>
      <c r="H20" s="1129"/>
    </row>
    <row r="21" spans="1:8" s="7" customFormat="1" ht="17.149999999999999" customHeight="1">
      <c r="A21" s="2321" t="s">
        <v>1904</v>
      </c>
      <c r="B21" s="2322"/>
      <c r="C21" s="2322"/>
      <c r="D21" s="2322"/>
      <c r="E21" s="2322"/>
      <c r="F21" s="2322"/>
      <c r="G21" s="2323"/>
      <c r="H21" s="1129"/>
    </row>
    <row r="22" spans="1:8" s="7" customFormat="1" ht="17.149999999999999" customHeight="1">
      <c r="A22" s="2321" t="s">
        <v>1904</v>
      </c>
      <c r="B22" s="2322"/>
      <c r="C22" s="2322"/>
      <c r="D22" s="2322"/>
      <c r="E22" s="2322"/>
      <c r="F22" s="2322"/>
      <c r="G22" s="2323"/>
      <c r="H22" s="1129"/>
    </row>
    <row r="23" spans="1:8" s="7" customFormat="1" ht="17.149999999999999" customHeight="1">
      <c r="A23" s="2318" t="s">
        <v>1905</v>
      </c>
      <c r="B23" s="2319"/>
      <c r="C23" s="2319"/>
      <c r="D23" s="2319"/>
      <c r="E23" s="2319"/>
      <c r="F23" s="2319"/>
      <c r="G23" s="2320"/>
      <c r="H23" s="1128">
        <f>H9+H11-H17</f>
        <v>0</v>
      </c>
    </row>
    <row r="24" spans="1:8" s="7" customFormat="1" ht="17.149999999999999" customHeight="1">
      <c r="A24" s="2312"/>
      <c r="B24" s="2313"/>
      <c r="C24" s="2313"/>
      <c r="D24" s="2313"/>
      <c r="E24" s="2313"/>
      <c r="F24" s="2313"/>
      <c r="G24" s="2314"/>
      <c r="H24" s="1127"/>
    </row>
    <row r="25" spans="1:8" s="7" customFormat="1" ht="17.149999999999999" customHeight="1">
      <c r="A25" s="2318" t="s">
        <v>1954</v>
      </c>
      <c r="B25" s="2319"/>
      <c r="C25" s="2319"/>
      <c r="D25" s="2319"/>
      <c r="E25" s="2319"/>
      <c r="F25" s="2319"/>
      <c r="G25" s="2320"/>
      <c r="H25" s="1128">
        <f>SUM(H26:H27)</f>
        <v>0</v>
      </c>
    </row>
    <row r="26" spans="1:8" s="7" customFormat="1" ht="17.149999999999999" customHeight="1">
      <c r="A26" s="2321" t="s">
        <v>1904</v>
      </c>
      <c r="B26" s="2322"/>
      <c r="C26" s="2322"/>
      <c r="D26" s="2322"/>
      <c r="E26" s="2322"/>
      <c r="F26" s="2322"/>
      <c r="G26" s="2323"/>
      <c r="H26" s="1129"/>
    </row>
    <row r="27" spans="1:8" s="7" customFormat="1" ht="17.149999999999999" customHeight="1">
      <c r="A27" s="2321" t="s">
        <v>1904</v>
      </c>
      <c r="B27" s="2322"/>
      <c r="C27" s="2322"/>
      <c r="D27" s="2322"/>
      <c r="E27" s="2322"/>
      <c r="F27" s="2322"/>
      <c r="G27" s="2323"/>
      <c r="H27" s="1129"/>
    </row>
    <row r="28" spans="1:8" s="7" customFormat="1" ht="17.149999999999999" customHeight="1">
      <c r="A28" s="2318" t="s">
        <v>1955</v>
      </c>
      <c r="B28" s="2319"/>
      <c r="C28" s="2319"/>
      <c r="D28" s="2319"/>
      <c r="E28" s="2319"/>
      <c r="F28" s="2319"/>
      <c r="G28" s="2320"/>
      <c r="H28" s="1128">
        <f>SUM(H29:H30)</f>
        <v>0</v>
      </c>
    </row>
    <row r="29" spans="1:8" s="7" customFormat="1" ht="17.149999999999999" customHeight="1">
      <c r="A29" s="2321" t="s">
        <v>1904</v>
      </c>
      <c r="B29" s="2322"/>
      <c r="C29" s="2322"/>
      <c r="D29" s="2322"/>
      <c r="E29" s="2322"/>
      <c r="F29" s="2322"/>
      <c r="G29" s="2323"/>
      <c r="H29" s="1129"/>
    </row>
    <row r="30" spans="1:8" s="7" customFormat="1" ht="17.149999999999999" customHeight="1">
      <c r="A30" s="2321" t="s">
        <v>1904</v>
      </c>
      <c r="B30" s="2322"/>
      <c r="C30" s="2322"/>
      <c r="D30" s="2322"/>
      <c r="E30" s="2322"/>
      <c r="F30" s="2322"/>
      <c r="G30" s="2323"/>
      <c r="H30" s="1129"/>
    </row>
    <row r="31" spans="1:8" s="7" customFormat="1" ht="17.149999999999999" customHeight="1">
      <c r="A31" s="2318" t="s">
        <v>1956</v>
      </c>
      <c r="B31" s="2319"/>
      <c r="C31" s="2319"/>
      <c r="D31" s="2319"/>
      <c r="E31" s="2319"/>
      <c r="F31" s="2319"/>
      <c r="G31" s="2320"/>
      <c r="H31" s="1128">
        <f>SUM(H32:H33)</f>
        <v>0</v>
      </c>
    </row>
    <row r="32" spans="1:8" s="7" customFormat="1" ht="17.149999999999999" customHeight="1">
      <c r="A32" s="2321" t="s">
        <v>1904</v>
      </c>
      <c r="B32" s="2322"/>
      <c r="C32" s="2322"/>
      <c r="D32" s="2322"/>
      <c r="E32" s="2322"/>
      <c r="F32" s="2322"/>
      <c r="G32" s="2323"/>
      <c r="H32" s="1129"/>
    </row>
    <row r="33" spans="1:8" s="7" customFormat="1" ht="17.149999999999999" customHeight="1">
      <c r="A33" s="2321" t="s">
        <v>1904</v>
      </c>
      <c r="B33" s="2322"/>
      <c r="C33" s="2322"/>
      <c r="D33" s="2322"/>
      <c r="E33" s="2322"/>
      <c r="F33" s="2322"/>
      <c r="G33" s="2323"/>
      <c r="H33" s="1129"/>
    </row>
    <row r="34" spans="1:8" s="7" customFormat="1" ht="17.149999999999999" customHeight="1">
      <c r="A34" s="2318" t="s">
        <v>1906</v>
      </c>
      <c r="B34" s="2319"/>
      <c r="C34" s="2319"/>
      <c r="D34" s="2319"/>
      <c r="E34" s="2319"/>
      <c r="F34" s="2319"/>
      <c r="G34" s="2320"/>
      <c r="H34" s="1128">
        <f>H23-H25-H28+H31</f>
        <v>0</v>
      </c>
    </row>
    <row r="35" spans="1:8" s="7" customFormat="1" ht="17.149999999999999" customHeight="1">
      <c r="A35" s="2312"/>
      <c r="B35" s="2313"/>
      <c r="C35" s="2313"/>
      <c r="D35" s="2313"/>
      <c r="E35" s="2313"/>
      <c r="F35" s="2313"/>
      <c r="G35" s="2314"/>
      <c r="H35" s="1127"/>
    </row>
    <row r="36" spans="1:8" s="7" customFormat="1" ht="17.149999999999999" customHeight="1">
      <c r="A36" s="1130" t="s">
        <v>1907</v>
      </c>
      <c r="B36" s="630"/>
      <c r="C36" s="632"/>
      <c r="D36" s="631"/>
      <c r="E36" s="2309"/>
      <c r="F36" s="2310"/>
      <c r="G36" s="2311"/>
      <c r="H36" s="1128">
        <f>H34*D36</f>
        <v>0</v>
      </c>
    </row>
    <row r="37" spans="1:8" s="7" customFormat="1" ht="17.149999999999999" customHeight="1" thickBot="1">
      <c r="A37" s="2315"/>
      <c r="B37" s="2316"/>
      <c r="C37" s="2316"/>
      <c r="D37" s="2316"/>
      <c r="E37" s="2316"/>
      <c r="F37" s="2316"/>
      <c r="G37" s="2317"/>
      <c r="H37" s="1131"/>
    </row>
    <row r="38" spans="1:8">
      <c r="A38" s="2307"/>
      <c r="B38" s="2307"/>
      <c r="C38" s="2307"/>
      <c r="D38" s="2307"/>
      <c r="E38" s="2307"/>
      <c r="F38" s="2307"/>
      <c r="G38" s="132"/>
      <c r="H38" s="629"/>
    </row>
    <row r="39" spans="1:8" ht="16">
      <c r="A39" s="2308" t="s">
        <v>1957</v>
      </c>
      <c r="B39" s="2308"/>
      <c r="C39" s="2308"/>
      <c r="D39" s="2308"/>
      <c r="E39" s="2308"/>
      <c r="F39" s="2308"/>
      <c r="H39" s="45"/>
    </row>
  </sheetData>
  <mergeCells count="39">
    <mergeCell ref="A1:H1"/>
    <mergeCell ref="C3:H3"/>
    <mergeCell ref="C5:D5"/>
    <mergeCell ref="C6:D6"/>
    <mergeCell ref="G2:H2"/>
    <mergeCell ref="B4:F4"/>
    <mergeCell ref="A8:G8"/>
    <mergeCell ref="A9:G9"/>
    <mergeCell ref="A10:G10"/>
    <mergeCell ref="A7:H7"/>
    <mergeCell ref="A11:G11"/>
    <mergeCell ref="A12:G12"/>
    <mergeCell ref="A13:G13"/>
    <mergeCell ref="A14:G14"/>
    <mergeCell ref="A15:G15"/>
    <mergeCell ref="A16:G16"/>
    <mergeCell ref="A17:G17"/>
    <mergeCell ref="A18:G18"/>
    <mergeCell ref="A19:G19"/>
    <mergeCell ref="A20:G20"/>
    <mergeCell ref="A21:G21"/>
    <mergeCell ref="A22:G22"/>
    <mergeCell ref="A23:G23"/>
    <mergeCell ref="A25:G25"/>
    <mergeCell ref="A28:G28"/>
    <mergeCell ref="A24:G24"/>
    <mergeCell ref="A26:G26"/>
    <mergeCell ref="A27:G27"/>
    <mergeCell ref="A31:G31"/>
    <mergeCell ref="A34:G34"/>
    <mergeCell ref="A29:G29"/>
    <mergeCell ref="A30:G30"/>
    <mergeCell ref="A32:G32"/>
    <mergeCell ref="A33:G33"/>
    <mergeCell ref="A38:F38"/>
    <mergeCell ref="A39:F39"/>
    <mergeCell ref="E36:G36"/>
    <mergeCell ref="A35:G35"/>
    <mergeCell ref="A37:G37"/>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82"/>
  <sheetViews>
    <sheetView workbookViewId="0">
      <selection activeCell="J64" sqref="J64"/>
    </sheetView>
  </sheetViews>
  <sheetFormatPr baseColWidth="10" defaultRowHeight="14.5"/>
  <cols>
    <col min="1" max="1" width="5.54296875" customWidth="1"/>
    <col min="2" max="2" width="18" customWidth="1"/>
    <col min="3" max="3" width="11.54296875" customWidth="1"/>
    <col min="5" max="5" width="11" customWidth="1"/>
    <col min="6" max="6" width="12.453125" customWidth="1"/>
    <col min="7" max="7" width="10.1796875" customWidth="1"/>
    <col min="8" max="8" width="11.81640625" customWidth="1"/>
    <col min="257" max="257" width="10.54296875" customWidth="1"/>
    <col min="258" max="258" width="59.453125" bestFit="1" customWidth="1"/>
    <col min="259" max="259" width="11.54296875" customWidth="1"/>
    <col min="261" max="261" width="11" customWidth="1"/>
    <col min="262" max="262" width="24.1796875" bestFit="1" customWidth="1"/>
    <col min="263" max="263" width="10.1796875" customWidth="1"/>
    <col min="264" max="264" width="14.453125" customWidth="1"/>
    <col min="513" max="513" width="10.54296875" customWidth="1"/>
    <col min="514" max="514" width="59.453125" bestFit="1" customWidth="1"/>
    <col min="515" max="515" width="11.54296875" customWidth="1"/>
    <col min="517" max="517" width="11" customWidth="1"/>
    <col min="518" max="518" width="24.1796875" bestFit="1" customWidth="1"/>
    <col min="519" max="519" width="10.1796875" customWidth="1"/>
    <col min="520" max="520" width="14.453125" customWidth="1"/>
    <col min="769" max="769" width="10.54296875" customWidth="1"/>
    <col min="770" max="770" width="59.453125" bestFit="1" customWidth="1"/>
    <col min="771" max="771" width="11.54296875" customWidth="1"/>
    <col min="773" max="773" width="11" customWidth="1"/>
    <col min="774" max="774" width="24.1796875" bestFit="1" customWidth="1"/>
    <col min="775" max="775" width="10.1796875" customWidth="1"/>
    <col min="776" max="776" width="14.453125" customWidth="1"/>
    <col min="1025" max="1025" width="10.54296875" customWidth="1"/>
    <col min="1026" max="1026" width="59.453125" bestFit="1" customWidth="1"/>
    <col min="1027" max="1027" width="11.54296875" customWidth="1"/>
    <col min="1029" max="1029" width="11" customWidth="1"/>
    <col min="1030" max="1030" width="24.1796875" bestFit="1" customWidth="1"/>
    <col min="1031" max="1031" width="10.1796875" customWidth="1"/>
    <col min="1032" max="1032" width="14.453125" customWidth="1"/>
    <col min="1281" max="1281" width="10.54296875" customWidth="1"/>
    <col min="1282" max="1282" width="59.453125" bestFit="1" customWidth="1"/>
    <col min="1283" max="1283" width="11.54296875" customWidth="1"/>
    <col min="1285" max="1285" width="11" customWidth="1"/>
    <col min="1286" max="1286" width="24.1796875" bestFit="1" customWidth="1"/>
    <col min="1287" max="1287" width="10.1796875" customWidth="1"/>
    <col min="1288" max="1288" width="14.453125" customWidth="1"/>
    <col min="1537" max="1537" width="10.54296875" customWidth="1"/>
    <col min="1538" max="1538" width="59.453125" bestFit="1" customWidth="1"/>
    <col min="1539" max="1539" width="11.54296875" customWidth="1"/>
    <col min="1541" max="1541" width="11" customWidth="1"/>
    <col min="1542" max="1542" width="24.1796875" bestFit="1" customWidth="1"/>
    <col min="1543" max="1543" width="10.1796875" customWidth="1"/>
    <col min="1544" max="1544" width="14.453125" customWidth="1"/>
    <col min="1793" max="1793" width="10.54296875" customWidth="1"/>
    <col min="1794" max="1794" width="59.453125" bestFit="1" customWidth="1"/>
    <col min="1795" max="1795" width="11.54296875" customWidth="1"/>
    <col min="1797" max="1797" width="11" customWidth="1"/>
    <col min="1798" max="1798" width="24.1796875" bestFit="1" customWidth="1"/>
    <col min="1799" max="1799" width="10.1796875" customWidth="1"/>
    <col min="1800" max="1800" width="14.453125" customWidth="1"/>
    <col min="2049" max="2049" width="10.54296875" customWidth="1"/>
    <col min="2050" max="2050" width="59.453125" bestFit="1" customWidth="1"/>
    <col min="2051" max="2051" width="11.54296875" customWidth="1"/>
    <col min="2053" max="2053" width="11" customWidth="1"/>
    <col min="2054" max="2054" width="24.1796875" bestFit="1" customWidth="1"/>
    <col min="2055" max="2055" width="10.1796875" customWidth="1"/>
    <col min="2056" max="2056" width="14.453125" customWidth="1"/>
    <col min="2305" max="2305" width="10.54296875" customWidth="1"/>
    <col min="2306" max="2306" width="59.453125" bestFit="1" customWidth="1"/>
    <col min="2307" max="2307" width="11.54296875" customWidth="1"/>
    <col min="2309" max="2309" width="11" customWidth="1"/>
    <col min="2310" max="2310" width="24.1796875" bestFit="1" customWidth="1"/>
    <col min="2311" max="2311" width="10.1796875" customWidth="1"/>
    <col min="2312" max="2312" width="14.453125" customWidth="1"/>
    <col min="2561" max="2561" width="10.54296875" customWidth="1"/>
    <col min="2562" max="2562" width="59.453125" bestFit="1" customWidth="1"/>
    <col min="2563" max="2563" width="11.54296875" customWidth="1"/>
    <col min="2565" max="2565" width="11" customWidth="1"/>
    <col min="2566" max="2566" width="24.1796875" bestFit="1" customWidth="1"/>
    <col min="2567" max="2567" width="10.1796875" customWidth="1"/>
    <col min="2568" max="2568" width="14.453125" customWidth="1"/>
    <col min="2817" max="2817" width="10.54296875" customWidth="1"/>
    <col min="2818" max="2818" width="59.453125" bestFit="1" customWidth="1"/>
    <col min="2819" max="2819" width="11.54296875" customWidth="1"/>
    <col min="2821" max="2821" width="11" customWidth="1"/>
    <col min="2822" max="2822" width="24.1796875" bestFit="1" customWidth="1"/>
    <col min="2823" max="2823" width="10.1796875" customWidth="1"/>
    <col min="2824" max="2824" width="14.453125" customWidth="1"/>
    <col min="3073" max="3073" width="10.54296875" customWidth="1"/>
    <col min="3074" max="3074" width="59.453125" bestFit="1" customWidth="1"/>
    <col min="3075" max="3075" width="11.54296875" customWidth="1"/>
    <col min="3077" max="3077" width="11" customWidth="1"/>
    <col min="3078" max="3078" width="24.1796875" bestFit="1" customWidth="1"/>
    <col min="3079" max="3079" width="10.1796875" customWidth="1"/>
    <col min="3080" max="3080" width="14.453125" customWidth="1"/>
    <col min="3329" max="3329" width="10.54296875" customWidth="1"/>
    <col min="3330" max="3330" width="59.453125" bestFit="1" customWidth="1"/>
    <col min="3331" max="3331" width="11.54296875" customWidth="1"/>
    <col min="3333" max="3333" width="11" customWidth="1"/>
    <col min="3334" max="3334" width="24.1796875" bestFit="1" customWidth="1"/>
    <col min="3335" max="3335" width="10.1796875" customWidth="1"/>
    <col min="3336" max="3336" width="14.453125" customWidth="1"/>
    <col min="3585" max="3585" width="10.54296875" customWidth="1"/>
    <col min="3586" max="3586" width="59.453125" bestFit="1" customWidth="1"/>
    <col min="3587" max="3587" width="11.54296875" customWidth="1"/>
    <col min="3589" max="3589" width="11" customWidth="1"/>
    <col min="3590" max="3590" width="24.1796875" bestFit="1" customWidth="1"/>
    <col min="3591" max="3591" width="10.1796875" customWidth="1"/>
    <col min="3592" max="3592" width="14.453125" customWidth="1"/>
    <col min="3841" max="3841" width="10.54296875" customWidth="1"/>
    <col min="3842" max="3842" width="59.453125" bestFit="1" customWidth="1"/>
    <col min="3843" max="3843" width="11.54296875" customWidth="1"/>
    <col min="3845" max="3845" width="11" customWidth="1"/>
    <col min="3846" max="3846" width="24.1796875" bestFit="1" customWidth="1"/>
    <col min="3847" max="3847" width="10.1796875" customWidth="1"/>
    <col min="3848" max="3848" width="14.453125" customWidth="1"/>
    <col min="4097" max="4097" width="10.54296875" customWidth="1"/>
    <col min="4098" max="4098" width="59.453125" bestFit="1" customWidth="1"/>
    <col min="4099" max="4099" width="11.54296875" customWidth="1"/>
    <col min="4101" max="4101" width="11" customWidth="1"/>
    <col min="4102" max="4102" width="24.1796875" bestFit="1" customWidth="1"/>
    <col min="4103" max="4103" width="10.1796875" customWidth="1"/>
    <col min="4104" max="4104" width="14.453125" customWidth="1"/>
    <col min="4353" max="4353" width="10.54296875" customWidth="1"/>
    <col min="4354" max="4354" width="59.453125" bestFit="1" customWidth="1"/>
    <col min="4355" max="4355" width="11.54296875" customWidth="1"/>
    <col min="4357" max="4357" width="11" customWidth="1"/>
    <col min="4358" max="4358" width="24.1796875" bestFit="1" customWidth="1"/>
    <col min="4359" max="4359" width="10.1796875" customWidth="1"/>
    <col min="4360" max="4360" width="14.453125" customWidth="1"/>
    <col min="4609" max="4609" width="10.54296875" customWidth="1"/>
    <col min="4610" max="4610" width="59.453125" bestFit="1" customWidth="1"/>
    <col min="4611" max="4611" width="11.54296875" customWidth="1"/>
    <col min="4613" max="4613" width="11" customWidth="1"/>
    <col min="4614" max="4614" width="24.1796875" bestFit="1" customWidth="1"/>
    <col min="4615" max="4615" width="10.1796875" customWidth="1"/>
    <col min="4616" max="4616" width="14.453125" customWidth="1"/>
    <col min="4865" max="4865" width="10.54296875" customWidth="1"/>
    <col min="4866" max="4866" width="59.453125" bestFit="1" customWidth="1"/>
    <col min="4867" max="4867" width="11.54296875" customWidth="1"/>
    <col min="4869" max="4869" width="11" customWidth="1"/>
    <col min="4870" max="4870" width="24.1796875" bestFit="1" customWidth="1"/>
    <col min="4871" max="4871" width="10.1796875" customWidth="1"/>
    <col min="4872" max="4872" width="14.453125" customWidth="1"/>
    <col min="5121" max="5121" width="10.54296875" customWidth="1"/>
    <col min="5122" max="5122" width="59.453125" bestFit="1" customWidth="1"/>
    <col min="5123" max="5123" width="11.54296875" customWidth="1"/>
    <col min="5125" max="5125" width="11" customWidth="1"/>
    <col min="5126" max="5126" width="24.1796875" bestFit="1" customWidth="1"/>
    <col min="5127" max="5127" width="10.1796875" customWidth="1"/>
    <col min="5128" max="5128" width="14.453125" customWidth="1"/>
    <col min="5377" max="5377" width="10.54296875" customWidth="1"/>
    <col min="5378" max="5378" width="59.453125" bestFit="1" customWidth="1"/>
    <col min="5379" max="5379" width="11.54296875" customWidth="1"/>
    <col min="5381" max="5381" width="11" customWidth="1"/>
    <col min="5382" max="5382" width="24.1796875" bestFit="1" customWidth="1"/>
    <col min="5383" max="5383" width="10.1796875" customWidth="1"/>
    <col min="5384" max="5384" width="14.453125" customWidth="1"/>
    <col min="5633" max="5633" width="10.54296875" customWidth="1"/>
    <col min="5634" max="5634" width="59.453125" bestFit="1" customWidth="1"/>
    <col min="5635" max="5635" width="11.54296875" customWidth="1"/>
    <col min="5637" max="5637" width="11" customWidth="1"/>
    <col min="5638" max="5638" width="24.1796875" bestFit="1" customWidth="1"/>
    <col min="5639" max="5639" width="10.1796875" customWidth="1"/>
    <col min="5640" max="5640" width="14.453125" customWidth="1"/>
    <col min="5889" max="5889" width="10.54296875" customWidth="1"/>
    <col min="5890" max="5890" width="59.453125" bestFit="1" customWidth="1"/>
    <col min="5891" max="5891" width="11.54296875" customWidth="1"/>
    <col min="5893" max="5893" width="11" customWidth="1"/>
    <col min="5894" max="5894" width="24.1796875" bestFit="1" customWidth="1"/>
    <col min="5895" max="5895" width="10.1796875" customWidth="1"/>
    <col min="5896" max="5896" width="14.453125" customWidth="1"/>
    <col min="6145" max="6145" width="10.54296875" customWidth="1"/>
    <col min="6146" max="6146" width="59.453125" bestFit="1" customWidth="1"/>
    <col min="6147" max="6147" width="11.54296875" customWidth="1"/>
    <col min="6149" max="6149" width="11" customWidth="1"/>
    <col min="6150" max="6150" width="24.1796875" bestFit="1" customWidth="1"/>
    <col min="6151" max="6151" width="10.1796875" customWidth="1"/>
    <col min="6152" max="6152" width="14.453125" customWidth="1"/>
    <col min="6401" max="6401" width="10.54296875" customWidth="1"/>
    <col min="6402" max="6402" width="59.453125" bestFit="1" customWidth="1"/>
    <col min="6403" max="6403" width="11.54296875" customWidth="1"/>
    <col min="6405" max="6405" width="11" customWidth="1"/>
    <col min="6406" max="6406" width="24.1796875" bestFit="1" customWidth="1"/>
    <col min="6407" max="6407" width="10.1796875" customWidth="1"/>
    <col min="6408" max="6408" width="14.453125" customWidth="1"/>
    <col min="6657" max="6657" width="10.54296875" customWidth="1"/>
    <col min="6658" max="6658" width="59.453125" bestFit="1" customWidth="1"/>
    <col min="6659" max="6659" width="11.54296875" customWidth="1"/>
    <col min="6661" max="6661" width="11" customWidth="1"/>
    <col min="6662" max="6662" width="24.1796875" bestFit="1" customWidth="1"/>
    <col min="6663" max="6663" width="10.1796875" customWidth="1"/>
    <col min="6664" max="6664" width="14.453125" customWidth="1"/>
    <col min="6913" max="6913" width="10.54296875" customWidth="1"/>
    <col min="6914" max="6914" width="59.453125" bestFit="1" customWidth="1"/>
    <col min="6915" max="6915" width="11.54296875" customWidth="1"/>
    <col min="6917" max="6917" width="11" customWidth="1"/>
    <col min="6918" max="6918" width="24.1796875" bestFit="1" customWidth="1"/>
    <col min="6919" max="6919" width="10.1796875" customWidth="1"/>
    <col min="6920" max="6920" width="14.453125" customWidth="1"/>
    <col min="7169" max="7169" width="10.54296875" customWidth="1"/>
    <col min="7170" max="7170" width="59.453125" bestFit="1" customWidth="1"/>
    <col min="7171" max="7171" width="11.54296875" customWidth="1"/>
    <col min="7173" max="7173" width="11" customWidth="1"/>
    <col min="7174" max="7174" width="24.1796875" bestFit="1" customWidth="1"/>
    <col min="7175" max="7175" width="10.1796875" customWidth="1"/>
    <col min="7176" max="7176" width="14.453125" customWidth="1"/>
    <col min="7425" max="7425" width="10.54296875" customWidth="1"/>
    <col min="7426" max="7426" width="59.453125" bestFit="1" customWidth="1"/>
    <col min="7427" max="7427" width="11.54296875" customWidth="1"/>
    <col min="7429" max="7429" width="11" customWidth="1"/>
    <col min="7430" max="7430" width="24.1796875" bestFit="1" customWidth="1"/>
    <col min="7431" max="7431" width="10.1796875" customWidth="1"/>
    <col min="7432" max="7432" width="14.453125" customWidth="1"/>
    <col min="7681" max="7681" width="10.54296875" customWidth="1"/>
    <col min="7682" max="7682" width="59.453125" bestFit="1" customWidth="1"/>
    <col min="7683" max="7683" width="11.54296875" customWidth="1"/>
    <col min="7685" max="7685" width="11" customWidth="1"/>
    <col min="7686" max="7686" width="24.1796875" bestFit="1" customWidth="1"/>
    <col min="7687" max="7687" width="10.1796875" customWidth="1"/>
    <col min="7688" max="7688" width="14.453125" customWidth="1"/>
    <col min="7937" max="7937" width="10.54296875" customWidth="1"/>
    <col min="7938" max="7938" width="59.453125" bestFit="1" customWidth="1"/>
    <col min="7939" max="7939" width="11.54296875" customWidth="1"/>
    <col min="7941" max="7941" width="11" customWidth="1"/>
    <col min="7942" max="7942" width="24.1796875" bestFit="1" customWidth="1"/>
    <col min="7943" max="7943" width="10.1796875" customWidth="1"/>
    <col min="7944" max="7944" width="14.453125" customWidth="1"/>
    <col min="8193" max="8193" width="10.54296875" customWidth="1"/>
    <col min="8194" max="8194" width="59.453125" bestFit="1" customWidth="1"/>
    <col min="8195" max="8195" width="11.54296875" customWidth="1"/>
    <col min="8197" max="8197" width="11" customWidth="1"/>
    <col min="8198" max="8198" width="24.1796875" bestFit="1" customWidth="1"/>
    <col min="8199" max="8199" width="10.1796875" customWidth="1"/>
    <col min="8200" max="8200" width="14.453125" customWidth="1"/>
    <col min="8449" max="8449" width="10.54296875" customWidth="1"/>
    <col min="8450" max="8450" width="59.453125" bestFit="1" customWidth="1"/>
    <col min="8451" max="8451" width="11.54296875" customWidth="1"/>
    <col min="8453" max="8453" width="11" customWidth="1"/>
    <col min="8454" max="8454" width="24.1796875" bestFit="1" customWidth="1"/>
    <col min="8455" max="8455" width="10.1796875" customWidth="1"/>
    <col min="8456" max="8456" width="14.453125" customWidth="1"/>
    <col min="8705" max="8705" width="10.54296875" customWidth="1"/>
    <col min="8706" max="8706" width="59.453125" bestFit="1" customWidth="1"/>
    <col min="8707" max="8707" width="11.54296875" customWidth="1"/>
    <col min="8709" max="8709" width="11" customWidth="1"/>
    <col min="8710" max="8710" width="24.1796875" bestFit="1" customWidth="1"/>
    <col min="8711" max="8711" width="10.1796875" customWidth="1"/>
    <col min="8712" max="8712" width="14.453125" customWidth="1"/>
    <col min="8961" max="8961" width="10.54296875" customWidth="1"/>
    <col min="8962" max="8962" width="59.453125" bestFit="1" customWidth="1"/>
    <col min="8963" max="8963" width="11.54296875" customWidth="1"/>
    <col min="8965" max="8965" width="11" customWidth="1"/>
    <col min="8966" max="8966" width="24.1796875" bestFit="1" customWidth="1"/>
    <col min="8967" max="8967" width="10.1796875" customWidth="1"/>
    <col min="8968" max="8968" width="14.453125" customWidth="1"/>
    <col min="9217" max="9217" width="10.54296875" customWidth="1"/>
    <col min="9218" max="9218" width="59.453125" bestFit="1" customWidth="1"/>
    <col min="9219" max="9219" width="11.54296875" customWidth="1"/>
    <col min="9221" max="9221" width="11" customWidth="1"/>
    <col min="9222" max="9222" width="24.1796875" bestFit="1" customWidth="1"/>
    <col min="9223" max="9223" width="10.1796875" customWidth="1"/>
    <col min="9224" max="9224" width="14.453125" customWidth="1"/>
    <col min="9473" max="9473" width="10.54296875" customWidth="1"/>
    <col min="9474" max="9474" width="59.453125" bestFit="1" customWidth="1"/>
    <col min="9475" max="9475" width="11.54296875" customWidth="1"/>
    <col min="9477" max="9477" width="11" customWidth="1"/>
    <col min="9478" max="9478" width="24.1796875" bestFit="1" customWidth="1"/>
    <col min="9479" max="9479" width="10.1796875" customWidth="1"/>
    <col min="9480" max="9480" width="14.453125" customWidth="1"/>
    <col min="9729" max="9729" width="10.54296875" customWidth="1"/>
    <col min="9730" max="9730" width="59.453125" bestFit="1" customWidth="1"/>
    <col min="9731" max="9731" width="11.54296875" customWidth="1"/>
    <col min="9733" max="9733" width="11" customWidth="1"/>
    <col min="9734" max="9734" width="24.1796875" bestFit="1" customWidth="1"/>
    <col min="9735" max="9735" width="10.1796875" customWidth="1"/>
    <col min="9736" max="9736" width="14.453125" customWidth="1"/>
    <col min="9985" max="9985" width="10.54296875" customWidth="1"/>
    <col min="9986" max="9986" width="59.453125" bestFit="1" customWidth="1"/>
    <col min="9987" max="9987" width="11.54296875" customWidth="1"/>
    <col min="9989" max="9989" width="11" customWidth="1"/>
    <col min="9990" max="9990" width="24.1796875" bestFit="1" customWidth="1"/>
    <col min="9991" max="9991" width="10.1796875" customWidth="1"/>
    <col min="9992" max="9992" width="14.453125" customWidth="1"/>
    <col min="10241" max="10241" width="10.54296875" customWidth="1"/>
    <col min="10242" max="10242" width="59.453125" bestFit="1" customWidth="1"/>
    <col min="10243" max="10243" width="11.54296875" customWidth="1"/>
    <col min="10245" max="10245" width="11" customWidth="1"/>
    <col min="10246" max="10246" width="24.1796875" bestFit="1" customWidth="1"/>
    <col min="10247" max="10247" width="10.1796875" customWidth="1"/>
    <col min="10248" max="10248" width="14.453125" customWidth="1"/>
    <col min="10497" max="10497" width="10.54296875" customWidth="1"/>
    <col min="10498" max="10498" width="59.453125" bestFit="1" customWidth="1"/>
    <col min="10499" max="10499" width="11.54296875" customWidth="1"/>
    <col min="10501" max="10501" width="11" customWidth="1"/>
    <col min="10502" max="10502" width="24.1796875" bestFit="1" customWidth="1"/>
    <col min="10503" max="10503" width="10.1796875" customWidth="1"/>
    <col min="10504" max="10504" width="14.453125" customWidth="1"/>
    <col min="10753" max="10753" width="10.54296875" customWidth="1"/>
    <col min="10754" max="10754" width="59.453125" bestFit="1" customWidth="1"/>
    <col min="10755" max="10755" width="11.54296875" customWidth="1"/>
    <col min="10757" max="10757" width="11" customWidth="1"/>
    <col min="10758" max="10758" width="24.1796875" bestFit="1" customWidth="1"/>
    <col min="10759" max="10759" width="10.1796875" customWidth="1"/>
    <col min="10760" max="10760" width="14.453125" customWidth="1"/>
    <col min="11009" max="11009" width="10.54296875" customWidth="1"/>
    <col min="11010" max="11010" width="59.453125" bestFit="1" customWidth="1"/>
    <col min="11011" max="11011" width="11.54296875" customWidth="1"/>
    <col min="11013" max="11013" width="11" customWidth="1"/>
    <col min="11014" max="11014" width="24.1796875" bestFit="1" customWidth="1"/>
    <col min="11015" max="11015" width="10.1796875" customWidth="1"/>
    <col min="11016" max="11016" width="14.453125" customWidth="1"/>
    <col min="11265" max="11265" width="10.54296875" customWidth="1"/>
    <col min="11266" max="11266" width="59.453125" bestFit="1" customWidth="1"/>
    <col min="11267" max="11267" width="11.54296875" customWidth="1"/>
    <col min="11269" max="11269" width="11" customWidth="1"/>
    <col min="11270" max="11270" width="24.1796875" bestFit="1" customWidth="1"/>
    <col min="11271" max="11271" width="10.1796875" customWidth="1"/>
    <col min="11272" max="11272" width="14.453125" customWidth="1"/>
    <col min="11521" max="11521" width="10.54296875" customWidth="1"/>
    <col min="11522" max="11522" width="59.453125" bestFit="1" customWidth="1"/>
    <col min="11523" max="11523" width="11.54296875" customWidth="1"/>
    <col min="11525" max="11525" width="11" customWidth="1"/>
    <col min="11526" max="11526" width="24.1796875" bestFit="1" customWidth="1"/>
    <col min="11527" max="11527" width="10.1796875" customWidth="1"/>
    <col min="11528" max="11528" width="14.453125" customWidth="1"/>
    <col min="11777" max="11777" width="10.54296875" customWidth="1"/>
    <col min="11778" max="11778" width="59.453125" bestFit="1" customWidth="1"/>
    <col min="11779" max="11779" width="11.54296875" customWidth="1"/>
    <col min="11781" max="11781" width="11" customWidth="1"/>
    <col min="11782" max="11782" width="24.1796875" bestFit="1" customWidth="1"/>
    <col min="11783" max="11783" width="10.1796875" customWidth="1"/>
    <col min="11784" max="11784" width="14.453125" customWidth="1"/>
    <col min="12033" max="12033" width="10.54296875" customWidth="1"/>
    <col min="12034" max="12034" width="59.453125" bestFit="1" customWidth="1"/>
    <col min="12035" max="12035" width="11.54296875" customWidth="1"/>
    <col min="12037" max="12037" width="11" customWidth="1"/>
    <col min="12038" max="12038" width="24.1796875" bestFit="1" customWidth="1"/>
    <col min="12039" max="12039" width="10.1796875" customWidth="1"/>
    <col min="12040" max="12040" width="14.453125" customWidth="1"/>
    <col min="12289" max="12289" width="10.54296875" customWidth="1"/>
    <col min="12290" max="12290" width="59.453125" bestFit="1" customWidth="1"/>
    <col min="12291" max="12291" width="11.54296875" customWidth="1"/>
    <col min="12293" max="12293" width="11" customWidth="1"/>
    <col min="12294" max="12294" width="24.1796875" bestFit="1" customWidth="1"/>
    <col min="12295" max="12295" width="10.1796875" customWidth="1"/>
    <col min="12296" max="12296" width="14.453125" customWidth="1"/>
    <col min="12545" max="12545" width="10.54296875" customWidth="1"/>
    <col min="12546" max="12546" width="59.453125" bestFit="1" customWidth="1"/>
    <col min="12547" max="12547" width="11.54296875" customWidth="1"/>
    <col min="12549" max="12549" width="11" customWidth="1"/>
    <col min="12550" max="12550" width="24.1796875" bestFit="1" customWidth="1"/>
    <col min="12551" max="12551" width="10.1796875" customWidth="1"/>
    <col min="12552" max="12552" width="14.453125" customWidth="1"/>
    <col min="12801" max="12801" width="10.54296875" customWidth="1"/>
    <col min="12802" max="12802" width="59.453125" bestFit="1" customWidth="1"/>
    <col min="12803" max="12803" width="11.54296875" customWidth="1"/>
    <col min="12805" max="12805" width="11" customWidth="1"/>
    <col min="12806" max="12806" width="24.1796875" bestFit="1" customWidth="1"/>
    <col min="12807" max="12807" width="10.1796875" customWidth="1"/>
    <col min="12808" max="12808" width="14.453125" customWidth="1"/>
    <col min="13057" max="13057" width="10.54296875" customWidth="1"/>
    <col min="13058" max="13058" width="59.453125" bestFit="1" customWidth="1"/>
    <col min="13059" max="13059" width="11.54296875" customWidth="1"/>
    <col min="13061" max="13061" width="11" customWidth="1"/>
    <col min="13062" max="13062" width="24.1796875" bestFit="1" customWidth="1"/>
    <col min="13063" max="13063" width="10.1796875" customWidth="1"/>
    <col min="13064" max="13064" width="14.453125" customWidth="1"/>
    <col min="13313" max="13313" width="10.54296875" customWidth="1"/>
    <col min="13314" max="13314" width="59.453125" bestFit="1" customWidth="1"/>
    <col min="13315" max="13315" width="11.54296875" customWidth="1"/>
    <col min="13317" max="13317" width="11" customWidth="1"/>
    <col min="13318" max="13318" width="24.1796875" bestFit="1" customWidth="1"/>
    <col min="13319" max="13319" width="10.1796875" customWidth="1"/>
    <col min="13320" max="13320" width="14.453125" customWidth="1"/>
    <col min="13569" max="13569" width="10.54296875" customWidth="1"/>
    <col min="13570" max="13570" width="59.453125" bestFit="1" customWidth="1"/>
    <col min="13571" max="13571" width="11.54296875" customWidth="1"/>
    <col min="13573" max="13573" width="11" customWidth="1"/>
    <col min="13574" max="13574" width="24.1796875" bestFit="1" customWidth="1"/>
    <col min="13575" max="13575" width="10.1796875" customWidth="1"/>
    <col min="13576" max="13576" width="14.453125" customWidth="1"/>
    <col min="13825" max="13825" width="10.54296875" customWidth="1"/>
    <col min="13826" max="13826" width="59.453125" bestFit="1" customWidth="1"/>
    <col min="13827" max="13827" width="11.54296875" customWidth="1"/>
    <col min="13829" max="13829" width="11" customWidth="1"/>
    <col min="13830" max="13830" width="24.1796875" bestFit="1" customWidth="1"/>
    <col min="13831" max="13831" width="10.1796875" customWidth="1"/>
    <col min="13832" max="13832" width="14.453125" customWidth="1"/>
    <col min="14081" max="14081" width="10.54296875" customWidth="1"/>
    <col min="14082" max="14082" width="59.453125" bestFit="1" customWidth="1"/>
    <col min="14083" max="14083" width="11.54296875" customWidth="1"/>
    <col min="14085" max="14085" width="11" customWidth="1"/>
    <col min="14086" max="14086" width="24.1796875" bestFit="1" customWidth="1"/>
    <col min="14087" max="14087" width="10.1796875" customWidth="1"/>
    <col min="14088" max="14088" width="14.453125" customWidth="1"/>
    <col min="14337" max="14337" width="10.54296875" customWidth="1"/>
    <col min="14338" max="14338" width="59.453125" bestFit="1" customWidth="1"/>
    <col min="14339" max="14339" width="11.54296875" customWidth="1"/>
    <col min="14341" max="14341" width="11" customWidth="1"/>
    <col min="14342" max="14342" width="24.1796875" bestFit="1" customWidth="1"/>
    <col min="14343" max="14343" width="10.1796875" customWidth="1"/>
    <col min="14344" max="14344" width="14.453125" customWidth="1"/>
    <col min="14593" max="14593" width="10.54296875" customWidth="1"/>
    <col min="14594" max="14594" width="59.453125" bestFit="1" customWidth="1"/>
    <col min="14595" max="14595" width="11.54296875" customWidth="1"/>
    <col min="14597" max="14597" width="11" customWidth="1"/>
    <col min="14598" max="14598" width="24.1796875" bestFit="1" customWidth="1"/>
    <col min="14599" max="14599" width="10.1796875" customWidth="1"/>
    <col min="14600" max="14600" width="14.453125" customWidth="1"/>
    <col min="14849" max="14849" width="10.54296875" customWidth="1"/>
    <col min="14850" max="14850" width="59.453125" bestFit="1" customWidth="1"/>
    <col min="14851" max="14851" width="11.54296875" customWidth="1"/>
    <col min="14853" max="14853" width="11" customWidth="1"/>
    <col min="14854" max="14854" width="24.1796875" bestFit="1" customWidth="1"/>
    <col min="14855" max="14855" width="10.1796875" customWidth="1"/>
    <col min="14856" max="14856" width="14.453125" customWidth="1"/>
    <col min="15105" max="15105" width="10.54296875" customWidth="1"/>
    <col min="15106" max="15106" width="59.453125" bestFit="1" customWidth="1"/>
    <col min="15107" max="15107" width="11.54296875" customWidth="1"/>
    <col min="15109" max="15109" width="11" customWidth="1"/>
    <col min="15110" max="15110" width="24.1796875" bestFit="1" customWidth="1"/>
    <col min="15111" max="15111" width="10.1796875" customWidth="1"/>
    <col min="15112" max="15112" width="14.453125" customWidth="1"/>
    <col min="15361" max="15361" width="10.54296875" customWidth="1"/>
    <col min="15362" max="15362" width="59.453125" bestFit="1" customWidth="1"/>
    <col min="15363" max="15363" width="11.54296875" customWidth="1"/>
    <col min="15365" max="15365" width="11" customWidth="1"/>
    <col min="15366" max="15366" width="24.1796875" bestFit="1" customWidth="1"/>
    <col min="15367" max="15367" width="10.1796875" customWidth="1"/>
    <col min="15368" max="15368" width="14.453125" customWidth="1"/>
    <col min="15617" max="15617" width="10.54296875" customWidth="1"/>
    <col min="15618" max="15618" width="59.453125" bestFit="1" customWidth="1"/>
    <col min="15619" max="15619" width="11.54296875" customWidth="1"/>
    <col min="15621" max="15621" width="11" customWidth="1"/>
    <col min="15622" max="15622" width="24.1796875" bestFit="1" customWidth="1"/>
    <col min="15623" max="15623" width="10.1796875" customWidth="1"/>
    <col min="15624" max="15624" width="14.453125" customWidth="1"/>
    <col min="15873" max="15873" width="10.54296875" customWidth="1"/>
    <col min="15874" max="15874" width="59.453125" bestFit="1" customWidth="1"/>
    <col min="15875" max="15875" width="11.54296875" customWidth="1"/>
    <col min="15877" max="15877" width="11" customWidth="1"/>
    <col min="15878" max="15878" width="24.1796875" bestFit="1" customWidth="1"/>
    <col min="15879" max="15879" width="10.1796875" customWidth="1"/>
    <col min="15880" max="15880" width="14.453125" customWidth="1"/>
    <col min="16129" max="16129" width="10.54296875" customWidth="1"/>
    <col min="16130" max="16130" width="59.453125" bestFit="1" customWidth="1"/>
    <col min="16131" max="16131" width="11.54296875" customWidth="1"/>
    <col min="16133" max="16133" width="11" customWidth="1"/>
    <col min="16134" max="16134" width="24.1796875" bestFit="1" customWidth="1"/>
    <col min="16135" max="16135" width="10.1796875" customWidth="1"/>
    <col min="16136" max="16136" width="14.453125" customWidth="1"/>
  </cols>
  <sheetData>
    <row r="1" spans="1:8">
      <c r="A1" s="2332" t="s">
        <v>2262</v>
      </c>
      <c r="B1" s="2333"/>
      <c r="C1" s="2352" t="s">
        <v>0</v>
      </c>
      <c r="D1" s="1358"/>
      <c r="E1" s="1358"/>
      <c r="F1" s="2353"/>
      <c r="G1" s="2332" t="s">
        <v>2263</v>
      </c>
      <c r="H1" s="2333"/>
    </row>
    <row r="2" spans="1:8">
      <c r="A2" s="249"/>
      <c r="B2" s="250"/>
      <c r="G2" s="249"/>
      <c r="H2" s="250"/>
    </row>
    <row r="3" spans="1:8">
      <c r="A3" s="249"/>
      <c r="B3" s="250"/>
      <c r="G3" s="249"/>
      <c r="H3" s="250"/>
    </row>
    <row r="4" spans="1:8">
      <c r="A4" s="249"/>
      <c r="B4" s="250"/>
      <c r="G4" s="249"/>
      <c r="H4" s="250"/>
    </row>
    <row r="5" spans="1:8">
      <c r="A5" s="249"/>
      <c r="B5" s="250"/>
      <c r="C5" s="2354" t="s">
        <v>2109</v>
      </c>
      <c r="D5" s="2355"/>
      <c r="E5" s="2355"/>
      <c r="F5" s="2356"/>
      <c r="G5" s="249"/>
      <c r="H5" s="250"/>
    </row>
    <row r="6" spans="1:8">
      <c r="A6" s="251"/>
      <c r="B6" s="253"/>
      <c r="C6" s="2357" t="s">
        <v>2332</v>
      </c>
      <c r="D6" s="2358"/>
      <c r="E6" s="2358"/>
      <c r="F6" s="2359"/>
      <c r="G6" s="251"/>
      <c r="H6" s="253"/>
    </row>
    <row r="7" spans="1:8">
      <c r="C7" t="s">
        <v>2264</v>
      </c>
    </row>
    <row r="8" spans="1:8">
      <c r="B8" t="s">
        <v>2265</v>
      </c>
      <c r="E8" t="s">
        <v>2266</v>
      </c>
    </row>
    <row r="9" spans="1:8">
      <c r="A9" t="s">
        <v>2267</v>
      </c>
    </row>
    <row r="10" spans="1:8">
      <c r="A10" s="2346" t="s">
        <v>2268</v>
      </c>
      <c r="B10" s="2347"/>
      <c r="C10" s="2347"/>
      <c r="D10" s="2347"/>
      <c r="E10" s="2347"/>
      <c r="F10" s="2347"/>
      <c r="G10" s="2350"/>
      <c r="H10" s="2351"/>
    </row>
    <row r="11" spans="1:8">
      <c r="A11" s="735" t="s">
        <v>2269</v>
      </c>
      <c r="B11" s="736"/>
      <c r="C11" s="2344"/>
      <c r="D11" s="2345"/>
      <c r="E11" s="736"/>
      <c r="F11" s="736" t="s">
        <v>2270</v>
      </c>
      <c r="G11" s="735"/>
      <c r="H11" s="737"/>
    </row>
    <row r="12" spans="1:8" ht="18" customHeight="1">
      <c r="A12" s="249" t="s">
        <v>2271</v>
      </c>
      <c r="H12" s="250"/>
    </row>
    <row r="13" spans="1:8" ht="14.25" customHeight="1">
      <c r="A13" s="252" t="s">
        <v>2272</v>
      </c>
      <c r="B13" s="252"/>
      <c r="C13" s="252"/>
      <c r="D13" s="252" t="s">
        <v>2333</v>
      </c>
      <c r="E13" s="252"/>
      <c r="F13" s="252" t="s">
        <v>2273</v>
      </c>
      <c r="G13" s="685"/>
      <c r="H13" s="253"/>
    </row>
    <row r="14" spans="1:8" ht="15.75" customHeight="1">
      <c r="A14" s="735" t="s">
        <v>2274</v>
      </c>
      <c r="B14" s="736"/>
      <c r="C14" s="738"/>
      <c r="D14" s="736"/>
      <c r="E14" s="736"/>
      <c r="F14" s="736"/>
      <c r="G14" s="736"/>
      <c r="H14" s="739"/>
    </row>
    <row r="15" spans="1:8" ht="16.5" customHeight="1">
      <c r="A15" s="735" t="s">
        <v>2275</v>
      </c>
      <c r="B15" s="736"/>
      <c r="C15" s="736"/>
      <c r="D15" s="736"/>
      <c r="E15" s="736"/>
      <c r="F15" s="736"/>
      <c r="G15" s="736"/>
      <c r="H15" s="739"/>
    </row>
    <row r="16" spans="1:8" ht="12.75" customHeight="1">
      <c r="A16" s="685" t="s">
        <v>2276</v>
      </c>
      <c r="B16" s="685" t="s">
        <v>2277</v>
      </c>
      <c r="C16" s="740"/>
      <c r="D16" s="736" t="s">
        <v>2278</v>
      </c>
      <c r="E16" s="685" t="s">
        <v>2279</v>
      </c>
      <c r="F16" s="685" t="s">
        <v>2280</v>
      </c>
      <c r="G16" s="685" t="s">
        <v>2281</v>
      </c>
      <c r="H16" s="685" t="s">
        <v>2282</v>
      </c>
    </row>
    <row r="17" spans="1:10" ht="13.5" customHeight="1">
      <c r="A17" s="741" t="s">
        <v>2283</v>
      </c>
      <c r="B17" s="247"/>
      <c r="C17" s="247"/>
      <c r="D17" s="247"/>
      <c r="E17" s="247"/>
      <c r="F17" s="247"/>
      <c r="G17" s="247"/>
      <c r="H17" s="248"/>
    </row>
    <row r="18" spans="1:10" ht="11.25" customHeight="1">
      <c r="A18" s="249" t="s">
        <v>2284</v>
      </c>
      <c r="H18" s="250"/>
    </row>
    <row r="19" spans="1:10" ht="11.25" customHeight="1">
      <c r="A19" s="249" t="s">
        <v>2285</v>
      </c>
      <c r="H19" s="250"/>
    </row>
    <row r="20" spans="1:10" ht="12" customHeight="1">
      <c r="A20" s="251" t="s">
        <v>2286</v>
      </c>
      <c r="B20" s="252"/>
      <c r="C20" s="252"/>
      <c r="D20" s="252"/>
      <c r="E20" s="252"/>
      <c r="F20" s="252"/>
      <c r="G20" s="252"/>
      <c r="H20" s="253"/>
    </row>
    <row r="21" spans="1:10" ht="17.25" customHeight="1">
      <c r="A21" s="2346" t="s">
        <v>2287</v>
      </c>
      <c r="B21" s="2347"/>
      <c r="C21" s="2347"/>
      <c r="D21" s="2348"/>
      <c r="E21" s="2347"/>
      <c r="F21" s="2347"/>
      <c r="G21" s="2347"/>
      <c r="H21" s="2349"/>
    </row>
    <row r="22" spans="1:10" ht="7.5" customHeight="1">
      <c r="A22" s="249"/>
      <c r="H22" s="250"/>
      <c r="J22" s="742"/>
    </row>
    <row r="23" spans="1:10" ht="12" customHeight="1">
      <c r="A23" s="743" t="s">
        <v>2288</v>
      </c>
      <c r="B23" s="744" t="s">
        <v>2289</v>
      </c>
      <c r="G23" s="2334"/>
      <c r="H23" s="2333"/>
      <c r="J23" s="742"/>
    </row>
    <row r="24" spans="1:10" ht="7.5" customHeight="1">
      <c r="A24" s="249"/>
      <c r="H24" s="250"/>
      <c r="J24" s="742"/>
    </row>
    <row r="25" spans="1:10" ht="12" customHeight="1">
      <c r="A25" s="743" t="s">
        <v>2290</v>
      </c>
      <c r="B25" t="s">
        <v>2291</v>
      </c>
      <c r="G25" s="2335"/>
      <c r="H25" s="2336"/>
    </row>
    <row r="26" spans="1:10" ht="7.5" customHeight="1">
      <c r="A26" s="743"/>
      <c r="G26" s="252"/>
      <c r="H26" s="253"/>
    </row>
    <row r="27" spans="1:10" ht="12" customHeight="1">
      <c r="A27" s="743" t="s">
        <v>2292</v>
      </c>
      <c r="B27" s="746" t="s">
        <v>2293</v>
      </c>
      <c r="G27" s="2335"/>
      <c r="H27" s="2336"/>
    </row>
    <row r="28" spans="1:10" ht="8.25" customHeight="1">
      <c r="A28" s="743"/>
      <c r="B28" s="746"/>
      <c r="G28" s="747"/>
      <c r="H28" s="745"/>
    </row>
    <row r="29" spans="1:10" ht="12" customHeight="1">
      <c r="A29" s="743" t="s">
        <v>2294</v>
      </c>
      <c r="B29" s="746" t="s">
        <v>2295</v>
      </c>
      <c r="G29" s="2335"/>
      <c r="H29" s="2336"/>
    </row>
    <row r="30" spans="1:10" ht="7.5" customHeight="1">
      <c r="A30" s="743"/>
      <c r="B30" s="746"/>
      <c r="G30" s="747"/>
      <c r="H30" s="745"/>
    </row>
    <row r="31" spans="1:10" ht="12" customHeight="1">
      <c r="A31" s="743" t="s">
        <v>2296</v>
      </c>
      <c r="B31" s="746" t="s">
        <v>2297</v>
      </c>
      <c r="G31" s="2335"/>
      <c r="H31" s="2336"/>
    </row>
    <row r="32" spans="1:10" ht="8.25" customHeight="1">
      <c r="A32" s="743"/>
      <c r="B32" s="746"/>
      <c r="G32" s="748"/>
      <c r="H32" s="749"/>
    </row>
    <row r="33" spans="1:8" ht="12" customHeight="1">
      <c r="A33" s="743" t="s">
        <v>2298</v>
      </c>
      <c r="B33" s="746" t="s">
        <v>2299</v>
      </c>
      <c r="G33" s="2335"/>
      <c r="H33" s="2336"/>
    </row>
    <row r="34" spans="1:8" ht="6.75" customHeight="1">
      <c r="A34" s="743"/>
      <c r="B34" s="746"/>
      <c r="G34" s="742"/>
      <c r="H34" s="750"/>
    </row>
    <row r="35" spans="1:8" ht="12.75" customHeight="1">
      <c r="A35" s="743" t="s">
        <v>2300</v>
      </c>
      <c r="B35" s="751" t="s">
        <v>2301</v>
      </c>
      <c r="G35" s="2335"/>
      <c r="H35" s="2336"/>
    </row>
    <row r="36" spans="1:8" ht="6.75" customHeight="1">
      <c r="A36" s="743"/>
      <c r="B36" s="746"/>
      <c r="G36" s="742"/>
      <c r="H36" s="750"/>
    </row>
    <row r="37" spans="1:8" ht="12" customHeight="1">
      <c r="A37" s="743" t="s">
        <v>2302</v>
      </c>
      <c r="B37" s="2338" t="s">
        <v>2303</v>
      </c>
      <c r="C37" s="2337"/>
      <c r="D37" s="2337"/>
      <c r="E37" s="2337"/>
      <c r="F37" s="2337"/>
      <c r="G37" s="742"/>
      <c r="H37" s="750"/>
    </row>
    <row r="38" spans="1:8" ht="12" customHeight="1">
      <c r="A38" s="743"/>
      <c r="B38" s="2337" t="s">
        <v>2304</v>
      </c>
      <c r="C38" s="2337"/>
      <c r="D38" s="2337"/>
      <c r="E38" s="2337"/>
      <c r="F38" s="2337"/>
      <c r="G38" s="2335"/>
      <c r="H38" s="2336"/>
    </row>
    <row r="39" spans="1:8" ht="12" customHeight="1">
      <c r="A39" s="743"/>
      <c r="B39" s="2338" t="s">
        <v>2305</v>
      </c>
      <c r="C39" s="2337"/>
      <c r="D39" s="746"/>
      <c r="E39" s="746"/>
      <c r="F39" s="746"/>
      <c r="H39" s="250"/>
    </row>
    <row r="40" spans="1:8" ht="8.25" customHeight="1">
      <c r="A40" s="743"/>
      <c r="B40" s="746"/>
      <c r="C40" s="746"/>
      <c r="D40" s="746"/>
      <c r="E40" s="746"/>
      <c r="F40" s="746"/>
      <c r="G40" s="742"/>
      <c r="H40" s="750"/>
    </row>
    <row r="41" spans="1:8" ht="12" customHeight="1">
      <c r="A41" s="743" t="s">
        <v>2306</v>
      </c>
      <c r="B41" s="746" t="s">
        <v>2307</v>
      </c>
      <c r="G41" s="2335"/>
      <c r="H41" s="2336"/>
    </row>
    <row r="42" spans="1:8" ht="14.25" customHeight="1">
      <c r="A42" s="743"/>
      <c r="B42" s="746" t="s">
        <v>2308</v>
      </c>
      <c r="H42" s="248"/>
    </row>
    <row r="43" spans="1:8" ht="7.5" customHeight="1" thickBot="1">
      <c r="A43" s="743"/>
      <c r="B43" s="746"/>
      <c r="G43" s="742"/>
      <c r="H43" s="750"/>
    </row>
    <row r="44" spans="1:8" ht="15.75" customHeight="1" thickBot="1">
      <c r="A44" s="752" t="s">
        <v>2309</v>
      </c>
      <c r="B44" s="753" t="s">
        <v>2310</v>
      </c>
      <c r="G44" s="2339"/>
      <c r="H44" s="2340"/>
    </row>
    <row r="45" spans="1:8" ht="0.75" customHeight="1">
      <c r="A45" s="754"/>
      <c r="B45" s="755"/>
      <c r="C45" s="252"/>
      <c r="D45" s="252"/>
      <c r="E45" s="252"/>
      <c r="F45" s="252"/>
      <c r="G45" s="252"/>
      <c r="H45" s="253"/>
    </row>
    <row r="46" spans="1:8" ht="6" customHeight="1">
      <c r="A46" s="756"/>
      <c r="B46" s="45"/>
    </row>
    <row r="47" spans="1:8" ht="12.75" customHeight="1">
      <c r="A47" s="757" t="s">
        <v>2311</v>
      </c>
      <c r="B47" s="45"/>
    </row>
    <row r="48" spans="1:8" ht="6" customHeight="1">
      <c r="A48" s="756" t="s">
        <v>1470</v>
      </c>
      <c r="B48" s="45"/>
    </row>
    <row r="49" spans="1:9" ht="12" customHeight="1">
      <c r="A49" s="757" t="s">
        <v>2312</v>
      </c>
      <c r="B49" s="45"/>
    </row>
    <row r="50" spans="1:9" ht="4.4000000000000004" customHeight="1">
      <c r="A50" s="756"/>
      <c r="B50" s="45"/>
    </row>
    <row r="51" spans="1:9" ht="10.4" customHeight="1">
      <c r="A51" s="756" t="s">
        <v>2313</v>
      </c>
      <c r="B51" s="45"/>
    </row>
    <row r="52" spans="1:9" ht="12" customHeight="1">
      <c r="A52" s="757" t="s">
        <v>2314</v>
      </c>
      <c r="B52" s="45"/>
    </row>
    <row r="53" spans="1:9" ht="8.25" customHeight="1">
      <c r="A53" s="45"/>
      <c r="B53" s="45"/>
    </row>
    <row r="54" spans="1:9" ht="12" customHeight="1">
      <c r="A54" s="45"/>
      <c r="B54" s="45"/>
      <c r="D54" t="s">
        <v>2315</v>
      </c>
    </row>
    <row r="55" spans="1:9" ht="4.4000000000000004" customHeight="1">
      <c r="A55" s="45"/>
      <c r="B55" s="45"/>
    </row>
    <row r="56" spans="1:9" ht="14.5" customHeight="1">
      <c r="A56" s="45"/>
      <c r="B56" s="45"/>
      <c r="F56" t="s">
        <v>2316</v>
      </c>
    </row>
    <row r="57" spans="1:9" ht="3" customHeight="1">
      <c r="A57" s="45"/>
      <c r="B57" s="45"/>
    </row>
    <row r="58" spans="1:9" ht="6" customHeight="1">
      <c r="A58" s="45"/>
      <c r="B58" s="45"/>
    </row>
    <row r="59" spans="1:9">
      <c r="A59" s="2341" t="s">
        <v>2317</v>
      </c>
      <c r="B59" s="2342"/>
      <c r="C59" s="2342"/>
      <c r="D59" s="2342"/>
      <c r="E59" s="2342"/>
      <c r="F59" s="2342"/>
      <c r="G59" s="2342"/>
      <c r="H59" s="2343"/>
    </row>
    <row r="60" spans="1:9">
      <c r="A60" s="2330" t="s">
        <v>2318</v>
      </c>
      <c r="B60" s="2331"/>
      <c r="C60" s="2332" t="s">
        <v>2319</v>
      </c>
      <c r="D60" s="2333"/>
      <c r="E60" s="2332" t="s">
        <v>2320</v>
      </c>
      <c r="F60" s="2333"/>
      <c r="G60" s="2332" t="s">
        <v>2321</v>
      </c>
      <c r="H60" s="2333"/>
      <c r="I60" s="758"/>
    </row>
    <row r="61" spans="1:9">
      <c r="A61" s="759" t="s">
        <v>2322</v>
      </c>
      <c r="B61" s="760"/>
      <c r="C61" s="759" t="s">
        <v>2322</v>
      </c>
      <c r="D61" s="761"/>
      <c r="E61" s="761" t="s">
        <v>2323</v>
      </c>
      <c r="F61" s="761"/>
      <c r="G61" s="768" t="s">
        <v>2334</v>
      </c>
      <c r="H61" s="762"/>
    </row>
    <row r="62" spans="1:9">
      <c r="A62" s="759" t="s">
        <v>2324</v>
      </c>
      <c r="B62" s="760"/>
      <c r="C62" s="759" t="s">
        <v>2324</v>
      </c>
      <c r="D62" s="761"/>
      <c r="E62" s="761" t="s">
        <v>2325</v>
      </c>
      <c r="F62" s="761"/>
      <c r="G62" s="763"/>
      <c r="H62" s="762"/>
    </row>
    <row r="63" spans="1:9">
      <c r="A63" s="759" t="s">
        <v>2326</v>
      </c>
      <c r="B63" s="760"/>
      <c r="C63" s="761" t="s">
        <v>2327</v>
      </c>
      <c r="D63" s="761"/>
      <c r="E63" s="761" t="s">
        <v>2328</v>
      </c>
      <c r="F63" s="761"/>
      <c r="G63" s="763"/>
      <c r="H63" s="762"/>
    </row>
    <row r="64" spans="1:9">
      <c r="A64" s="759" t="s">
        <v>2329</v>
      </c>
      <c r="B64" s="760"/>
      <c r="C64" s="761" t="s">
        <v>2330</v>
      </c>
      <c r="D64" s="761"/>
      <c r="E64" s="763"/>
      <c r="F64" s="762"/>
      <c r="G64" s="763"/>
      <c r="H64" s="762"/>
    </row>
    <row r="65" spans="1:8">
      <c r="A65" s="759" t="s">
        <v>2328</v>
      </c>
      <c r="B65" s="760"/>
      <c r="C65" s="759" t="s">
        <v>2328</v>
      </c>
      <c r="D65" s="761"/>
      <c r="E65" s="764"/>
      <c r="F65" s="765"/>
      <c r="G65" s="764"/>
      <c r="H65" s="765"/>
    </row>
    <row r="66" spans="1:8" ht="6.75" customHeight="1">
      <c r="A66" s="766"/>
      <c r="B66" s="45"/>
    </row>
    <row r="67" spans="1:8">
      <c r="A67" s="767" t="s">
        <v>2331</v>
      </c>
      <c r="B67" s="45"/>
    </row>
    <row r="68" spans="1:8">
      <c r="A68" s="746"/>
      <c r="B68" s="45"/>
    </row>
    <row r="69" spans="1:8">
      <c r="A69" s="746"/>
      <c r="B69" s="45"/>
    </row>
    <row r="70" spans="1:8">
      <c r="A70" s="746"/>
      <c r="B70" s="45"/>
    </row>
    <row r="71" spans="1:8">
      <c r="A71" s="746"/>
      <c r="B71" s="45"/>
    </row>
    <row r="72" spans="1:8">
      <c r="A72" s="746"/>
      <c r="B72" s="45"/>
    </row>
    <row r="73" spans="1:8">
      <c r="A73" s="746"/>
      <c r="B73" s="45"/>
    </row>
    <row r="74" spans="1:8">
      <c r="A74" s="45"/>
      <c r="B74" s="45"/>
    </row>
    <row r="75" spans="1:8">
      <c r="A75" s="45"/>
      <c r="B75" s="45"/>
    </row>
    <row r="76" spans="1:8">
      <c r="A76" s="45"/>
      <c r="B76" s="45"/>
    </row>
    <row r="77" spans="1:8">
      <c r="A77" s="45"/>
      <c r="B77" s="45"/>
    </row>
    <row r="78" spans="1:8">
      <c r="A78" s="45"/>
      <c r="B78" s="45"/>
    </row>
    <row r="79" spans="1:8">
      <c r="A79" s="45"/>
      <c r="B79" s="45"/>
    </row>
    <row r="80" spans="1:8">
      <c r="A80" s="45"/>
      <c r="B80" s="45"/>
    </row>
    <row r="81" spans="1:1">
      <c r="A81" s="45"/>
    </row>
    <row r="82" spans="1:1">
      <c r="A82" s="45"/>
    </row>
  </sheetData>
  <mergeCells count="26">
    <mergeCell ref="A10:H10"/>
    <mergeCell ref="A1:B1"/>
    <mergeCell ref="C1:F1"/>
    <mergeCell ref="G1:H1"/>
    <mergeCell ref="C5:F5"/>
    <mergeCell ref="C6:F6"/>
    <mergeCell ref="C11:D11"/>
    <mergeCell ref="A21:H21"/>
    <mergeCell ref="G27:H27"/>
    <mergeCell ref="G29:H29"/>
    <mergeCell ref="G31:H31"/>
    <mergeCell ref="A60:B60"/>
    <mergeCell ref="C60:D60"/>
    <mergeCell ref="E60:F60"/>
    <mergeCell ref="G60:H60"/>
    <mergeCell ref="G23:H23"/>
    <mergeCell ref="G25:H25"/>
    <mergeCell ref="G33:H33"/>
    <mergeCell ref="G35:H35"/>
    <mergeCell ref="B38:F38"/>
    <mergeCell ref="G38:H38"/>
    <mergeCell ref="B39:C39"/>
    <mergeCell ref="G41:H41"/>
    <mergeCell ref="G44:H44"/>
    <mergeCell ref="A59:H59"/>
    <mergeCell ref="B37:F37"/>
  </mergeCells>
  <pageMargins left="0.39370078740157483" right="0.19685039370078741" top="0.39370078740157483" bottom="0.39370078740157483" header="0.19685039370078741" footer="0.19685039370078741"/>
  <pageSetup paperSize="9" scale="95" orientation="portrait" horizontalDpi="300" verticalDpi="300"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J24"/>
  <sheetViews>
    <sheetView showGridLines="0" topLeftCell="A10" workbookViewId="0">
      <selection activeCell="Q27" sqref="Q27"/>
    </sheetView>
  </sheetViews>
  <sheetFormatPr baseColWidth="10" defaultRowHeight="14.5"/>
  <cols>
    <col min="1" max="1" width="0.81640625" customWidth="1"/>
    <col min="2" max="2" width="0.54296875" customWidth="1"/>
    <col min="3" max="12" width="9" customWidth="1"/>
    <col min="13" max="13" width="0.54296875" customWidth="1"/>
  </cols>
  <sheetData>
    <row r="1" spans="2:10" ht="6.75" customHeight="1" thickBot="1"/>
    <row r="2" spans="2:10" ht="3.75" customHeight="1">
      <c r="B2" s="11"/>
      <c r="C2" s="12"/>
      <c r="D2" s="12"/>
      <c r="E2" s="12"/>
      <c r="F2" s="12"/>
      <c r="G2" s="12"/>
      <c r="H2" s="12"/>
      <c r="I2" s="12"/>
      <c r="J2" s="12"/>
    </row>
    <row r="3" spans="2:10">
      <c r="B3" s="14"/>
      <c r="C3" s="246"/>
      <c r="D3" s="247"/>
      <c r="E3" s="247"/>
      <c r="F3" s="247"/>
      <c r="G3" s="247"/>
      <c r="H3" s="247"/>
      <c r="I3" s="247"/>
      <c r="J3" s="247"/>
    </row>
    <row r="4" spans="2:10" ht="15.5">
      <c r="B4" s="14"/>
      <c r="C4" s="249"/>
      <c r="D4" s="156"/>
      <c r="E4" s="156"/>
      <c r="F4" s="156"/>
      <c r="G4" s="156"/>
      <c r="H4" s="156"/>
      <c r="I4" s="156"/>
      <c r="J4" s="156"/>
    </row>
    <row r="5" spans="2:10">
      <c r="B5" s="14"/>
      <c r="C5" s="249"/>
    </row>
    <row r="6" spans="2:10" ht="15.75" customHeight="1">
      <c r="B6" s="14"/>
      <c r="C6" s="249"/>
      <c r="D6" s="320"/>
      <c r="E6" s="320"/>
      <c r="F6" s="320"/>
      <c r="G6" s="320"/>
      <c r="H6" s="320"/>
      <c r="I6" s="320"/>
      <c r="J6" s="320"/>
    </row>
    <row r="7" spans="2:10">
      <c r="B7" s="14"/>
      <c r="C7" s="249"/>
    </row>
    <row r="8" spans="2:10" ht="15.5">
      <c r="B8" s="14"/>
      <c r="C8" s="249"/>
      <c r="D8" s="156"/>
      <c r="E8" s="156"/>
      <c r="F8" s="156"/>
      <c r="G8" s="156"/>
      <c r="H8" s="156"/>
      <c r="I8" s="156"/>
      <c r="J8" s="156"/>
    </row>
    <row r="9" spans="2:10">
      <c r="B9" s="14"/>
      <c r="C9" s="249"/>
    </row>
    <row r="10" spans="2:10">
      <c r="B10" s="14"/>
      <c r="C10" s="249"/>
    </row>
    <row r="11" spans="2:10">
      <c r="B11" s="14"/>
      <c r="C11" s="249"/>
    </row>
    <row r="12" spans="2:10">
      <c r="B12" s="14"/>
      <c r="C12" s="249"/>
    </row>
    <row r="13" spans="2:10">
      <c r="B13" s="14"/>
      <c r="C13" s="249"/>
    </row>
    <row r="14" spans="2:10">
      <c r="B14" s="14"/>
      <c r="C14" s="249"/>
    </row>
    <row r="15" spans="2:10">
      <c r="B15" s="14"/>
      <c r="C15" s="249"/>
    </row>
    <row r="16" spans="2:10">
      <c r="B16" s="14"/>
      <c r="C16" s="249"/>
    </row>
    <row r="17" spans="2:10">
      <c r="B17" s="14"/>
      <c r="C17" s="249"/>
    </row>
    <row r="18" spans="2:10">
      <c r="B18" s="14"/>
      <c r="C18" s="249"/>
    </row>
    <row r="19" spans="2:10">
      <c r="B19" s="14"/>
      <c r="C19" s="249"/>
    </row>
    <row r="20" spans="2:10">
      <c r="B20" s="14"/>
      <c r="C20" s="249"/>
    </row>
    <row r="21" spans="2:10">
      <c r="B21" s="14"/>
      <c r="C21" s="249"/>
      <c r="E21" s="2360" t="s">
        <v>2110</v>
      </c>
      <c r="F21" s="2361"/>
      <c r="G21" s="2361"/>
      <c r="H21" s="2361"/>
      <c r="I21" s="2361"/>
      <c r="J21" s="2361"/>
    </row>
    <row r="22" spans="2:10">
      <c r="B22" s="14"/>
      <c r="C22" s="249"/>
      <c r="E22" s="2361"/>
      <c r="F22" s="2361"/>
      <c r="G22" s="2361"/>
      <c r="H22" s="2361"/>
      <c r="I22" s="2361"/>
      <c r="J22" s="2361"/>
    </row>
    <row r="23" spans="2:10">
      <c r="B23" s="14"/>
      <c r="C23" s="249"/>
      <c r="E23" s="2361"/>
      <c r="F23" s="2361"/>
      <c r="G23" s="2361"/>
      <c r="H23" s="2361"/>
      <c r="I23" s="2361"/>
      <c r="J23" s="2361"/>
    </row>
    <row r="24" spans="2:10">
      <c r="B24" s="14"/>
      <c r="C24" s="249"/>
      <c r="E24" s="2361"/>
      <c r="F24" s="2361"/>
      <c r="G24" s="2361"/>
      <c r="H24" s="2361"/>
      <c r="I24" s="2361"/>
      <c r="J24" s="2361"/>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Feuil79">
    <pageSetUpPr fitToPage="1"/>
  </sheetPr>
  <dimension ref="B1:J24"/>
  <sheetViews>
    <sheetView showGridLines="0" topLeftCell="A10" workbookViewId="0">
      <selection activeCell="E21" sqref="E21:J24"/>
    </sheetView>
  </sheetViews>
  <sheetFormatPr baseColWidth="10" defaultRowHeight="14.5"/>
  <cols>
    <col min="1" max="1" width="0.81640625" customWidth="1"/>
    <col min="2" max="2" width="0.54296875" customWidth="1"/>
    <col min="3" max="12" width="9" customWidth="1"/>
    <col min="13" max="13" width="0.54296875" customWidth="1"/>
  </cols>
  <sheetData>
    <row r="1" spans="2:10" ht="6.75" customHeight="1" thickBot="1"/>
    <row r="2" spans="2:10" ht="3.75" customHeight="1">
      <c r="B2" s="11"/>
      <c r="C2" s="12"/>
      <c r="D2" s="12"/>
      <c r="E2" s="12"/>
      <c r="F2" s="12"/>
      <c r="G2" s="12"/>
      <c r="H2" s="12"/>
      <c r="I2" s="12"/>
      <c r="J2" s="12"/>
    </row>
    <row r="3" spans="2:10">
      <c r="B3" s="14"/>
      <c r="C3" s="246"/>
      <c r="D3" s="247"/>
      <c r="E3" s="247"/>
      <c r="F3" s="247"/>
      <c r="G3" s="247"/>
      <c r="H3" s="247"/>
      <c r="I3" s="247"/>
      <c r="J3" s="247"/>
    </row>
    <row r="4" spans="2:10" ht="15.5">
      <c r="B4" s="14"/>
      <c r="C4" s="249"/>
      <c r="D4" s="156"/>
      <c r="E4" s="156"/>
      <c r="F4" s="156"/>
      <c r="G4" s="156"/>
      <c r="H4" s="156"/>
      <c r="I4" s="156"/>
      <c r="J4" s="156"/>
    </row>
    <row r="5" spans="2:10">
      <c r="B5" s="14"/>
      <c r="C5" s="249"/>
    </row>
    <row r="6" spans="2:10" ht="15.75" customHeight="1">
      <c r="B6" s="14"/>
      <c r="C6" s="249"/>
      <c r="D6" s="320"/>
      <c r="E6" s="320"/>
      <c r="F6" s="320"/>
      <c r="G6" s="320"/>
      <c r="H6" s="320"/>
      <c r="I6" s="320"/>
      <c r="J6" s="320"/>
    </row>
    <row r="7" spans="2:10">
      <c r="B7" s="14"/>
      <c r="C7" s="249"/>
    </row>
    <row r="8" spans="2:10" ht="15.5">
      <c r="B8" s="14"/>
      <c r="C8" s="249"/>
      <c r="D8" s="156"/>
      <c r="E8" s="156"/>
      <c r="F8" s="156"/>
      <c r="G8" s="156"/>
      <c r="H8" s="156"/>
      <c r="I8" s="156"/>
      <c r="J8" s="156"/>
    </row>
    <row r="9" spans="2:10">
      <c r="B9" s="14"/>
      <c r="C9" s="249"/>
    </row>
    <row r="10" spans="2:10">
      <c r="B10" s="14"/>
      <c r="C10" s="249"/>
    </row>
    <row r="11" spans="2:10">
      <c r="B11" s="14"/>
      <c r="C11" s="249"/>
    </row>
    <row r="12" spans="2:10">
      <c r="B12" s="14"/>
      <c r="C12" s="249"/>
    </row>
    <row r="13" spans="2:10">
      <c r="B13" s="14"/>
      <c r="C13" s="249"/>
    </row>
    <row r="14" spans="2:10">
      <c r="B14" s="14"/>
      <c r="C14" s="249"/>
    </row>
    <row r="15" spans="2:10">
      <c r="B15" s="14"/>
      <c r="C15" s="249"/>
    </row>
    <row r="16" spans="2:10">
      <c r="B16" s="14"/>
      <c r="C16" s="249"/>
    </row>
    <row r="17" spans="2:10">
      <c r="B17" s="14"/>
      <c r="C17" s="249"/>
    </row>
    <row r="18" spans="2:10">
      <c r="B18" s="14"/>
      <c r="C18" s="249"/>
    </row>
    <row r="19" spans="2:10">
      <c r="B19" s="14"/>
      <c r="C19" s="249"/>
    </row>
    <row r="20" spans="2:10">
      <c r="B20" s="14"/>
      <c r="C20" s="249"/>
    </row>
    <row r="21" spans="2:10">
      <c r="B21" s="14"/>
      <c r="C21" s="249"/>
      <c r="E21" s="2360" t="s">
        <v>2111</v>
      </c>
      <c r="F21" s="2361"/>
      <c r="G21" s="2361"/>
      <c r="H21" s="2361"/>
      <c r="I21" s="2361"/>
      <c r="J21" s="2361"/>
    </row>
    <row r="22" spans="2:10">
      <c r="B22" s="14"/>
      <c r="C22" s="249"/>
      <c r="E22" s="2361"/>
      <c r="F22" s="2361"/>
      <c r="G22" s="2361"/>
      <c r="H22" s="2361"/>
      <c r="I22" s="2361"/>
      <c r="J22" s="2361"/>
    </row>
    <row r="23" spans="2:10">
      <c r="B23" s="14"/>
      <c r="C23" s="249"/>
      <c r="E23" s="2361"/>
      <c r="F23" s="2361"/>
      <c r="G23" s="2361"/>
      <c r="H23" s="2361"/>
      <c r="I23" s="2361"/>
      <c r="J23" s="2361"/>
    </row>
    <row r="24" spans="2:10">
      <c r="B24" s="14"/>
      <c r="C24" s="249"/>
      <c r="E24" s="2361"/>
      <c r="F24" s="2361"/>
      <c r="G24" s="2361"/>
      <c r="H24" s="2361"/>
      <c r="I24" s="2361"/>
      <c r="J24" s="2361"/>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Feuil80">
    <pageSetUpPr fitToPage="1"/>
  </sheetPr>
  <dimension ref="B1:J24"/>
  <sheetViews>
    <sheetView showGridLines="0" topLeftCell="A10" workbookViewId="0">
      <selection activeCell="J25" sqref="J25"/>
    </sheetView>
  </sheetViews>
  <sheetFormatPr baseColWidth="10" defaultRowHeight="14.5"/>
  <cols>
    <col min="1" max="1" width="0.81640625" customWidth="1"/>
    <col min="2" max="2" width="0.54296875" customWidth="1"/>
    <col min="3" max="12" width="9" customWidth="1"/>
    <col min="13" max="13" width="0.54296875" customWidth="1"/>
  </cols>
  <sheetData>
    <row r="1" spans="2:10" ht="4.5" customHeight="1" thickBot="1"/>
    <row r="2" spans="2:10" ht="3.75" customHeight="1">
      <c r="B2" s="11"/>
      <c r="C2" s="12"/>
      <c r="D2" s="12"/>
      <c r="E2" s="12"/>
      <c r="F2" s="12"/>
      <c r="G2" s="12"/>
      <c r="H2" s="12"/>
      <c r="I2" s="12"/>
      <c r="J2" s="12"/>
    </row>
    <row r="3" spans="2:10">
      <c r="B3" s="14"/>
      <c r="C3" s="246"/>
      <c r="D3" s="247"/>
      <c r="E3" s="247"/>
      <c r="F3" s="247"/>
      <c r="G3" s="247"/>
      <c r="H3" s="247"/>
      <c r="I3" s="247"/>
      <c r="J3" s="247"/>
    </row>
    <row r="4" spans="2:10" ht="15.5">
      <c r="B4" s="14"/>
      <c r="C4" s="249"/>
      <c r="D4" s="156"/>
      <c r="E4" s="156"/>
      <c r="F4" s="156"/>
      <c r="G4" s="156"/>
      <c r="H4" s="156"/>
      <c r="I4" s="156"/>
      <c r="J4" s="156"/>
    </row>
    <row r="5" spans="2:10">
      <c r="B5" s="14"/>
      <c r="C5" s="249"/>
    </row>
    <row r="6" spans="2:10" ht="15.5">
      <c r="B6" s="14"/>
      <c r="C6" s="249"/>
      <c r="D6" s="320"/>
      <c r="E6" s="320"/>
      <c r="F6" s="320"/>
      <c r="G6" s="320"/>
      <c r="H6" s="320"/>
      <c r="I6" s="320"/>
      <c r="J6" s="320"/>
    </row>
    <row r="7" spans="2:10">
      <c r="B7" s="14"/>
      <c r="C7" s="249"/>
    </row>
    <row r="8" spans="2:10" ht="15.5">
      <c r="B8" s="14"/>
      <c r="C8" s="249"/>
      <c r="D8" s="156"/>
      <c r="E8" s="156"/>
      <c r="F8" s="156"/>
      <c r="G8" s="156"/>
      <c r="H8" s="156"/>
      <c r="I8" s="156"/>
      <c r="J8" s="156"/>
    </row>
    <row r="9" spans="2:10">
      <c r="B9" s="14"/>
      <c r="C9" s="249"/>
    </row>
    <row r="10" spans="2:10">
      <c r="B10" s="14"/>
      <c r="C10" s="249"/>
    </row>
    <row r="11" spans="2:10">
      <c r="B11" s="14"/>
      <c r="C11" s="249"/>
    </row>
    <row r="12" spans="2:10">
      <c r="B12" s="14"/>
      <c r="C12" s="249"/>
    </row>
    <row r="13" spans="2:10">
      <c r="B13" s="14"/>
      <c r="C13" s="249"/>
    </row>
    <row r="14" spans="2:10">
      <c r="B14" s="14"/>
      <c r="C14" s="249"/>
    </row>
    <row r="15" spans="2:10">
      <c r="B15" s="14"/>
      <c r="C15" s="249"/>
    </row>
    <row r="16" spans="2:10">
      <c r="B16" s="14"/>
      <c r="C16" s="249"/>
    </row>
    <row r="17" spans="2:10">
      <c r="B17" s="14"/>
      <c r="C17" s="249"/>
    </row>
    <row r="18" spans="2:10">
      <c r="B18" s="14"/>
      <c r="C18" s="249"/>
    </row>
    <row r="19" spans="2:10">
      <c r="B19" s="14"/>
      <c r="C19" s="249"/>
    </row>
    <row r="20" spans="2:10">
      <c r="B20" s="14"/>
      <c r="C20" s="249"/>
    </row>
    <row r="21" spans="2:10">
      <c r="B21" s="14"/>
      <c r="C21" s="249"/>
      <c r="E21" s="2360" t="s">
        <v>2112</v>
      </c>
      <c r="F21" s="2361"/>
      <c r="G21" s="2361"/>
      <c r="H21" s="2361"/>
      <c r="I21" s="2361"/>
      <c r="J21" s="2361"/>
    </row>
    <row r="22" spans="2:10">
      <c r="B22" s="14"/>
      <c r="C22" s="249"/>
      <c r="E22" s="2361"/>
      <c r="F22" s="2361"/>
      <c r="G22" s="2361"/>
      <c r="H22" s="2361"/>
      <c r="I22" s="2361"/>
      <c r="J22" s="2361"/>
    </row>
    <row r="23" spans="2:10">
      <c r="B23" s="14"/>
      <c r="C23" s="249"/>
      <c r="E23" s="2361"/>
      <c r="F23" s="2361"/>
      <c r="G23" s="2361"/>
      <c r="H23" s="2361"/>
      <c r="I23" s="2361"/>
      <c r="J23" s="2361"/>
    </row>
    <row r="24" spans="2:10">
      <c r="B24" s="14"/>
      <c r="C24" s="249"/>
      <c r="E24" s="2361"/>
      <c r="F24" s="2361"/>
      <c r="G24" s="2361"/>
      <c r="H24" s="2361"/>
      <c r="I24" s="2361"/>
      <c r="J24" s="2361"/>
    </row>
  </sheetData>
  <mergeCells count="1">
    <mergeCell ref="E21:J24"/>
  </mergeCells>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89</vt:i4>
      </vt:variant>
      <vt:variant>
        <vt:lpstr>Plages nommées</vt:lpstr>
      </vt:variant>
      <vt:variant>
        <vt:i4>70</vt:i4>
      </vt:variant>
    </vt:vector>
  </HeadingPairs>
  <TitlesOfParts>
    <vt:vector size="159" baseType="lpstr">
      <vt:lpstr>COUVERTURE</vt:lpstr>
      <vt:lpstr>GARDE</vt:lpstr>
      <vt:lpstr>RECEVABILITE</vt:lpstr>
      <vt:lpstr>NOTE36 (TABLE DES CODES)</vt:lpstr>
      <vt:lpstr>NOTE36 Suite(nomenclature)</vt:lpstr>
      <vt:lpstr>FICHE R1</vt:lpstr>
      <vt:lpstr>FICHE R2</vt:lpstr>
      <vt:lpstr>FICHE R3</vt:lpstr>
      <vt:lpstr>BILAN</vt:lpstr>
      <vt:lpstr>RESULTAT</vt:lpstr>
      <vt:lpstr>TFT</vt:lpstr>
      <vt:lpstr>FICHE R4</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PAGE GARDE COMMENTAIRES</vt:lpstr>
      <vt:lpstr>NOTE 39 COMMENTAIRES</vt:lpstr>
      <vt:lpstr>GARDE (DGI)</vt:lpstr>
      <vt:lpstr>Liste ETATS SUPPL DGI</vt:lpstr>
      <vt:lpstr>SUPPL1-CHARGES</vt:lpstr>
      <vt:lpstr>SUPPL2-PRODUITS</vt:lpstr>
      <vt:lpstr>SUPPL3-TVA (1)</vt:lpstr>
      <vt:lpstr>SUPPL4-TVA (2)</vt:lpstr>
      <vt:lpstr>SUPPL5</vt:lpstr>
      <vt:lpstr>SUPPL6</vt:lpstr>
      <vt:lpstr>SUPPL7</vt:lpstr>
      <vt:lpstr>SUPPL8</vt:lpstr>
      <vt:lpstr>SUPPL9</vt:lpstr>
      <vt:lpstr>SUPPL10</vt:lpstr>
      <vt:lpstr>SUPPL  11</vt:lpstr>
      <vt:lpstr>SUPPL12</vt:lpstr>
      <vt:lpstr>SUPPL13</vt:lpstr>
      <vt:lpstr>SUPPL14</vt:lpstr>
      <vt:lpstr>SUPPL15</vt:lpstr>
      <vt:lpstr>SUPPL16</vt:lpstr>
      <vt:lpstr>SUPPL17</vt:lpstr>
      <vt:lpstr>SUPPL18</vt:lpstr>
      <vt:lpstr>SUPPL19 RESULTAT FISCAL</vt:lpstr>
      <vt:lpstr>SUPPL20 BAV IS</vt:lpstr>
      <vt:lpstr>PAGE GARDE IS</vt:lpstr>
      <vt:lpstr>PAGE GARDE IBICA </vt:lpstr>
      <vt:lpstr>PAGE GARDE BNC</vt:lpstr>
      <vt:lpstr>BILAN!Zone_d_impression</vt:lpstr>
      <vt:lpstr>'FICHE R1'!Zone_d_impression</vt:lpstr>
      <vt:lpstr>'FICHE R2'!Zone_d_impression</vt:lpstr>
      <vt:lpstr>'FICHE R3'!Zone_d_impression</vt:lpstr>
      <vt:lpstr>'FICHE R4'!Zone_d_impression</vt:lpstr>
      <vt:lpstr>GARDE!Zone_d_impression</vt:lpstr>
      <vt:lpstr>'Liste ETATS SUPPL DGI'!Zone_d_impression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'PAGE GARDE COMMENTAIRES'!Zone_d_impression</vt:lpstr>
      <vt:lpstr>RESULTAT!Zone_d_impression</vt:lpstr>
      <vt:lpstr>SUPPL10!Zone_d_impression</vt:lpstr>
      <vt:lpstr>SUPPL12!Zone_d_impression</vt:lpstr>
      <vt:lpstr>'SUPPL19 RESULTAT FISCAL'!Zone_d_impression</vt:lpstr>
      <vt:lpstr>'SUPPL3-TVA (1)'!Zone_d_impression</vt:lpstr>
      <vt:lpstr>SUPPL5!Zone_d_impression</vt:lpstr>
      <vt:lpstr>SUPPL6!Zone_d_impression</vt:lpstr>
      <vt:lpstr>SUPPL7!Zone_d_impression</vt:lpstr>
      <vt:lpstr>SUPPL8!Zone_d_impression</vt:lpstr>
      <vt:lpstr>SUPPL9!Zone_d_impression</vt:lpstr>
      <vt:lpstr>TFT!Zone_d_impression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dc:creator>
  <cp:lastModifiedBy>Tarawendesida Kabore</cp:lastModifiedBy>
  <cp:lastPrinted>2019-04-01T09:22:08Z</cp:lastPrinted>
  <dcterms:created xsi:type="dcterms:W3CDTF">2017-09-12T15:37:25Z</dcterms:created>
  <dcterms:modified xsi:type="dcterms:W3CDTF">2026-03-26T18:06:36Z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PowerLiteLastOptimized">
    <vt:lpwstr>454487</vt:lpwstr>
  </property>
  <property fmtid="{D5CDD505-2E9C-101B-9397-08002B2CF9AE}" pid="3" name="NXPowerLiteSettings">
    <vt:lpwstr>E7000400038000</vt:lpwstr>
  </property>
  <property fmtid="{D5CDD505-2E9C-101B-9397-08002B2CF9AE}" pid="4" name="NXPowerLiteVersion">
    <vt:lpwstr>S11.0.1</vt:lpwstr>
  </property>
</Properties>
</file>